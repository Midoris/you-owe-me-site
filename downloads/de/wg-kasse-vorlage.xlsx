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657d4b82e740e3" /></Relationships>
</file>

<file path=xl/workbook.xml><?xml version="1.0" encoding="utf-8"?>
<workbook xmlns="http://schemas.openxmlformats.org/spreadsheetml/2006/main" xmlns:ns1="http://schemas.openxmlformats.org/officeDocument/2006/relationships">
  <sheets>
    <sheet name="Start" sheetId="1" ns1:id="R58d7ae9e429546ee"/>
    <sheet name="Einrichtung" sheetId="2" ns1:id="R4d72532c25864c6f"/>
    <sheet name="Ausgaben" sheetId="3" ns1:id="R1b4be36b4aa94516"/>
    <sheet name="Zahlungen" sheetId="4" ns1:id="R4836b5df3adc41fa"/>
    <sheet name="Übersicht" sheetId="5" ns1:id="R33d37512a9e54324"/>
    <sheet name="Beispiel" sheetId="6" ns1:id="R13f6d84e98be41ac"/>
    <sheet name="Listen" sheetId="7" ns1:id="R440e0caf4e9a45a1"/>
  </sheets>
  <definedNames>
    <definedName name="CategoriesList">'Listen'!$A$5:$A$12</definedName>
    <definedName name="SplitMethodsList">'Listen'!$B$5:$B$6</definedName>
    <definedName name="YesNoList">'Listen'!$C$5:$C$6</definedName>
    <definedName name="CurrenciesList">'Listen'!$D$5:$D$15</definedName>
    <definedName name="RoommateNames">'Einrichtung'!$B$9:$B$14</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Red]-#,##0.00;0.00"/>
    <x:numFmt numFmtId="201" formatCode="dd.mm.yyyy"/>
  </x:numFmts>
  <x:fonts count="7">
    <x:font>
      <x:sz val="11"/>
      <x:name val="Carlito"/>
    </x:font>
    <x:font>
      <x:b/>
      <x:sz val="20"/>
      <x:color rgb="FF18212B"/>
      <x:name val="Carlito"/>
    </x:font>
    <x:font>
      <x:sz val="11"/>
      <x:color rgb="FF344054"/>
      <x:name val="Carlito"/>
    </x:font>
    <x:font>
      <x:b/>
      <x:sz val="12"/>
      <x:color rgb="FF18212B"/>
      <x:name val="Carlito"/>
    </x:font>
    <x:font>
      <x:b/>
      <x:sz val="11"/>
      <x:color rgb="FF355428"/>
      <x:name val="Carlito"/>
    </x:font>
    <x:font>
      <x:b/>
      <x:sz val="11"/>
      <x:color rgb="FF18212B"/>
      <x:name val="Carlito"/>
    </x:font>
    <x:font>
      <x:i/>
      <x:sz val="11"/>
      <x:color rgb="FF344054"/>
      <x:name val="Carlito"/>
    </x:font>
  </x:fonts>
  <x:fills count="8">
    <x:fill>
      <x:patternFill patternType="none"/>
    </x:fill>
    <x:fill>
      <x:patternFill patternType="gray125"/>
    </x:fill>
    <x:fill>
      <x:patternFill patternType="solid">
        <x:fgColor rgb="FFAFE67E"/>
      </x:patternFill>
    </x:fill>
    <x:fill>
      <x:patternFill patternType="solid">
        <x:fgColor rgb="FFF8FAFC"/>
      </x:patternFill>
    </x:fill>
    <x:fill>
      <x:patternFill patternType="solid">
        <x:fgColor rgb="FFDFEAF4"/>
      </x:patternFill>
    </x:fill>
    <x:fill>
      <x:patternFill patternType="solid">
        <x:fgColor rgb="FFEAF7DF"/>
      </x:patternFill>
    </x:fill>
    <x:fill>
      <x:patternFill patternType="solid">
        <x:fgColor rgb="FFFFFFFF"/>
      </x:patternFill>
    </x:fill>
    <x:fill>
      <x:patternFill patternType="solid">
        <x:fgColor rgb="FFFFF4C2"/>
      </x:patternFill>
    </x:fill>
  </x:fills>
  <x:borders count="15">
    <x:border>
      <x:left/>
      <x:right/>
      <x:top/>
      <x:bottom/>
      <x:diagonal/>
    </x:border>
    <x:border>
      <x:left/>
      <x:right style="thin">
        <x:color rgb="FFD8E2E8"/>
      </x:right>
      <x:top/>
      <x:bottom style="thin">
        <x:color rgb="FFD8E2E8"/>
      </x:bottom>
      <x:diagonal/>
    </x:border>
    <x:border>
      <x:left style="thin">
        <x:color rgb="FFD8E2E8"/>
      </x:left>
      <x:right style="thin">
        <x:color rgb="FFD8E2E8"/>
      </x:right>
      <x:top/>
      <x:bottom style="thin">
        <x:color rgb="FFD8E2E8"/>
      </x:bottom>
      <x:diagonal/>
    </x:border>
    <x:border>
      <x:left style="thin">
        <x:color rgb="FFD8E2E8"/>
      </x:left>
      <x:right/>
      <x:top/>
      <x:bottom style="thin">
        <x:color rgb="FFD8E2E8"/>
      </x:bottom>
      <x:diagonal/>
    </x:border>
    <x:border>
      <x:left/>
      <x:right style="thin">
        <x:color rgb="FFD8E2E8"/>
      </x:right>
      <x:top style="thin">
        <x:color rgb="FFD8E2E8"/>
      </x:top>
      <x:bottom style="thin">
        <x:color rgb="FFD8E2E8"/>
      </x:bottom>
      <x:diagonal/>
    </x:border>
    <x:border>
      <x:left style="thin">
        <x:color rgb="FFD8E2E8"/>
      </x:left>
      <x:right style="thin">
        <x:color rgb="FFD8E2E8"/>
      </x:right>
      <x:top style="thin">
        <x:color rgb="FFD8E2E8"/>
      </x:top>
      <x:bottom style="thin">
        <x:color rgb="FFD8E2E8"/>
      </x:bottom>
      <x:diagonal/>
    </x:border>
    <x:border>
      <x:left style="thin">
        <x:color rgb="FFD8E2E8"/>
      </x:left>
      <x:right/>
      <x:top style="thin">
        <x:color rgb="FFD8E2E8"/>
      </x:top>
      <x:bottom style="thin">
        <x:color rgb="FFD8E2E8"/>
      </x:bottom>
      <x:diagonal/>
    </x:border>
    <x:border>
      <x:left/>
      <x:right style="thin">
        <x:color rgb="FFD8E2E8"/>
      </x:right>
      <x:top style="thin">
        <x:color rgb="FFD8E2E8"/>
      </x:top>
      <x:bottom/>
      <x:diagonal/>
    </x:border>
    <x:border>
      <x:left style="thin">
        <x:color rgb="FFD8E2E8"/>
      </x:left>
      <x:right style="thin">
        <x:color rgb="FFD8E2E8"/>
      </x:right>
      <x:top style="thin">
        <x:color rgb="FFD8E2E8"/>
      </x:top>
      <x:bottom/>
      <x:diagonal/>
    </x:border>
    <x:border>
      <x:left style="thin">
        <x:color rgb="FFD8E2E8"/>
      </x:left>
      <x:right/>
      <x:top style="thin">
        <x:color rgb="FFD8E2E8"/>
      </x:top>
      <x:bottom/>
      <x:diagonal/>
    </x:border>
    <x:border>
      <x:left/>
      <x:right/>
      <x:top/>
      <x:bottom style="thin">
        <x:color rgb="FFD8E2E8"/>
      </x:bottom>
      <x:diagonal/>
    </x:border>
    <x:border>
      <x:left/>
      <x:right/>
      <x:top style="thin">
        <x:color rgb="FFD8E2E8"/>
      </x:top>
      <x:bottom style="thin">
        <x:color rgb="FFD8E2E8"/>
      </x:bottom>
      <x:diagonal/>
    </x:border>
    <x:border>
      <x:left/>
      <x:right/>
      <x:top style="thin">
        <x:color rgb="FFD8E2E8"/>
      </x:top>
      <x:bottom/>
      <x:diagonal/>
    </x:border>
    <x:border>
      <x:left style="thin">
        <x:color rgb="FFD8E2E8"/>
      </x:left>
      <x:right/>
      <x:top/>
      <x:bottom/>
      <x:diagonal/>
    </x:border>
    <x:border>
      <x:left/>
      <x:right style="thin">
        <x:color rgb="FFD8E2E8"/>
      </x:right>
      <x:top/>
      <x:bottom/>
      <x:diagonal/>
    </x:border>
  </x:borders>
  <x:cellStyleXfs count="1">
    <x:xf numFmtId="0" fontId="0" fillId="0" borderId="0"/>
  </x:cellStyleXfs>
  <x:cellXfs count="10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1" xfId="0" applyNumberFormat="1" applyFont="1" applyFill="1" applyBorder="1"/>
    <x:xf numFmtId="0" fontId="2" fillId="6" borderId="2" xfId="0" applyNumberFormat="1" applyFont="1" applyFill="1" applyBorder="1"/>
    <x:xf numFmtId="0" fontId="2" fillId="6" borderId="3" xfId="0" applyNumberFormat="1" applyFont="1" applyFill="1" applyBorder="1"/>
    <x:xf numFmtId="0" fontId="2" fillId="6" borderId="4" xfId="0" applyNumberFormat="1" applyFont="1" applyFill="1" applyBorder="1"/>
    <x:xf numFmtId="0" fontId="2" fillId="6" borderId="5" xfId="0" applyNumberFormat="1" applyFont="1" applyFill="1" applyBorder="1"/>
    <x:xf numFmtId="0" fontId="2" fillId="6" borderId="6" xfId="0" applyNumberFormat="1" applyFont="1" applyFill="1" applyBorder="1"/>
    <x:xf numFmtId="0" fontId="2" fillId="6" borderId="7" xfId="0" applyNumberFormat="1" applyFont="1" applyFill="1" applyBorder="1"/>
    <x:xf numFmtId="0" fontId="2" fillId="6" borderId="8" xfId="0" applyNumberFormat="1" applyFont="1" applyFill="1" applyBorder="1"/>
    <x:xf numFmtId="0" fontId="2" fillId="6" borderId="9" xfId="0" applyNumberFormat="1" applyFont="1" applyFill="1" applyBorder="1"/>
    <x:xf numFmtId="0" fontId="2" fillId="6" borderId="1" xfId="0" applyNumberFormat="1" applyFont="1" applyFill="1" applyBorder="1" applyAlignment="1">
      <x:alignment wrapText="1"/>
    </x:xf>
    <x:xf numFmtId="0" fontId="2" fillId="6" borderId="2" xfId="0" applyNumberFormat="1" applyFont="1" applyFill="1" applyBorder="1" applyAlignment="1">
      <x:alignment wrapText="1"/>
    </x:xf>
    <x:xf numFmtId="0" fontId="2" fillId="6" borderId="3" xfId="0" applyNumberFormat="1" applyFont="1" applyFill="1" applyBorder="1" applyAlignment="1">
      <x:alignment wrapText="1"/>
    </x:xf>
    <x:xf numFmtId="0" fontId="2" fillId="6" borderId="4" xfId="0" applyNumberFormat="1" applyFont="1" applyFill="1" applyBorder="1" applyAlignment="1">
      <x:alignment wrapText="1"/>
    </x:xf>
    <x:xf numFmtId="0" fontId="2" fillId="6" borderId="5" xfId="0" applyNumberFormat="1" applyFont="1" applyFill="1" applyBorder="1" applyAlignment="1">
      <x:alignment wrapText="1"/>
    </x:xf>
    <x:xf numFmtId="0" fontId="2" fillId="6" borderId="6" xfId="0" applyNumberFormat="1" applyFont="1" applyFill="1" applyBorder="1" applyAlignment="1">
      <x:alignment wrapText="1"/>
    </x:xf>
    <x:xf numFmtId="0" fontId="2" fillId="6" borderId="7" xfId="0" applyNumberFormat="1" applyFont="1" applyFill="1" applyBorder="1" applyAlignment="1">
      <x:alignment wrapText="1"/>
    </x:xf>
    <x:xf numFmtId="0" fontId="2" fillId="6" borderId="8" xfId="0" applyNumberFormat="1" applyFont="1" applyFill="1" applyBorder="1" applyAlignment="1">
      <x:alignment wrapText="1"/>
    </x:xf>
    <x:xf numFmtId="0" fontId="2" fillId="6" borderId="9" xfId="0" applyNumberFormat="1" applyFont="1" applyFill="1" applyBorder="1" applyAlignment="1">
      <x:alignment wrapText="1"/>
    </x:xf>
    <x:xf numFmtId="0" fontId="2" fillId="6" borderId="1" xfId="0" applyNumberFormat="1" applyFont="1" applyFill="1" applyBorder="1" applyAlignment="1">
      <x:alignment vertical="center" wrapText="1"/>
    </x:xf>
    <x:xf numFmtId="0" fontId="2" fillId="6" borderId="2" xfId="0" applyNumberFormat="1" applyFont="1" applyFill="1" applyBorder="1" applyAlignment="1">
      <x:alignment vertical="center" wrapText="1"/>
    </x:xf>
    <x:xf numFmtId="0" fontId="2" fillId="6" borderId="3" xfId="0" applyNumberFormat="1" applyFont="1" applyFill="1" applyBorder="1" applyAlignment="1">
      <x:alignment vertical="center" wrapText="1"/>
    </x:xf>
    <x:xf numFmtId="0" fontId="2" fillId="6" borderId="4" xfId="0" applyNumberFormat="1" applyFont="1" applyFill="1" applyBorder="1" applyAlignment="1">
      <x:alignment vertical="center" wrapText="1"/>
    </x:xf>
    <x:xf numFmtId="0" fontId="2" fillId="6" borderId="5" xfId="0" applyNumberFormat="1" applyFont="1" applyFill="1" applyBorder="1" applyAlignment="1">
      <x:alignment vertical="center" wrapText="1"/>
    </x:xf>
    <x:xf numFmtId="0" fontId="2" fillId="6" borderId="6" xfId="0" applyNumberFormat="1" applyFont="1" applyFill="1" applyBorder="1" applyAlignment="1">
      <x:alignment vertical="center" wrapText="1"/>
    </x:xf>
    <x:xf numFmtId="0" fontId="2" fillId="6" borderId="7" xfId="0" applyNumberFormat="1" applyFont="1" applyFill="1" applyBorder="1" applyAlignment="1">
      <x:alignment vertical="center" wrapText="1"/>
    </x:xf>
    <x:xf numFmtId="0" fontId="2" fillId="6" borderId="8" xfId="0" applyNumberFormat="1" applyFont="1" applyFill="1" applyBorder="1" applyAlignment="1">
      <x:alignment vertical="center" wrapText="1"/>
    </x:xf>
    <x:xf numFmtId="0" fontId="2" fillId="6" borderId="9" xfId="0" applyNumberFormat="1" applyFont="1" applyFill="1" applyBorder="1" applyAlignment="1">
      <x:alignment vertical="center" wrapText="1"/>
    </x:xf>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5" fillId="2" borderId="0" xfId="0" applyNumberFormat="1" applyFont="1" applyFill="1" applyBorder="1"/>
    <x:xf numFmtId="0" fontId="5" fillId="2" borderId="5" xfId="0" applyNumberFormat="1" applyFont="1" applyFill="1" applyBorder="1"/>
    <x:xf numFmtId="0" fontId="5" fillId="2" borderId="5" xfId="0" applyNumberFormat="1" applyFont="1" applyFill="1" applyBorder="1" applyAlignment="1">
      <x:alignment wrapText="1"/>
    </x:xf>
    <x:xf numFmtId="0" fontId="5" fillId="2" borderId="5" xfId="0" applyNumberFormat="1" applyFont="1" applyFill="1" applyBorder="1" applyAlignment="1">
      <x:alignment horizontal="center" wrapText="1"/>
    </x:xf>
    <x:xf numFmtId="0" fontId="5" fillId="2" borderId="5" xfId="0" applyNumberFormat="1" applyFont="1" applyFill="1" applyBorder="1" applyAlignment="1">
      <x:alignment horizontal="center" vertical="center" wrapText="1"/>
    </x:xf>
    <x:xf numFmtId="0" fontId="2" fillId="6" borderId="10" xfId="0" applyNumberFormat="1" applyFont="1" applyFill="1" applyBorder="1"/>
    <x:xf numFmtId="0" fontId="2" fillId="6" borderId="11" xfId="0" applyNumberFormat="1" applyFont="1" applyFill="1" applyBorder="1"/>
    <x:xf numFmtId="0" fontId="2" fillId="6" borderId="10" xfId="0" applyNumberFormat="1" applyFont="1" applyFill="1" applyBorder="1" applyAlignment="1">
      <x:alignment wrapText="1"/>
    </x:xf>
    <x:xf numFmtId="0" fontId="2" fillId="6" borderId="11" xfId="0" applyNumberFormat="1" applyFont="1" applyFill="1" applyBorder="1" applyAlignment="1">
      <x:alignment wrapText="1"/>
    </x:xf>
    <x:xf numFmtId="0" fontId="2" fillId="6" borderId="10"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5" fillId="4" borderId="0" xfId="0" applyNumberFormat="1" applyFont="1" applyFill="1" applyBorder="1"/>
    <x:xf numFmtId="0" fontId="0" fillId="6" borderId="9" xfId="0" applyNumberFormat="1" applyFont="1" applyFill="1" applyBorder="1"/>
    <x:xf numFmtId="0" fontId="0" fillId="6" borderId="12" xfId="0" applyNumberFormat="1" applyFont="1" applyFill="1" applyBorder="1"/>
    <x:xf numFmtId="0" fontId="0" fillId="6" borderId="7"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3" xfId="0" applyNumberFormat="1" applyFont="1" applyFill="1" applyBorder="1"/>
    <x:xf numFmtId="0" fontId="0" fillId="6" borderId="10" xfId="0" applyNumberFormat="1" applyFont="1" applyFill="1" applyBorder="1"/>
    <x:xf numFmtId="0" fontId="0" fillId="6" borderId="1" xfId="0" applyNumberFormat="1" applyFont="1" applyFill="1" applyBorder="1"/>
    <x:xf numFmtId="0" fontId="2" fillId="7" borderId="10" xfId="0" applyNumberFormat="1" applyFont="1" applyFill="1" applyBorder="1" applyAlignment="1">
      <x:alignment vertical="top" wrapText="1"/>
    </x:xf>
    <x:xf numFmtId="0" fontId="2" fillId="7" borderId="11" xfId="0" applyNumberFormat="1" applyFont="1" applyFill="1" applyBorder="1" applyAlignment="1">
      <x:alignment vertical="top" wrapText="1"/>
    </x:xf>
    <x:xf numFmtId="200" fontId="2" fillId="7" borderId="10" xfId="0" applyNumberFormat="1" applyFont="1" applyFill="1" applyBorder="1" applyAlignment="1">
      <x:alignment vertical="top" wrapText="1"/>
    </x:xf>
    <x:xf numFmtId="200" fontId="2" fillId="7" borderId="11" xfId="0" applyNumberFormat="1" applyFont="1" applyFill="1" applyBorder="1" applyAlignment="1">
      <x:alignment vertical="top" wrapText="1"/>
    </x:xf>
    <x:xf numFmtId="200" fontId="0" fillId="0"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201" fontId="2" fillId="6" borderId="10" xfId="0" applyNumberFormat="1" applyFont="1" applyFill="1" applyBorder="1" applyAlignment="1">
      <x:alignment vertical="top" wrapText="1"/>
    </x:xf>
    <x:xf numFmtId="201" fontId="2" fillId="6" borderId="11" xfId="0" applyNumberFormat="1" applyFont="1" applyFill="1" applyBorder="1" applyAlignment="1">
      <x:alignment vertical="top" wrapText="1"/>
    </x:xf>
    <x:xf numFmtId="200" fontId="2" fillId="6" borderId="10" xfId="0" applyNumberFormat="1" applyFont="1" applyFill="1" applyBorder="1" applyAlignment="1">
      <x:alignment vertical="top" wrapText="1"/>
    </x:xf>
    <x:xf numFmtId="200" fontId="2" fillId="6" borderId="11" xfId="0" applyNumberFormat="1" applyFont="1" applyFill="1" applyBorder="1" applyAlignment="1">
      <x:alignment vertical="top" wrapText="1"/>
    </x:xf>
    <x:xf numFmtId="200" fontId="2" fillId="3" borderId="10" xfId="0" applyNumberFormat="1" applyFont="1" applyFill="1" applyBorder="1" applyAlignment="1">
      <x:alignment vertical="top" wrapText="1"/>
    </x:xf>
    <x:xf numFmtId="200" fontId="2" fillId="3" borderId="11" xfId="0" applyNumberFormat="1" applyFont="1" applyFill="1" applyBorder="1" applyAlignment="1">
      <x:alignment vertical="top" wrapText="1"/>
    </x:xf>
    <x:xf numFmtId="0" fontId="5" fillId="3" borderId="0" xfId="0" applyNumberFormat="1" applyFont="1" applyFill="1" applyBorder="1"/>
    <x:xf numFmtId="200" fontId="0" fillId="6" borderId="0" xfId="0" applyNumberFormat="1" applyFont="1" applyFill="1" applyBorder="1"/>
    <x:xf numFmtId="200" fontId="0" fillId="6" borderId="5" xfId="0" applyNumberFormat="1" applyFont="1" applyFill="1" applyBorder="1"/>
    <x:xf numFmtId="0" fontId="0" fillId="6" borderId="5" xfId="0" applyNumberFormat="1" applyFont="1" applyFill="1" applyBorder="1"/>
    <x:xf numFmtId="200" fontId="0" fillId="6" borderId="5" xfId="0" applyNumberFormat="1" applyFont="1" applyFill="1" applyBorder="1" applyAlignment="1">
      <x:alignment wrapText="1"/>
    </x:xf>
    <x:xf numFmtId="0" fontId="0" fillId="6" borderId="5" xfId="0" applyNumberFormat="1" applyFont="1" applyFill="1" applyBorder="1" applyAlignment="1">
      <x:alignment wrapText="1"/>
    </x:xf>
    <x:xf numFmtId="0" fontId="0" fillId="7" borderId="5" xfId="0" applyNumberFormat="1" applyFont="1" applyFill="1" applyBorder="1" applyAlignment="1">
      <x:alignment wrapText="1"/>
    </x:xf>
    <x:xf numFmtId="0" fontId="5" fillId="7" borderId="5" xfId="0" applyNumberFormat="1" applyFont="1" applyFill="1" applyBorder="1" applyAlignment="1">
      <x:alignment wrapText="1"/>
    </x:xf>
    <x:xf numFmtId="0" fontId="5" fillId="7" borderId="5" xfId="0" applyNumberFormat="1" applyFont="1" applyFill="1" applyBorder="1" applyAlignment="1">
      <x:alignment vertical="center" wrapText="1"/>
    </x:xf>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201" fontId="2" fillId="6" borderId="10" xfId="0" applyNumberFormat="1" applyFont="1" applyFill="1" applyBorder="1" applyAlignment="1">
      <x:alignment horizontal="center" vertical="top" wrapText="1"/>
    </x:xf>
    <x:xf numFmtId="201" fontId="2" fillId="6" borderId="11" xfId="0" applyNumberFormat="1" applyFont="1" applyFill="1" applyBorder="1" applyAlignment="1">
      <x:alignment horizontal="center" vertical="top" wrapText="1"/>
    </x:xf>
    <x:xf numFmtId="200" fontId="2" fillId="6" borderId="10" xfId="0" applyNumberFormat="1" applyFont="1" applyFill="1" applyBorder="1" applyAlignment="1">
      <x:alignment horizontal="center" vertical="top" wrapText="1"/>
    </x:xf>
    <x:xf numFmtId="200" fontId="2" fillId="6" borderId="11" xfId="0" applyNumberFormat="1" applyFont="1" applyFill="1" applyBorder="1" applyAlignment="1">
      <x:alignment horizontal="center" vertical="top" wrapText="1"/>
    </x:xf>
    <x:xf numFmtId="200" fontId="5" fillId="6" borderId="10" xfId="0" applyNumberFormat="1" applyFont="1" applyFill="1" applyBorder="1" applyAlignment="1">
      <x:alignment vertical="top" wrapText="1"/>
    </x:xf>
    <x:xf numFmtId="200" fontId="5" fillId="6" borderId="11" xfId="0" applyNumberFormat="1" applyFont="1" applyFill="1" applyBorder="1" applyAlignment="1">
      <x:alignment vertical="top" wrapText="1"/>
    </x:xf>
    <x:xf numFmtId="200" fontId="0" fillId="5" borderId="0" xfId="0" applyNumberFormat="1" applyFont="1" applyFill="1" applyBorder="1"/>
    <x:xf numFmtId="200" fontId="4" fillId="5" borderId="0" xfId="0" applyNumberFormat="1" applyFont="1" applyFill="1" applyBorder="1"/>
    <x:xf numFmtId="0" fontId="4" fillId="5" borderId="5" xfId="0" applyNumberFormat="1" applyFont="1" applyFill="1" applyBorder="1"/>
    <x:xf numFmtId="200" fontId="4" fillId="5" borderId="5" xfId="0" applyNumberFormat="1" applyFont="1" applyFill="1" applyBorder="1"/>
  </x:cellXfs>
  <x:cellStyles count="1">
    <x:cellStyle name="Normal" xfId="0"/>
  </x:cellStyles>
  <x:dxfs count="10">
    <x:dxf>
      <x:font>
        <x:b/>
        <x:color rgb="FF355428"/>
      </x:font>
      <x:fill>
        <x:patternFill patternType="solid">
          <x:bgColor rgb="FFEAF7DF"/>
        </x:patternFill>
      </x:fill>
    </x:dxf>
    <x:dxf>
      <x:font>
        <x:color rgb="FF18212B"/>
      </x:font>
      <x:fill>
        <x:patternFill patternType="solid">
          <x:bgColor rgb="FFFFF4C2"/>
        </x:patternFill>
      </x:fill>
    </x:dxf>
    <x:dxf>
      <x:font>
        <x:b/>
        <x:color rgb="FF355428"/>
      </x:font>
      <x:fill>
        <x:patternFill patternType="solid">
          <x:bgColor rgb="FFEAF7DF"/>
        </x:patternFill>
      </x:fill>
    </x:dxf>
    <x:dxf>
      <x:font>
        <x:color rgb="FF18212B"/>
      </x:font>
      <x:fill>
        <x:patternFill patternType="solid">
          <x:bgColor rgb="FFFFF4C2"/>
        </x:patternFill>
      </x:fill>
    </x:dxf>
    <x:dxf>
      <x:font>
        <x:b/>
        <x:color rgb="FF355428"/>
      </x:font>
      <x:fill>
        <x:patternFill patternType="solid">
          <x:bgColor rgb="FFEAF7DF"/>
        </x:patternFill>
      </x:fill>
    </x:dxf>
    <x:dxf>
      <x:font>
        <x:color rgb="FF18212B"/>
      </x:font>
      <x:fill>
        <x:patternFill patternType="solid">
          <x:bgColor rgb="FFFFF4C2"/>
        </x:patternFill>
      </x:fill>
    </x:dxf>
    <x:dxf>
      <x:font>
        <x:b/>
        <x:color rgb="FF355428"/>
      </x:font>
      <x:fill>
        <x:patternFill patternType="solid">
          <x:bgColor rgb="FFEAF7DF"/>
        </x:patternFill>
      </x:fill>
    </x:dxf>
    <x:dxf>
      <x:font>
        <x:b/>
        <x:color rgb="FF18212B"/>
      </x:font>
      <x:fill>
        <x:patternFill patternType="solid">
          <x:bgColor rgb="FFFFF4C2"/>
        </x:patternFill>
      </x:fill>
    </x:dxf>
    <x:dxf>
      <x:font>
        <x:b/>
        <x:color rgb="FF355428"/>
      </x:font>
      <x:fill>
        <x:patternFill patternType="solid">
          <x:bgColor rgb="FFEAF7DF"/>
        </x:patternFill>
      </x:fill>
    </x:dxf>
    <x:dxf>
      <x:font>
        <x:color rgb="FF18212B"/>
      </x:font>
      <x:fill>
        <x:patternFill patternType="solid">
          <x:bgColor rgb="FFFFF4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e8e4ab5be4643f5" /><Relationship Type="http://schemas.openxmlformats.org/officeDocument/2006/relationships/theme" Target="/xl/theme/theme1.xml" Id="R2337b3dc0f244f3b" /><Relationship Type="http://schemas.openxmlformats.org/officeDocument/2006/relationships/sharedStrings" Target="/xl/sharedStrings.xml" Id="R6e6a36d1b3f7439b" /><Relationship Type="http://schemas.openxmlformats.org/officeDocument/2006/relationships/worksheet" Target="/xl/worksheets/sheet1.xml" Id="R58d7ae9e429546ee" /><Relationship Type="http://schemas.openxmlformats.org/officeDocument/2006/relationships/worksheet" Target="/xl/worksheets/sheet2.xml" Id="R4d72532c25864c6f" /><Relationship Type="http://schemas.openxmlformats.org/officeDocument/2006/relationships/worksheet" Target="/xl/worksheets/sheet3.xml" Id="R1b4be36b4aa94516" /><Relationship Type="http://schemas.openxmlformats.org/officeDocument/2006/relationships/worksheet" Target="/xl/worksheets/sheet4.xml" Id="R4836b5df3adc41fa" /><Relationship Type="http://schemas.openxmlformats.org/officeDocument/2006/relationships/worksheet" Target="/xl/worksheets/sheet5.xml" Id="R33d37512a9e54324" /><Relationship Type="http://schemas.openxmlformats.org/officeDocument/2006/relationships/worksheet" Target="/xl/worksheets/sheet6.xml" Id="R13f6d84e98be41ac" /><Relationship Type="http://schemas.openxmlformats.org/officeDocument/2006/relationships/worksheet" Target="/xl/worksheets/sheet7.xml" Id="R440e0caf4e9a45a1" /></Relationships>
</file>

<file path=xl/tables/table1.xml><?xml version="1.0" encoding="utf-8"?>
<x:table xmlns:x="http://schemas.openxmlformats.org/spreadsheetml/2006/main" id="1" name="RoommateRepayments" displayName="RoommateRepayments" ref="A4:F204" headerRowCount="1" totalsRowCount="0" totalsRowShown="0">
  <x:tableColumns count="6">
    <x:tableColumn id="1" name="Datum"/>
    <x:tableColumn id="2" name="Von"/>
    <x:tableColumn id="3" name="An"/>
    <x:tableColumn id="4" name="Betrag"/>
    <x:tableColumn id="5" name="Notiz"/>
    <x:tableColumn id="6" name="Prüf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ad9776edcefc4dd9" /></Relationships>
</file>

<file path=xl/worksheets/sheet1.xml><?xml version="1.0" encoding="utf-8"?>
<worksheet xmlns="http://schemas.openxmlformats.org/spreadsheetml/2006/main">
  <sheetViews>
    <sheetView showGridLines="0" workbookViewId="0">
      <pane ySplit="2" topLeftCell="A3" activePane="bottomLeft" state="frozen"/>
    </sheetView>
  </sheetViews>
  <sheetFormatPr defaultRowHeight="15"/>
  <cols>
    <col min="1" max="1" width="8" hidden="0" customWidth="1"/>
    <col min="2" max="2" width="22" hidden="0" customWidth="1"/>
    <col min="3" max="3" width="14" hidden="0" customWidth="1"/>
    <col min="4" max="4" width="14" hidden="0" customWidth="1"/>
    <col min="5" max="5" width="14" hidden="0" customWidth="1"/>
    <col min="6" max="6" width="14" hidden="0" customWidth="1"/>
    <col min="7" max="7" width="14" hidden="0" customWidth="1"/>
    <col min="8" max="8" width="14" hidden="0" customWidth="1"/>
  </cols>
  <sheetData>
    <row r="1" ht="34" customHeight="1">
      <c r="A1" s="4" t="str">
        <v>WG-Kasse: Ausgaben und Zahlungen</v>
      </c>
      <c r="B1" s="4" t="str">
        <v>WG-Kasse: Ausgaben und Zahlungen</v>
      </c>
      <c r="C1" s="4" t="str">
        <v>WG-Kasse: Ausgaben und Zahlungen</v>
      </c>
      <c r="D1" s="4" t="str">
        <v>WG-Kasse: Ausgaben und Zahlungen</v>
      </c>
      <c r="E1" s="4" t="str">
        <v>WG-Kasse: Ausgaben und Zahlungen</v>
      </c>
      <c r="F1" s="4" t="str">
        <v>WG-Kasse: Ausgaben und Zahlungen</v>
      </c>
      <c r="G1" s="4" t="str">
        <v>WG-Kasse: Ausgaben und Zahlungen</v>
      </c>
      <c r="H1" s="4" t="str">
        <v>WG-Kasse: Ausgaben und Zahlungen</v>
      </c>
    </row>
    <row r="2" ht="30" customHeight="1">
      <c r="A2" s="8" t="str">
        <v>Eine wiederverwendbare Übersicht für vereinbarte WG-Ausgaben, Zahlungen untereinander, Anfangssalden und die monatliche Abrechnung.</v>
      </c>
      <c r="B2" s="8" t="str">
        <v>Eine wiederverwendbare Übersicht für vereinbarte WG-Ausgaben, Zahlungen untereinander, Anfangssalden und die monatliche Abrechnung.</v>
      </c>
      <c r="C2" s="8" t="str">
        <v>Eine wiederverwendbare Übersicht für vereinbarte WG-Ausgaben, Zahlungen untereinander, Anfangssalden und die monatliche Abrechnung.</v>
      </c>
      <c r="D2" s="8" t="str">
        <v>Eine wiederverwendbare Übersicht für vereinbarte WG-Ausgaben, Zahlungen untereinander, Anfangssalden und die monatliche Abrechnung.</v>
      </c>
      <c r="E2" s="8" t="str">
        <v>Eine wiederverwendbare Übersicht für vereinbarte WG-Ausgaben, Zahlungen untereinander, Anfangssalden und die monatliche Abrechnung.</v>
      </c>
      <c r="F2" s="8" t="str">
        <v>Eine wiederverwendbare Übersicht für vereinbarte WG-Ausgaben, Zahlungen untereinander, Anfangssalden und die monatliche Abrechnung.</v>
      </c>
      <c r="G2" s="8" t="str">
        <v>Eine wiederverwendbare Übersicht für vereinbarte WG-Ausgaben, Zahlungen untereinander, Anfangssalden und die monatliche Abrechnung.</v>
      </c>
      <c r="H2" s="8" t="str">
        <v>Eine wiederverwendbare Übersicht für vereinbarte WG-Ausgaben, Zahlungen untereinander, Anfangssalden und die monatliche Abrechnung.</v>
      </c>
    </row>
    <row r="4">
      <c r="A4" s="11" t="str">
        <v>Richte deine Kopie ein</v>
      </c>
      <c r="B4" s="11" t="str">
        <v>Richte deine Kopie ein</v>
      </c>
      <c r="C4" s="11" t="str">
        <v>Richte deine Kopie ein</v>
      </c>
      <c r="D4" s="11" t="str">
        <v>Richte deine Kopie ein</v>
      </c>
      <c r="E4" s="11" t="str">
        <v>Richte deine Kopie ein</v>
      </c>
      <c r="F4" s="11" t="str">
        <v>Richte deine Kopie ein</v>
      </c>
      <c r="G4" s="11" t="str">
        <v>Richte deine Kopie ein</v>
      </c>
      <c r="H4" s="11" t="str">
        <v>Richte deine Kopie ein</v>
      </c>
    </row>
    <row r="5" ht="34" customHeight="1">
      <c r="A5" s="15" t="n">
        <v>1</v>
      </c>
      <c r="B5" s="36" t="str">
        <v>Öffne Einrichtung und trage zwei bis sechs unterschiedliche Namen, einen Zeitraum und eine Währung ein.</v>
      </c>
      <c r="C5" s="37"/>
      <c r="D5" s="37"/>
      <c r="E5" s="37"/>
      <c r="F5" s="37"/>
      <c r="G5" s="37"/>
      <c r="H5" s="38"/>
    </row>
    <row r="6" ht="34" customHeight="1">
      <c r="A6" s="15" t="n">
        <v>2</v>
      </c>
      <c r="B6" s="39" t="str">
        <v>Übernimm Anfangssalden nur aus einer bereits gemeinsam geprüften Abrechnung.</v>
      </c>
      <c r="C6" s="40"/>
      <c r="D6" s="40"/>
      <c r="E6" s="40"/>
      <c r="F6" s="40"/>
      <c r="G6" s="40"/>
      <c r="H6" s="41"/>
    </row>
    <row r="7" ht="34" customHeight="1">
      <c r="A7" s="15" t="n">
        <v>3</v>
      </c>
      <c r="B7" s="39" t="str">
        <v>Trage jede Ausgabe einmal unter Ausgaben ein. Wähle, wer bezahlt hat, wer beteiligt ist und ob ihr gleichmäßig oder nach vereinbarten Beträgen aufteilt.</v>
      </c>
      <c r="C7" s="40"/>
      <c r="D7" s="40"/>
      <c r="E7" s="40"/>
      <c r="F7" s="40"/>
      <c r="G7" s="40"/>
      <c r="H7" s="41"/>
    </row>
    <row r="8" ht="34" customHeight="1">
      <c r="A8" s="15" t="n">
        <v>4</v>
      </c>
      <c r="B8" s="39" t="str">
        <v>Trage Geld, das ihr einander zurückzahlt, unter Zahlungen ein. Ändere dafür nicht die ursprüngliche Ausgabe.</v>
      </c>
      <c r="C8" s="40"/>
      <c r="D8" s="40"/>
      <c r="E8" s="40"/>
      <c r="F8" s="40"/>
      <c r="G8" s="40"/>
      <c r="H8" s="41"/>
    </row>
    <row r="9" ht="34" customHeight="1">
      <c r="A9" s="15" t="n">
        <v>5</v>
      </c>
      <c r="B9" s="42" t="str">
        <v>Öffne Übersicht und kläre alle Hinweise, bevor ihr die vorgeschlagenen Zahlungen ausführt.</v>
      </c>
      <c r="C9" s="43"/>
      <c r="D9" s="43"/>
      <c r="E9" s="43"/>
      <c r="F9" s="43"/>
      <c r="G9" s="43"/>
      <c r="H9" s="44"/>
    </row>
    <row r="11">
      <c r="A11" s="11" t="str">
        <v>So liest du die Salden</v>
      </c>
      <c r="B11" s="11" t="str">
        <v>So liest du die Salden</v>
      </c>
      <c r="C11" s="11" t="str">
        <v>So liest du die Salden</v>
      </c>
      <c r="D11" s="11" t="str">
        <v>So liest du die Salden</v>
      </c>
      <c r="E11" s="11" t="str">
        <v>So liest du die Salden</v>
      </c>
      <c r="F11" s="11" t="str">
        <v>So liest du die Salden</v>
      </c>
      <c r="G11" s="11" t="str">
        <v>So liest du die Salden</v>
      </c>
      <c r="H11" s="11" t="str">
        <v>So liest du die Salden</v>
      </c>
    </row>
    <row r="12">
      <c r="A12" s="46" t="str">
        <v>Ein positiver Saldo bedeutet: Diese Person bekommt noch Geld zurück. Ein negativer Saldo bedeutet: Diese Person muss noch zahlen. Zusammen müssen alle Salden null ergeben.</v>
      </c>
      <c r="B12" s="46" t="str">
        <v>Ein positiver Saldo bedeutet: Diese Person bekommt noch Geld zurück. Ein negativer Saldo bedeutet: Diese Person muss noch zahlen. Zusammen müssen alle Salden null ergeben.</v>
      </c>
      <c r="C12" s="46" t="str">
        <v>Ein positiver Saldo bedeutet: Diese Person bekommt noch Geld zurück. Ein negativer Saldo bedeutet: Diese Person muss noch zahlen. Zusammen müssen alle Salden null ergeben.</v>
      </c>
      <c r="D12" s="46" t="str">
        <v>Ein positiver Saldo bedeutet: Diese Person bekommt noch Geld zurück. Ein negativer Saldo bedeutet: Diese Person muss noch zahlen. Zusammen müssen alle Salden null ergeben.</v>
      </c>
      <c r="E12" s="46" t="str">
        <v>Ein positiver Saldo bedeutet: Diese Person bekommt noch Geld zurück. Ein negativer Saldo bedeutet: Diese Person muss noch zahlen. Zusammen müssen alle Salden null ergeben.</v>
      </c>
      <c r="F12" s="46" t="str">
        <v>Ein positiver Saldo bedeutet: Diese Person bekommt noch Geld zurück. Ein negativer Saldo bedeutet: Diese Person muss noch zahlen. Zusammen müssen alle Salden null ergeben.</v>
      </c>
      <c r="G12" s="46" t="str">
        <v>Ein positiver Saldo bedeutet: Diese Person bekommt noch Geld zurück. Ein negativer Saldo bedeutet: Diese Person muss noch zahlen. Zusammen müssen alle Salden null ergeben.</v>
      </c>
      <c r="H12" s="46" t="str">
        <v>Ein positiver Saldo bedeutet: Diese Person bekommt noch Geld zurück. Ein negativer Saldo bedeutet: Diese Person muss noch zahlen. Zusammen müssen alle Salden null ergeben.</v>
      </c>
    </row>
    <row r="13">
      <c r="A13" s="46" t="str">
        <v>Ein positiver Saldo bedeutet: Diese Person bekommt noch Geld zurück. Ein negativer Saldo bedeutet: Diese Person muss noch zahlen. Zusammen müssen alle Salden null ergeben.</v>
      </c>
      <c r="B13" s="46" t="str">
        <v>Ein positiver Saldo bedeutet: Diese Person bekommt noch Geld zurück. Ein negativer Saldo bedeutet: Diese Person muss noch zahlen. Zusammen müssen alle Salden null ergeben.</v>
      </c>
      <c r="C13" s="46" t="str">
        <v>Ein positiver Saldo bedeutet: Diese Person bekommt noch Geld zurück. Ein negativer Saldo bedeutet: Diese Person muss noch zahlen. Zusammen müssen alle Salden null ergeben.</v>
      </c>
      <c r="D13" s="46" t="str">
        <v>Ein positiver Saldo bedeutet: Diese Person bekommt noch Geld zurück. Ein negativer Saldo bedeutet: Diese Person muss noch zahlen. Zusammen müssen alle Salden null ergeben.</v>
      </c>
      <c r="E13" s="46" t="str">
        <v>Ein positiver Saldo bedeutet: Diese Person bekommt noch Geld zurück. Ein negativer Saldo bedeutet: Diese Person muss noch zahlen. Zusammen müssen alle Salden null ergeben.</v>
      </c>
      <c r="F13" s="46" t="str">
        <v>Ein positiver Saldo bedeutet: Diese Person bekommt noch Geld zurück. Ein negativer Saldo bedeutet: Diese Person muss noch zahlen. Zusammen müssen alle Salden null ergeben.</v>
      </c>
      <c r="G13" s="46" t="str">
        <v>Ein positiver Saldo bedeutet: Diese Person bekommt noch Geld zurück. Ein negativer Saldo bedeutet: Diese Person muss noch zahlen. Zusammen müssen alle Salden null ergeben.</v>
      </c>
      <c r="H13" s="46" t="str">
        <v>Ein positiver Saldo bedeutet: Diese Person bekommt noch Geld zurück. Ein negativer Saldo bedeutet: Diese Person muss noch zahlen. Zusammen müssen alle Salden null ergeben.</v>
      </c>
    </row>
    <row r="15">
      <c r="A15" s="11" t="str">
        <v>Datenschutz</v>
      </c>
      <c r="B15" s="11" t="str">
        <v>Datenschutz</v>
      </c>
      <c r="C15" s="11" t="str">
        <v>Datenschutz</v>
      </c>
      <c r="D15" s="11" t="str">
        <v>Datenschutz</v>
      </c>
      <c r="E15" s="11" t="str">
        <v>Datenschutz</v>
      </c>
      <c r="F15" s="11" t="str">
        <v>Datenschutz</v>
      </c>
      <c r="G15" s="11" t="str">
        <v>Datenschutz</v>
      </c>
      <c r="H15" s="11" t="str">
        <v>Datenschutz</v>
      </c>
    </row>
    <row r="16">
      <c r="A16" s="46" t="str">
        <v>Deine Einträge bleiben in dieser Datei, solange du sie nicht hochlädst oder mit anderen teilst.</v>
      </c>
      <c r="B16" s="46" t="str">
        <v>Deine Einträge bleiben in dieser Datei, solange du sie nicht hochlädst oder mit anderen teilst.</v>
      </c>
      <c r="C16" s="46" t="str">
        <v>Deine Einträge bleiben in dieser Datei, solange du sie nicht hochlädst oder mit anderen teilst.</v>
      </c>
      <c r="D16" s="46" t="str">
        <v>Deine Einträge bleiben in dieser Datei, solange du sie nicht hochlädst oder mit anderen teilst.</v>
      </c>
      <c r="E16" s="46" t="str">
        <v>Deine Einträge bleiben in dieser Datei, solange du sie nicht hochlädst oder mit anderen teilst.</v>
      </c>
      <c r="F16" s="46" t="str">
        <v>Deine Einträge bleiben in dieser Datei, solange du sie nicht hochlädst oder mit anderen teilst.</v>
      </c>
      <c r="G16" s="46" t="str">
        <v>Deine Einträge bleiben in dieser Datei, solange du sie nicht hochlädst oder mit anderen teilst.</v>
      </c>
      <c r="H16" s="46" t="str">
        <v>Deine Einträge bleiben in dieser Datei, solange du sie nicht hochlädst oder mit anderen teilst.</v>
      </c>
    </row>
    <row r="17">
      <c r="A17" s="46" t="str">
        <v>Deine Einträge bleiben in dieser Datei, solange du sie nicht hochlädst oder mit anderen teilst.</v>
      </c>
      <c r="B17" s="46" t="str">
        <v>Deine Einträge bleiben in dieser Datei, solange du sie nicht hochlädst oder mit anderen teilst.</v>
      </c>
      <c r="C17" s="46" t="str">
        <v>Deine Einträge bleiben in dieser Datei, solange du sie nicht hochlädst oder mit anderen teilst.</v>
      </c>
      <c r="D17" s="46" t="str">
        <v>Deine Einträge bleiben in dieser Datei, solange du sie nicht hochlädst oder mit anderen teilst.</v>
      </c>
      <c r="E17" s="46" t="str">
        <v>Deine Einträge bleiben in dieser Datei, solange du sie nicht hochlädst oder mit anderen teilst.</v>
      </c>
      <c r="F17" s="46" t="str">
        <v>Deine Einträge bleiben in dieser Datei, solange du sie nicht hochlädst oder mit anderen teilst.</v>
      </c>
      <c r="G17" s="46" t="str">
        <v>Deine Einträge bleiben in dieser Datei, solange du sie nicht hochlädst oder mit anderen teilst.</v>
      </c>
      <c r="H17" s="46" t="str">
        <v>Deine Einträge bleiben in dieser Datei, solange du sie nicht hochlädst oder mit anderen teilst.</v>
      </c>
    </row>
    <row r="19">
      <c r="A19" s="11" t="str">
        <v>Wofür die Vorlage gedacht ist</v>
      </c>
      <c r="B19" s="11" t="str">
        <v>Wofür die Vorlage gedacht ist</v>
      </c>
      <c r="C19" s="11" t="str">
        <v>Wofür die Vorlage gedacht ist</v>
      </c>
      <c r="D19" s="11" t="str">
        <v>Wofür die Vorlage gedacht ist</v>
      </c>
      <c r="E19" s="11" t="str">
        <v>Wofür die Vorlage gedacht ist</v>
      </c>
      <c r="F19" s="11" t="str">
        <v>Wofür die Vorlage gedacht ist</v>
      </c>
      <c r="G19" s="11" t="str">
        <v>Wofür die Vorlage gedacht ist</v>
      </c>
      <c r="H19" s="11" t="str">
        <v>Wofür die Vorlage gedacht ist</v>
      </c>
    </row>
    <row r="20">
      <c r="A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B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C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D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E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F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G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H20"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row>
    <row r="21">
      <c r="A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B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C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D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E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F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G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H21"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row>
    <row r="22">
      <c r="A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B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C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D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E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F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G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c r="H22" s="46" t="str">
        <v>Die Vorlage hält Ausgaben und Anteile fest, auf die ihr euch bereits geeinigt habt. Sie bestimmt keine faire Miete, begründet oder beweist keinen rechtlichen Zahlungsanspruch, führt keine Zahlungen oder Einzüge aus und ersetzt keinen Mietvertrag oder eine Vereinbarung innerhalb der WG.</v>
      </c>
    </row>
  </sheetData>
  <mergeCells>
    <mergeCell ref="A1:H1"/>
    <mergeCell ref="A2:H2"/>
    <mergeCell ref="A4:H4"/>
    <mergeCell ref="B5:H5"/>
    <mergeCell ref="B6:H6"/>
    <mergeCell ref="B7:H7"/>
    <mergeCell ref="B8:H8"/>
    <mergeCell ref="B9:H9"/>
    <mergeCell ref="A11:H11"/>
    <mergeCell ref="A12:H13"/>
    <mergeCell ref="A15:H15"/>
    <mergeCell ref="A16:H17"/>
    <mergeCell ref="A19:H19"/>
    <mergeCell ref="A20:H22"/>
  </mergeCells>
  <pageMargins left="0.7" right="0.7" top="0.75" bottom="0.75" header="0.3" footer="0.3"/>
</worksheet>
</file>

<file path=xl/worksheets/sheet2.xml><?xml version="1.0" encoding="utf-8"?>
<worksheet xmlns="http://schemas.openxmlformats.org/spreadsheetml/2006/main">
  <sheetViews>
    <sheetView showGridLines="0" workbookViewId="0">
      <pane ySplit="8" topLeftCell="A9" activePane="bottomLeft" state="frozen"/>
    </sheetView>
  </sheetViews>
  <sheetFormatPr defaultRowHeight="15"/>
  <cols>
    <col min="1" max="1" width="30" hidden="0" customWidth="1"/>
    <col min="2" max="2" width="24" hidden="0" customWidth="1"/>
    <col min="3" max="3" width="20" hidden="0" customWidth="1"/>
    <col min="4" max="4" width="16" hidden="0" customWidth="1"/>
    <col min="5" max="5" width="16" hidden="0" customWidth="1"/>
    <col min="6" max="6" width="16" hidden="0" customWidth="1"/>
  </cols>
  <sheetData>
    <row r="1" ht="34" customHeight="1">
      <c r="A1" s="4" t="str">
        <v>Deine WG einrichten</v>
      </c>
      <c r="B1" s="4" t="str">
        <v>Deine WG einrichten</v>
      </c>
      <c r="C1" s="4" t="str">
        <v>Deine WG einrichten</v>
      </c>
      <c r="D1" s="4" t="str">
        <v>Deine WG einrichten</v>
      </c>
      <c r="E1" s="4" t="str">
        <v>Deine WG einrichten</v>
      </c>
      <c r="F1" s="4" t="str">
        <v>Deine WG einrichten</v>
      </c>
    </row>
    <row r="2" ht="30" customHeight="1">
      <c r="A2" s="8" t="str">
        <v>Trage zwei bis sechs unterschiedliche Namen ein. Verwende in der gesamten Datei nur eine Währung.</v>
      </c>
      <c r="B2" s="8" t="str">
        <v>Trage zwei bis sechs unterschiedliche Namen ein. Verwende in der gesamten Datei nur eine Währung.</v>
      </c>
      <c r="C2" s="8" t="str">
        <v>Trage zwei bis sechs unterschiedliche Namen ein. Verwende in der gesamten Datei nur eine Währung.</v>
      </c>
      <c r="D2" s="8" t="str">
        <v>Trage zwei bis sechs unterschiedliche Namen ein. Verwende in der gesamten Datei nur eine Währung.</v>
      </c>
      <c r="E2" s="8" t="str">
        <v>Trage zwei bis sechs unterschiedliche Namen ein. Verwende in der gesamten Datei nur eine Währung.</v>
      </c>
      <c r="F2" s="8" t="str">
        <v>Trage zwei bis sechs unterschiedliche Namen ein. Verwende in der gesamten Datei nur eine Währung.</v>
      </c>
    </row>
    <row r="4">
      <c r="A4" s="58" t="str">
        <v>Name der WG (optional)</v>
      </c>
      <c r="B4" s="59"/>
      <c r="C4" s="60"/>
      <c r="D4" s="61"/>
    </row>
    <row r="5">
      <c r="A5" s="58" t="str">
        <v>Zeitraum</v>
      </c>
      <c r="B5" s="62"/>
      <c r="C5" s="16"/>
      <c r="D5" s="63"/>
    </row>
    <row r="6">
      <c r="A6" s="58" t="str">
        <v>Währung</v>
      </c>
      <c r="B6" s="64"/>
      <c r="C6" s="65"/>
      <c r="D6" s="66"/>
    </row>
    <row r="8" ht="34" customHeight="1">
      <c r="A8" s="51" t="str">
        <v>Person</v>
      </c>
      <c r="B8" s="51" t="str">
        <v>Name</v>
      </c>
      <c r="C8" s="51" t="str">
        <v>Anfangssaldo</v>
      </c>
    </row>
    <row r="9">
      <c r="A9" s="56" t="str">
        <v>Name von Person 1</v>
      </c>
      <c r="B9" s="67"/>
      <c r="C9" s="69" t="n">
        <v>0</v>
      </c>
    </row>
    <row r="10">
      <c r="A10" s="57" t="str">
        <v>Name von Person 2</v>
      </c>
      <c r="B10" s="68"/>
      <c r="C10" s="70" t="n">
        <v>0</v>
      </c>
    </row>
    <row r="11">
      <c r="A11" s="57" t="str">
        <v>Name von Person 3</v>
      </c>
      <c r="B11" s="68"/>
      <c r="C11" s="70" t="n">
        <v>0</v>
      </c>
    </row>
    <row r="12">
      <c r="A12" s="57" t="str">
        <v>Name von Person 4</v>
      </c>
      <c r="B12" s="68"/>
      <c r="C12" s="70" t="n">
        <v>0</v>
      </c>
    </row>
    <row r="13">
      <c r="A13" s="57" t="str">
        <v>Name von Person 5</v>
      </c>
      <c r="B13" s="68"/>
      <c r="C13" s="70" t="n">
        <v>0</v>
      </c>
    </row>
    <row r="14">
      <c r="A14" s="57" t="str">
        <v>Name von Person 6</v>
      </c>
      <c r="B14" s="68"/>
      <c r="C14" s="70" t="n">
        <v>0</v>
      </c>
    </row>
    <row r="16">
      <c r="A16" t="str">
        <v>Summe der Anfangssalden</v>
      </c>
      <c r="B16"/>
      <c r="C16" s="71" t="n">
        <f>SUM(C9:C14)</f>
        <v>0</v>
      </c>
    </row>
    <row r="17">
      <c r="A17" s="75" t="str">
        <f>IF(COUNTIF(B9:B14,"&lt;&gt;")&lt;2,"Trage mindestens zwei Namen ein.",IF(OR(AND(B9&lt;&gt;"",COUNTIF($B$9:$B$14,B9)&gt;1),AND(B10&lt;&gt;"",COUNTIF($B$9:$B$14,B10)&gt;1),AND(B11&lt;&gt;"",COUNTIF($B$9:$B$14,B11)&gt;1),AND(B12&lt;&gt;"",COUNTIF($B$9:$B$14,B12)&gt;1),AND(B13&lt;&gt;"",COUNTIF($B$9:$B$14,B13)&gt;1),AND(B14&lt;&gt;"",COUNTIF($B$9:$B$14,B14)&gt;1)),"Jede Person braucht einen eindeutigen Namen.",IF(ABS(C16)&gt;0.01,"Die Anfangssalden gehen nicht auf. Prüfe, ob ihre Summe 0,00 ergibt.","Geprüft: Die Anfangssalden ergeben zusammen 0,00.")))</f>
        <v>Trage mindestens zwei Namen ein.</v>
      </c>
      <c r="B17" s="75"/>
      <c r="C17" s="75"/>
      <c r="D17" s="75"/>
      <c r="E17" s="75"/>
      <c r="F17" s="75"/>
    </row>
    <row r="18">
      <c r="A18" s="75"/>
      <c r="B18" s="75"/>
      <c r="C18" s="75"/>
      <c r="D18" s="75"/>
      <c r="E18" s="75"/>
      <c r="F18" s="75"/>
    </row>
    <row r="20">
      <c r="A20" s="77" t="str">
        <v>Trage einen positiven Anfangssaldo ein, wenn die Person Geld zurückbekommt, und einen negativen, wenn sie noch zahlen muss.</v>
      </c>
      <c r="B20" s="77" t="str">
        <v>Trage einen positiven Anfangssaldo ein, wenn die Person Geld zurückbekommt, und einen negativen, wenn sie noch zahlen muss.</v>
      </c>
      <c r="C20" s="77" t="str">
        <v>Trage einen positiven Anfangssaldo ein, wenn die Person Geld zurückbekommt, und einen negativen, wenn sie noch zahlen muss.</v>
      </c>
      <c r="D20" s="77" t="str">
        <v>Trage einen positiven Anfangssaldo ein, wenn die Person Geld zurückbekommt, und einen negativen, wenn sie noch zahlen muss.</v>
      </c>
      <c r="E20" s="77" t="str">
        <v>Trage einen positiven Anfangssaldo ein, wenn die Person Geld zurückbekommt, und einen negativen, wenn sie noch zahlen muss.</v>
      </c>
      <c r="F20" s="77" t="str">
        <v>Trage einen positiven Anfangssaldo ein, wenn die Person Geld zurückbekommt, und einen negativen, wenn sie noch zahlen muss.</v>
      </c>
    </row>
    <row r="21">
      <c r="A21" s="77" t="str">
        <v>Übernimm die Anfangssalden aus einer einzigen, bereits geprüften Abrechnung. Ihre Summe muss null sein.</v>
      </c>
      <c r="B21" s="77" t="str">
        <v>Übernimm die Anfangssalden aus einer einzigen, bereits geprüften Abrechnung. Ihre Summe muss null sein.</v>
      </c>
      <c r="C21" s="77" t="str">
        <v>Übernimm die Anfangssalden aus einer einzigen, bereits geprüften Abrechnung. Ihre Summe muss null sein.</v>
      </c>
      <c r="D21" s="77" t="str">
        <v>Übernimm die Anfangssalden aus einer einzigen, bereits geprüften Abrechnung. Ihre Summe muss null sein.</v>
      </c>
      <c r="E21" s="77" t="str">
        <v>Übernimm die Anfangssalden aus einer einzigen, bereits geprüften Abrechnung. Ihre Summe muss null sein.</v>
      </c>
      <c r="F21" s="77" t="str">
        <v>Übernimm die Anfangssalden aus einer einzigen, bereits geprüften Abrechnung. Ihre Summe muss null sein.</v>
      </c>
    </row>
    <row r="22">
      <c r="A22" s="77" t="str">
        <v>Übernimm die Anfangssalden aus einer einzigen, bereits geprüften Abrechnung. Ihre Summe muss null sein.</v>
      </c>
      <c r="B22" s="77" t="str">
        <v>Übernimm die Anfangssalden aus einer einzigen, bereits geprüften Abrechnung. Ihre Summe muss null sein.</v>
      </c>
      <c r="C22" s="77" t="str">
        <v>Übernimm die Anfangssalden aus einer einzigen, bereits geprüften Abrechnung. Ihre Summe muss null sein.</v>
      </c>
      <c r="D22" s="77" t="str">
        <v>Übernimm die Anfangssalden aus einer einzigen, bereits geprüften Abrechnung. Ihre Summe muss null sein.</v>
      </c>
      <c r="E22" s="77" t="str">
        <v>Übernimm die Anfangssalden aus einer einzigen, bereits geprüften Abrechnung. Ihre Summe muss null sein.</v>
      </c>
      <c r="F22" s="77" t="str">
        <v>Übernimm die Anfangssalden aus einer einzigen, bereits geprüften Abrechnung. Ihre Summe muss null sein.</v>
      </c>
    </row>
  </sheetData>
  <mergeCells>
    <mergeCell ref="A1:F1"/>
    <mergeCell ref="A2:F2"/>
    <mergeCell ref="B4:D4"/>
    <mergeCell ref="B5:D5"/>
    <mergeCell ref="B6:D6"/>
    <mergeCell ref="A17:F18"/>
    <mergeCell ref="A20:F20"/>
    <mergeCell ref="A21:F22"/>
  </mergeCells>
  <conditionalFormatting sqref="A17:F18">
    <cfRule type="containsText" dxfId="0" priority="1" operator="containsText" text="Geprüft"/>
    <cfRule type="notContainsText" dxfId="1" priority="2" text="Geprüft"/>
  </conditionalFormatting>
  <dataValidations count="1">
    <dataValidation type="list" sqref="B6">
      <formula1>CurrenciesList</formula1>
    </dataValidation>
  </dataValidations>
  <pageMargins left="0.7" right="0.7" top="0.75" bottom="0.75" header="0.3" footer="0.3"/>
</worksheet>
</file>

<file path=xl/worksheets/sheet3.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13" hidden="0" customWidth="1"/>
    <col min="2" max="2" width="24" hidden="0" customWidth="1"/>
    <col min="3" max="3" width="22" hidden="0" customWidth="1"/>
    <col min="4" max="4" width="15" hidden="0" customWidth="1"/>
    <col min="5" max="5" width="19" hidden="0" customWidth="1"/>
    <col min="6" max="6" width="31" hidden="0" customWidth="1"/>
    <col min="7" max="7" width="15" hidden="0" customWidth="1"/>
    <col min="8" max="8" width="15" hidden="0" customWidth="1"/>
    <col min="9" max="9" width="15" hidden="0" customWidth="1"/>
    <col min="10" max="10" width="15" hidden="0" customWidth="1"/>
    <col min="11" max="11" width="15" hidden="0" customWidth="1"/>
    <col min="12" max="12" width="15" hidden="0" customWidth="1"/>
    <col min="13" max="13" width="16" hidden="0" customWidth="1"/>
    <col min="14" max="14" width="16" hidden="0" customWidth="1"/>
    <col min="15" max="15" width="16" hidden="0" customWidth="1"/>
    <col min="16" max="16" width="16" hidden="0" customWidth="1"/>
    <col min="17" max="17" width="16" hidden="0" customWidth="1"/>
    <col min="18" max="18" width="16" hidden="0" customWidth="1"/>
    <col min="19" max="19" width="30" hidden="0" customWidth="1"/>
    <col min="20" max="20" width="16" hidden="0" customWidth="1"/>
    <col min="21" max="21" width="16" hidden="0" customWidth="1"/>
    <col min="22" max="22" width="16" hidden="0" customWidth="1"/>
    <col min="23" max="23" width="16" hidden="0" customWidth="1"/>
    <col min="24" max="24" width="16" hidden="0" customWidth="1"/>
    <col min="25" max="25" width="16" hidden="0" customWidth="1"/>
    <col min="26" max="26" width="43" hidden="0" customWidth="1"/>
  </cols>
  <sheetData>
    <row r="1" ht="34" customHeight="1">
      <c r="A1" s="4" t="str">
        <v>Gemeinsame Ausgaben</v>
      </c>
      <c r="B1" s="4" t="str">
        <v>Gemeinsame Ausgaben</v>
      </c>
      <c r="C1" s="4" t="str">
        <v>Gemeinsame Ausgaben</v>
      </c>
      <c r="D1" s="4" t="str">
        <v>Gemeinsame Ausgaben</v>
      </c>
      <c r="E1" s="4" t="str">
        <v>Gemeinsame Ausgaben</v>
      </c>
      <c r="F1" s="4" t="str">
        <v>Gemeinsame Ausgaben</v>
      </c>
      <c r="G1" s="4" t="str">
        <v>Gemeinsame Ausgaben</v>
      </c>
      <c r="H1" s="4" t="str">
        <v>Gemeinsame Ausgaben</v>
      </c>
      <c r="I1" s="4" t="str">
        <v>Gemeinsame Ausgaben</v>
      </c>
      <c r="J1" s="4" t="str">
        <v>Gemeinsame Ausgaben</v>
      </c>
      <c r="K1" s="4" t="str">
        <v>Gemeinsame Ausgaben</v>
      </c>
      <c r="L1" s="4" t="str">
        <v>Gemeinsame Ausgaben</v>
      </c>
      <c r="M1" s="4" t="str">
        <v>Gemeinsame Ausgaben</v>
      </c>
      <c r="N1" s="4" t="str">
        <v>Gemeinsame Ausgaben</v>
      </c>
      <c r="O1" s="4" t="str">
        <v>Gemeinsame Ausgaben</v>
      </c>
      <c r="P1" s="4" t="str">
        <v>Gemeinsame Ausgaben</v>
      </c>
      <c r="Q1" s="4" t="str">
        <v>Gemeinsame Ausgaben</v>
      </c>
      <c r="R1" s="4" t="str">
        <v>Gemeinsame Ausgaben</v>
      </c>
      <c r="S1" s="4" t="str">
        <v>Gemeinsame Ausgaben</v>
      </c>
      <c r="T1" s="4" t="str">
        <v>Gemeinsame Ausgaben</v>
      </c>
      <c r="U1" s="4" t="str">
        <v>Gemeinsame Ausgaben</v>
      </c>
      <c r="V1" s="4" t="str">
        <v>Gemeinsame Ausgaben</v>
      </c>
      <c r="W1" s="4" t="str">
        <v>Gemeinsame Ausgaben</v>
      </c>
      <c r="X1" s="4" t="str">
        <v>Gemeinsame Ausgaben</v>
      </c>
      <c r="Y1" s="4" t="str">
        <v>Gemeinsame Ausgaben</v>
      </c>
      <c r="Z1" s="4" t="str">
        <v>Gemeinsame Ausgaben</v>
      </c>
    </row>
    <row r="2" ht="30" customHeight="1">
      <c r="A2" s="8" t="str">
        <v>Trage jede Ausgabe einmal ein. Teile sie gleichmäßig unter den Beteiligten auf oder verwende die Beträge, die ihr bereits vereinbart habt.</v>
      </c>
      <c r="B2" s="8" t="str">
        <v>Trage jede Ausgabe einmal ein. Teile sie gleichmäßig unter den Beteiligten auf oder verwende die Beträge, die ihr bereits vereinbart habt.</v>
      </c>
      <c r="C2" s="8" t="str">
        <v>Trage jede Ausgabe einmal ein. Teile sie gleichmäßig unter den Beteiligten auf oder verwende die Beträge, die ihr bereits vereinbart habt.</v>
      </c>
      <c r="D2" s="8" t="str">
        <v>Trage jede Ausgabe einmal ein. Teile sie gleichmäßig unter den Beteiligten auf oder verwende die Beträge, die ihr bereits vereinbart habt.</v>
      </c>
      <c r="E2" s="8" t="str">
        <v>Trage jede Ausgabe einmal ein. Teile sie gleichmäßig unter den Beteiligten auf oder verwende die Beträge, die ihr bereits vereinbart habt.</v>
      </c>
      <c r="F2" s="8" t="str">
        <v>Trage jede Ausgabe einmal ein. Teile sie gleichmäßig unter den Beteiligten auf oder verwende die Beträge, die ihr bereits vereinbart habt.</v>
      </c>
      <c r="G2" s="8" t="str">
        <v>Trage jede Ausgabe einmal ein. Teile sie gleichmäßig unter den Beteiligten auf oder verwende die Beträge, die ihr bereits vereinbart habt.</v>
      </c>
      <c r="H2" s="8" t="str">
        <v>Trage jede Ausgabe einmal ein. Teile sie gleichmäßig unter den Beteiligten auf oder verwende die Beträge, die ihr bereits vereinbart habt.</v>
      </c>
      <c r="I2" s="8" t="str">
        <v>Trage jede Ausgabe einmal ein. Teile sie gleichmäßig unter den Beteiligten auf oder verwende die Beträge, die ihr bereits vereinbart habt.</v>
      </c>
      <c r="J2" s="8" t="str">
        <v>Trage jede Ausgabe einmal ein. Teile sie gleichmäßig unter den Beteiligten auf oder verwende die Beträge, die ihr bereits vereinbart habt.</v>
      </c>
      <c r="K2" s="8" t="str">
        <v>Trage jede Ausgabe einmal ein. Teile sie gleichmäßig unter den Beteiligten auf oder verwende die Beträge, die ihr bereits vereinbart habt.</v>
      </c>
      <c r="L2" s="8" t="str">
        <v>Trage jede Ausgabe einmal ein. Teile sie gleichmäßig unter den Beteiligten auf oder verwende die Beträge, die ihr bereits vereinbart habt.</v>
      </c>
      <c r="M2" s="8" t="str">
        <v>Trage jede Ausgabe einmal ein. Teile sie gleichmäßig unter den Beteiligten auf oder verwende die Beträge, die ihr bereits vereinbart habt.</v>
      </c>
      <c r="N2" s="8" t="str">
        <v>Trage jede Ausgabe einmal ein. Teile sie gleichmäßig unter den Beteiligten auf oder verwende die Beträge, die ihr bereits vereinbart habt.</v>
      </c>
      <c r="O2" s="8" t="str">
        <v>Trage jede Ausgabe einmal ein. Teile sie gleichmäßig unter den Beteiligten auf oder verwende die Beträge, die ihr bereits vereinbart habt.</v>
      </c>
      <c r="P2" s="8" t="str">
        <v>Trage jede Ausgabe einmal ein. Teile sie gleichmäßig unter den Beteiligten auf oder verwende die Beträge, die ihr bereits vereinbart habt.</v>
      </c>
      <c r="Q2" s="8" t="str">
        <v>Trage jede Ausgabe einmal ein. Teile sie gleichmäßig unter den Beteiligten auf oder verwende die Beträge, die ihr bereits vereinbart habt.</v>
      </c>
      <c r="R2" s="8" t="str">
        <v>Trage jede Ausgabe einmal ein. Teile sie gleichmäßig unter den Beteiligten auf oder verwende die Beträge, die ihr bereits vereinbart habt.</v>
      </c>
      <c r="S2" s="8" t="str">
        <v>Trage jede Ausgabe einmal ein. Teile sie gleichmäßig unter den Beteiligten auf oder verwende die Beträge, die ihr bereits vereinbart habt.</v>
      </c>
      <c r="T2" s="8" t="str">
        <v>Trage jede Ausgabe einmal ein. Teile sie gleichmäßig unter den Beteiligten auf oder verwende die Beträge, die ihr bereits vereinbart habt.</v>
      </c>
      <c r="U2" s="8" t="str">
        <v>Trage jede Ausgabe einmal ein. Teile sie gleichmäßig unter den Beteiligten auf oder verwende die Beträge, die ihr bereits vereinbart habt.</v>
      </c>
      <c r="V2" s="8" t="str">
        <v>Trage jede Ausgabe einmal ein. Teile sie gleichmäßig unter den Beteiligten auf oder verwende die Beträge, die ihr bereits vereinbart habt.</v>
      </c>
      <c r="W2" s="8" t="str">
        <v>Trage jede Ausgabe einmal ein. Teile sie gleichmäßig unter den Beteiligten auf oder verwende die Beträge, die ihr bereits vereinbart habt.</v>
      </c>
      <c r="X2" s="8" t="str">
        <v>Trage jede Ausgabe einmal ein. Teile sie gleichmäßig unter den Beteiligten auf oder verwende die Beträge, die ihr bereits vereinbart habt.</v>
      </c>
      <c r="Y2" s="8" t="str">
        <v>Trage jede Ausgabe einmal ein. Teile sie gleichmäßig unter den Beteiligten auf oder verwende die Beträge, die ihr bereits vereinbart habt.</v>
      </c>
      <c r="Z2" s="8" t="str">
        <v>Trage jede Ausgabe einmal ein. Teile sie gleichmäßig unter den Beteiligten auf oder verwende die Beträge, die ihr bereits vereinbart habt.</v>
      </c>
    </row>
    <row r="3">
      <c r="A3" s="79" t="str">
        <v>Angaben zur Ausgabe</v>
      </c>
      <c r="B3" s="79"/>
      <c r="C3" s="79"/>
      <c r="D3" s="79"/>
      <c r="E3" s="79"/>
      <c r="F3" s="79"/>
      <c r="G3" s="79" t="str">
        <v>Beteiligt?</v>
      </c>
      <c r="H3" s="79"/>
      <c r="I3" s="79"/>
      <c r="J3" s="79"/>
      <c r="K3" s="79"/>
      <c r="L3" s="79"/>
      <c r="M3" s="79" t="str">
        <v>Vereinbarte Beträge</v>
      </c>
      <c r="N3" s="79"/>
      <c r="O3" s="79"/>
      <c r="P3" s="79"/>
      <c r="Q3" s="79"/>
      <c r="R3" s="79"/>
      <c r="S3" s="79" t="str">
        <v>Notizen</v>
      </c>
      <c r="T3" s="79" t="str">
        <v>Berechnete Anteile</v>
      </c>
      <c r="U3" s="79"/>
      <c r="V3" s="79"/>
      <c r="W3" s="79"/>
      <c r="X3" s="79"/>
      <c r="Y3" s="79"/>
      <c r="Z3" s="79" t="str">
        <v>Prüfung</v>
      </c>
    </row>
    <row r="4" ht="34" customHeight="1">
      <c r="A4" s="51" t="str">
        <v>Datum</v>
      </c>
      <c r="B4" s="51" t="str">
        <v>Ausgabe</v>
      </c>
      <c r="C4" s="51" t="str">
        <v>Kategorie</v>
      </c>
      <c r="D4" s="51" t="str">
        <v>Betrag</v>
      </c>
      <c r="E4" s="51" t="str">
        <v>Bezahlt von</v>
      </c>
      <c r="F4" s="51" t="str">
        <v>Aufteilung</v>
      </c>
      <c r="G4" s="51" t="str">
        <f>IF('Einrichtung'!B9="","Person 1",'Einrichtung'!B9)</f>
        <v>Person 1</v>
      </c>
      <c r="H4" s="51" t="str">
        <f>IF('Einrichtung'!B10="","Person 2",'Einrichtung'!B10)</f>
        <v>Person 2</v>
      </c>
      <c r="I4" s="51" t="str">
        <f>IF('Einrichtung'!B11="","Person 3",'Einrichtung'!B11)</f>
        <v>Person 3</v>
      </c>
      <c r="J4" s="51" t="str">
        <f>IF('Einrichtung'!B12="","Person 4",'Einrichtung'!B12)</f>
        <v>Person 4</v>
      </c>
      <c r="K4" s="51" t="str">
        <f>IF('Einrichtung'!B13="","Person 5",'Einrichtung'!B13)</f>
        <v>Person 5</v>
      </c>
      <c r="L4" s="51" t="str">
        <f>IF('Einrichtung'!B14="","Person 6",'Einrichtung'!B14)</f>
        <v>Person 6</v>
      </c>
      <c r="M4" s="51" t="str">
        <f>IF('Einrichtung'!B9="","Person 1",'Einrichtung'!B9)</f>
        <v>Person 1</v>
      </c>
      <c r="N4" s="51" t="str">
        <f>IF('Einrichtung'!B10="","Person 2",'Einrichtung'!B10)</f>
        <v>Person 2</v>
      </c>
      <c r="O4" s="51" t="str">
        <f>IF('Einrichtung'!B11="","Person 3",'Einrichtung'!B11)</f>
        <v>Person 3</v>
      </c>
      <c r="P4" s="51" t="str">
        <f>IF('Einrichtung'!B12="","Person 4",'Einrichtung'!B12)</f>
        <v>Person 4</v>
      </c>
      <c r="Q4" s="51" t="str">
        <f>IF('Einrichtung'!B13="","Person 5",'Einrichtung'!B13)</f>
        <v>Person 5</v>
      </c>
      <c r="R4" s="51" t="str">
        <f>IF('Einrichtung'!B14="","Person 6",'Einrichtung'!B14)</f>
        <v>Person 6</v>
      </c>
      <c r="S4" s="51" t="str">
        <v>Notizen</v>
      </c>
      <c r="T4" s="51" t="str">
        <f>IF('Einrichtung'!B9="","Person 1",'Einrichtung'!B9)</f>
        <v>Person 1</v>
      </c>
      <c r="U4" s="51" t="str">
        <f>IF('Einrichtung'!B10="","Person 2",'Einrichtung'!B10)</f>
        <v>Person 2</v>
      </c>
      <c r="V4" s="51" t="str">
        <f>IF('Einrichtung'!B11="","Person 3",'Einrichtung'!B11)</f>
        <v>Person 3</v>
      </c>
      <c r="W4" s="51" t="str">
        <f>IF('Einrichtung'!B12="","Person 4",'Einrichtung'!B12)</f>
        <v>Person 4</v>
      </c>
      <c r="X4" s="51" t="str">
        <f>IF('Einrichtung'!B13="","Person 5",'Einrichtung'!B13)</f>
        <v>Person 5</v>
      </c>
      <c r="Y4" s="51" t="str">
        <f>IF('Einrichtung'!B14="","Person 6",'Einrichtung'!B14)</f>
        <v>Person 6</v>
      </c>
      <c r="Z4" s="51" t="str">
        <v>Aufteilung prüfen</v>
      </c>
    </row>
    <row r="5">
      <c r="A5" s="82"/>
      <c r="B5" s="56"/>
      <c r="C5" s="56"/>
      <c r="D5" s="84"/>
      <c r="E5" s="56"/>
      <c r="F5" s="56"/>
      <c r="G5" s="56"/>
      <c r="H5" s="56"/>
      <c r="I5" s="56"/>
      <c r="J5" s="56"/>
      <c r="K5" s="56"/>
      <c r="L5" s="56"/>
      <c r="M5" s="84"/>
      <c r="N5" s="84"/>
      <c r="O5" s="84"/>
      <c r="P5" s="84"/>
      <c r="Q5" s="84"/>
      <c r="R5" s="84"/>
      <c r="S5" s="56"/>
      <c r="T5" s="86" t="str">
        <f>IF(COUNTIF($A5:$S5,"&lt;&gt;")=0,"",IF($F5="Gleichmäßig unter Beteiligten",IF(G5&lt;&gt;"Ja",0,IF(COUNTIF($H5:$L5,"Ja")=0,$D5-0,ROUND($D5/COUNTIF($G5:$L5,"Ja"),2))),IF($F5="Vereinbarte Beträge",IF(G5="Ja",M5,0),"")))</f>
      </c>
      <c r="U5" s="86" t="str">
        <f>IF(COUNTIF($A5:$S5,"&lt;&gt;")=0,"",IF($F5="Gleichmäßig unter Beteiligten",IF(H5&lt;&gt;"Ja",0,IF(COUNTIF($I5:$L5,"Ja")=0,$D5-SUM($T5:T5),ROUND($D5/COUNTIF($G5:$L5,"Ja"),2))),IF($F5="Vereinbarte Beträge",IF(H5="Ja",N5,0),"")))</f>
      </c>
      <c r="V5" s="86" t="str">
        <f>IF(COUNTIF($A5:$S5,"&lt;&gt;")=0,"",IF($F5="Gleichmäßig unter Beteiligten",IF(I5&lt;&gt;"Ja",0,IF(COUNTIF($J5:$L5,"Ja")=0,$D5-SUM($T5:U5),ROUND($D5/COUNTIF($G5:$L5,"Ja"),2))),IF($F5="Vereinbarte Beträge",IF(I5="Ja",O5,0),"")))</f>
      </c>
      <c r="W5" s="86" t="str">
        <f>IF(COUNTIF($A5:$S5,"&lt;&gt;")=0,"",IF($F5="Gleichmäßig unter Beteiligten",IF(J5&lt;&gt;"Ja",0,IF(COUNTIF($K5:$L5,"Ja")=0,$D5-SUM($T5:V5),ROUND($D5/COUNTIF($G5:$L5,"Ja"),2))),IF($F5="Vereinbarte Beträge",IF(J5="Ja",P5,0),"")))</f>
      </c>
      <c r="X5" s="86" t="str">
        <f>IF(COUNTIF($A5:$S5,"&lt;&gt;")=0,"",IF($F5="Gleichmäßig unter Beteiligten",IF(K5&lt;&gt;"Ja",0,IF(COUNTIF($L5:$L5,"Ja")=0,$D5-SUM($T5:W5),ROUND($D5/COUNTIF($G5:$L5,"Ja"),2))),IF($F5="Vereinbarte Beträge",IF(K5="Ja",Q5,0),"")))</f>
      </c>
      <c r="Y5" s="86" t="str">
        <f>IF(COUNTIF($A5:$S5,"&lt;&gt;")=0,"",IF($F5="Gleichmäßig unter Beteiligten",IF(L5&lt;&gt;"Ja",0,IF(0=0,$D5-SUM($T5:X5),ROUND($D5/COUNTIF($G5:$L5,"Ja"),2))),IF($F5="Vereinbarte Beträge",IF(L5="Ja",R5,0),"")))</f>
      </c>
      <c r="Z5" s="80" t="str">
        <f>IF(COUNTIF($A5:$S5,"&lt;&gt;")=0,"",IF(OR($D5="",$D5&lt;=0),"Trage einen Betrag größer als null ein.",IF($E5="","Wähle aus, wer bezahlt hat.",IF(COUNTIF($G5:$L5,"Ja")=0,"Wähle mindestens eine beteiligte Person aus.",IF($F5="Gleichmäßig unter Beteiligten","Geprüft",IF($F5="Vereinbarte Beträge",IF(OR(AND(G5="Ja",M5=""),AND(H5="Ja",N5=""),AND(I5="Ja",O5=""),AND(J5="Ja",P5=""),AND(K5="Ja",Q5=""),AND(L5="Ja",R5="")),"Trage die vereinbarten Beträge so ein, dass ihre Summe der Ausgabe entspricht.",IF(ABS(SUM($M5:$R5))&lt;0.005,"Trage die vereinbarten Beträge so ein, dass ihre Summe der Ausgabe entspricht.",IF(SUM($M5:$R5)&lt;$D5-0.005,"Bei der Aufteilung fehlen "&amp;ROUND($D5-SUM($M5:$R5),2)&amp;".",IF(SUM($M5:$R5)&gt;$D5+0.005,"Die Aufteilung übersteigt die Ausgabe um "&amp;ROUND(SUM($M5:$R5)-$D5,2)&amp;".","Geprüft")))),"Trage die vereinbarten Beträge so ein, dass ihre Summe der Ausgabe entspricht."))))))</f>
      </c>
    </row>
    <row r="6">
      <c r="A6" s="83"/>
      <c r="B6" s="57"/>
      <c r="C6" s="57"/>
      <c r="D6" s="85"/>
      <c r="E6" s="57"/>
      <c r="F6" s="57"/>
      <c r="G6" s="57"/>
      <c r="H6" s="57"/>
      <c r="I6" s="57"/>
      <c r="J6" s="57"/>
      <c r="K6" s="57"/>
      <c r="L6" s="57"/>
      <c r="M6" s="85"/>
      <c r="N6" s="85"/>
      <c r="O6" s="85"/>
      <c r="P6" s="85"/>
      <c r="Q6" s="85"/>
      <c r="R6" s="85"/>
      <c r="S6" s="57"/>
      <c r="T6" s="87" t="str">
        <f>IF(COUNTIF($A6:$S6,"&lt;&gt;")=0,"",IF($F6="Gleichmäßig unter Beteiligten",IF(G6&lt;&gt;"Ja",0,IF(COUNTIF($H6:$L6,"Ja")=0,$D6-0,ROUND($D6/COUNTIF($G6:$L6,"Ja"),2))),IF($F6="Vereinbarte Beträge",IF(G6="Ja",M6,0),"")))</f>
      </c>
      <c r="U6" s="87" t="str">
        <f>IF(COUNTIF($A6:$S6,"&lt;&gt;")=0,"",IF($F6="Gleichmäßig unter Beteiligten",IF(H6&lt;&gt;"Ja",0,IF(COUNTIF($I6:$L6,"Ja")=0,$D6-SUM($T6:T6),ROUND($D6/COUNTIF($G6:$L6,"Ja"),2))),IF($F6="Vereinbarte Beträge",IF(H6="Ja",N6,0),"")))</f>
      </c>
      <c r="V6" s="87" t="str">
        <f>IF(COUNTIF($A6:$S6,"&lt;&gt;")=0,"",IF($F6="Gleichmäßig unter Beteiligten",IF(I6&lt;&gt;"Ja",0,IF(COUNTIF($J6:$L6,"Ja")=0,$D6-SUM($T6:U6),ROUND($D6/COUNTIF($G6:$L6,"Ja"),2))),IF($F6="Vereinbarte Beträge",IF(I6="Ja",O6,0),"")))</f>
      </c>
      <c r="W6" s="87" t="str">
        <f>IF(COUNTIF($A6:$S6,"&lt;&gt;")=0,"",IF($F6="Gleichmäßig unter Beteiligten",IF(J6&lt;&gt;"Ja",0,IF(COUNTIF($K6:$L6,"Ja")=0,$D6-SUM($T6:V6),ROUND($D6/COUNTIF($G6:$L6,"Ja"),2))),IF($F6="Vereinbarte Beträge",IF(J6="Ja",P6,0),"")))</f>
      </c>
      <c r="X6" s="87" t="str">
        <f>IF(COUNTIF($A6:$S6,"&lt;&gt;")=0,"",IF($F6="Gleichmäßig unter Beteiligten",IF(K6&lt;&gt;"Ja",0,IF(COUNTIF($L6:$L6,"Ja")=0,$D6-SUM($T6:W6),ROUND($D6/COUNTIF($G6:$L6,"Ja"),2))),IF($F6="Vereinbarte Beträge",IF(K6="Ja",Q6,0),"")))</f>
      </c>
      <c r="Y6" s="87" t="str">
        <f>IF(COUNTIF($A6:$S6,"&lt;&gt;")=0,"",IF($F6="Gleichmäßig unter Beteiligten",IF(L6&lt;&gt;"Ja",0,IF(0=0,$D6-SUM($T6:X6),ROUND($D6/COUNTIF($G6:$L6,"Ja"),2))),IF($F6="Vereinbarte Beträge",IF(L6="Ja",R6,0),"")))</f>
      </c>
      <c r="Z6" s="81" t="str">
        <f>IF(COUNTIF($A6:$S6,"&lt;&gt;")=0,"",IF(OR($D6="",$D6&lt;=0),"Trage einen Betrag größer als null ein.",IF($E6="","Wähle aus, wer bezahlt hat.",IF(COUNTIF($G6:$L6,"Ja")=0,"Wähle mindestens eine beteiligte Person aus.",IF($F6="Gleichmäßig unter Beteiligten","Geprüft",IF($F6="Vereinbarte Beträge",IF(OR(AND(G6="Ja",M6=""),AND(H6="Ja",N6=""),AND(I6="Ja",O6=""),AND(J6="Ja",P6=""),AND(K6="Ja",Q6=""),AND(L6="Ja",R6="")),"Trage die vereinbarten Beträge so ein, dass ihre Summe der Ausgabe entspricht.",IF(ABS(SUM($M6:$R6))&lt;0.005,"Trage die vereinbarten Beträge so ein, dass ihre Summe der Ausgabe entspricht.",IF(SUM($M6:$R6)&lt;$D6-0.005,"Bei der Aufteilung fehlen "&amp;ROUND($D6-SUM($M6:$R6),2)&amp;".",IF(SUM($M6:$R6)&gt;$D6+0.005,"Die Aufteilung übersteigt die Ausgabe um "&amp;ROUND(SUM($M6:$R6)-$D6,2)&amp;".","Geprüft")))),"Trage die vereinbarten Beträge so ein, dass ihre Summe der Ausgabe entspricht."))))))</f>
      </c>
    </row>
    <row r="7">
      <c r="A7" s="83"/>
      <c r="B7" s="57"/>
      <c r="C7" s="57"/>
      <c r="D7" s="85"/>
      <c r="E7" s="57"/>
      <c r="F7" s="57"/>
      <c r="G7" s="57"/>
      <c r="H7" s="57"/>
      <c r="I7" s="57"/>
      <c r="J7" s="57"/>
      <c r="K7" s="57"/>
      <c r="L7" s="57"/>
      <c r="M7" s="85"/>
      <c r="N7" s="85"/>
      <c r="O7" s="85"/>
      <c r="P7" s="85"/>
      <c r="Q7" s="85"/>
      <c r="R7" s="85"/>
      <c r="S7" s="57"/>
      <c r="T7" s="87" t="str">
        <f>IF(COUNTIF($A7:$S7,"&lt;&gt;")=0,"",IF($F7="Gleichmäßig unter Beteiligten",IF(G7&lt;&gt;"Ja",0,IF(COUNTIF($H7:$L7,"Ja")=0,$D7-0,ROUND($D7/COUNTIF($G7:$L7,"Ja"),2))),IF($F7="Vereinbarte Beträge",IF(G7="Ja",M7,0),"")))</f>
      </c>
      <c r="U7" s="87" t="str">
        <f>IF(COUNTIF($A7:$S7,"&lt;&gt;")=0,"",IF($F7="Gleichmäßig unter Beteiligten",IF(H7&lt;&gt;"Ja",0,IF(COUNTIF($I7:$L7,"Ja")=0,$D7-SUM($T7:T7),ROUND($D7/COUNTIF($G7:$L7,"Ja"),2))),IF($F7="Vereinbarte Beträge",IF(H7="Ja",N7,0),"")))</f>
      </c>
      <c r="V7" s="87" t="str">
        <f>IF(COUNTIF($A7:$S7,"&lt;&gt;")=0,"",IF($F7="Gleichmäßig unter Beteiligten",IF(I7&lt;&gt;"Ja",0,IF(COUNTIF($J7:$L7,"Ja")=0,$D7-SUM($T7:U7),ROUND($D7/COUNTIF($G7:$L7,"Ja"),2))),IF($F7="Vereinbarte Beträge",IF(I7="Ja",O7,0),"")))</f>
      </c>
      <c r="W7" s="87" t="str">
        <f>IF(COUNTIF($A7:$S7,"&lt;&gt;")=0,"",IF($F7="Gleichmäßig unter Beteiligten",IF(J7&lt;&gt;"Ja",0,IF(COUNTIF($K7:$L7,"Ja")=0,$D7-SUM($T7:V7),ROUND($D7/COUNTIF($G7:$L7,"Ja"),2))),IF($F7="Vereinbarte Beträge",IF(J7="Ja",P7,0),"")))</f>
      </c>
      <c r="X7" s="87" t="str">
        <f>IF(COUNTIF($A7:$S7,"&lt;&gt;")=0,"",IF($F7="Gleichmäßig unter Beteiligten",IF(K7&lt;&gt;"Ja",0,IF(COUNTIF($L7:$L7,"Ja")=0,$D7-SUM($T7:W7),ROUND($D7/COUNTIF($G7:$L7,"Ja"),2))),IF($F7="Vereinbarte Beträge",IF(K7="Ja",Q7,0),"")))</f>
      </c>
      <c r="Y7" s="87" t="str">
        <f>IF(COUNTIF($A7:$S7,"&lt;&gt;")=0,"",IF($F7="Gleichmäßig unter Beteiligten",IF(L7&lt;&gt;"Ja",0,IF(0=0,$D7-SUM($T7:X7),ROUND($D7/COUNTIF($G7:$L7,"Ja"),2))),IF($F7="Vereinbarte Beträge",IF(L7="Ja",R7,0),"")))</f>
      </c>
      <c r="Z7" s="81" t="str">
        <f>IF(COUNTIF($A7:$S7,"&lt;&gt;")=0,"",IF(OR($D7="",$D7&lt;=0),"Trage einen Betrag größer als null ein.",IF($E7="","Wähle aus, wer bezahlt hat.",IF(COUNTIF($G7:$L7,"Ja")=0,"Wähle mindestens eine beteiligte Person aus.",IF($F7="Gleichmäßig unter Beteiligten","Geprüft",IF($F7="Vereinbarte Beträge",IF(OR(AND(G7="Ja",M7=""),AND(H7="Ja",N7=""),AND(I7="Ja",O7=""),AND(J7="Ja",P7=""),AND(K7="Ja",Q7=""),AND(L7="Ja",R7="")),"Trage die vereinbarten Beträge so ein, dass ihre Summe der Ausgabe entspricht.",IF(ABS(SUM($M7:$R7))&lt;0.005,"Trage die vereinbarten Beträge so ein, dass ihre Summe der Ausgabe entspricht.",IF(SUM($M7:$R7)&lt;$D7-0.005,"Bei der Aufteilung fehlen "&amp;ROUND($D7-SUM($M7:$R7),2)&amp;".",IF(SUM($M7:$R7)&gt;$D7+0.005,"Die Aufteilung übersteigt die Ausgabe um "&amp;ROUND(SUM($M7:$R7)-$D7,2)&amp;".","Geprüft")))),"Trage die vereinbarten Beträge so ein, dass ihre Summe der Ausgabe entspricht."))))))</f>
      </c>
    </row>
    <row r="8">
      <c r="A8" s="83"/>
      <c r="B8" s="57"/>
      <c r="C8" s="57"/>
      <c r="D8" s="85"/>
      <c r="E8" s="57"/>
      <c r="F8" s="57"/>
      <c r="G8" s="57"/>
      <c r="H8" s="57"/>
      <c r="I8" s="57"/>
      <c r="J8" s="57"/>
      <c r="K8" s="57"/>
      <c r="L8" s="57"/>
      <c r="M8" s="85"/>
      <c r="N8" s="85"/>
      <c r="O8" s="85"/>
      <c r="P8" s="85"/>
      <c r="Q8" s="85"/>
      <c r="R8" s="85"/>
      <c r="S8" s="57"/>
      <c r="T8" s="87" t="str">
        <f>IF(COUNTIF($A8:$S8,"&lt;&gt;")=0,"",IF($F8="Gleichmäßig unter Beteiligten",IF(G8&lt;&gt;"Ja",0,IF(COUNTIF($H8:$L8,"Ja")=0,$D8-0,ROUND($D8/COUNTIF($G8:$L8,"Ja"),2))),IF($F8="Vereinbarte Beträge",IF(G8="Ja",M8,0),"")))</f>
      </c>
      <c r="U8" s="87" t="str">
        <f>IF(COUNTIF($A8:$S8,"&lt;&gt;")=0,"",IF($F8="Gleichmäßig unter Beteiligten",IF(H8&lt;&gt;"Ja",0,IF(COUNTIF($I8:$L8,"Ja")=0,$D8-SUM($T8:T8),ROUND($D8/COUNTIF($G8:$L8,"Ja"),2))),IF($F8="Vereinbarte Beträge",IF(H8="Ja",N8,0),"")))</f>
      </c>
      <c r="V8" s="87" t="str">
        <f>IF(COUNTIF($A8:$S8,"&lt;&gt;")=0,"",IF($F8="Gleichmäßig unter Beteiligten",IF(I8&lt;&gt;"Ja",0,IF(COUNTIF($J8:$L8,"Ja")=0,$D8-SUM($T8:U8),ROUND($D8/COUNTIF($G8:$L8,"Ja"),2))),IF($F8="Vereinbarte Beträge",IF(I8="Ja",O8,0),"")))</f>
      </c>
      <c r="W8" s="87" t="str">
        <f>IF(COUNTIF($A8:$S8,"&lt;&gt;")=0,"",IF($F8="Gleichmäßig unter Beteiligten",IF(J8&lt;&gt;"Ja",0,IF(COUNTIF($K8:$L8,"Ja")=0,$D8-SUM($T8:V8),ROUND($D8/COUNTIF($G8:$L8,"Ja"),2))),IF($F8="Vereinbarte Beträge",IF(J8="Ja",P8,0),"")))</f>
      </c>
      <c r="X8" s="87" t="str">
        <f>IF(COUNTIF($A8:$S8,"&lt;&gt;")=0,"",IF($F8="Gleichmäßig unter Beteiligten",IF(K8&lt;&gt;"Ja",0,IF(COUNTIF($L8:$L8,"Ja")=0,$D8-SUM($T8:W8),ROUND($D8/COUNTIF($G8:$L8,"Ja"),2))),IF($F8="Vereinbarte Beträge",IF(K8="Ja",Q8,0),"")))</f>
      </c>
      <c r="Y8" s="87" t="str">
        <f>IF(COUNTIF($A8:$S8,"&lt;&gt;")=0,"",IF($F8="Gleichmäßig unter Beteiligten",IF(L8&lt;&gt;"Ja",0,IF(0=0,$D8-SUM($T8:X8),ROUND($D8/COUNTIF($G8:$L8,"Ja"),2))),IF($F8="Vereinbarte Beträge",IF(L8="Ja",R8,0),"")))</f>
      </c>
      <c r="Z8" s="81" t="str">
        <f>IF(COUNTIF($A8:$S8,"&lt;&gt;")=0,"",IF(OR($D8="",$D8&lt;=0),"Trage einen Betrag größer als null ein.",IF($E8="","Wähle aus, wer bezahlt hat.",IF(COUNTIF($G8:$L8,"Ja")=0,"Wähle mindestens eine beteiligte Person aus.",IF($F8="Gleichmäßig unter Beteiligten","Geprüft",IF($F8="Vereinbarte Beträge",IF(OR(AND(G8="Ja",M8=""),AND(H8="Ja",N8=""),AND(I8="Ja",O8=""),AND(J8="Ja",P8=""),AND(K8="Ja",Q8=""),AND(L8="Ja",R8="")),"Trage die vereinbarten Beträge so ein, dass ihre Summe der Ausgabe entspricht.",IF(ABS(SUM($M8:$R8))&lt;0.005,"Trage die vereinbarten Beträge so ein, dass ihre Summe der Ausgabe entspricht.",IF(SUM($M8:$R8)&lt;$D8-0.005,"Bei der Aufteilung fehlen "&amp;ROUND($D8-SUM($M8:$R8),2)&amp;".",IF(SUM($M8:$R8)&gt;$D8+0.005,"Die Aufteilung übersteigt die Ausgabe um "&amp;ROUND(SUM($M8:$R8)-$D8,2)&amp;".","Geprüft")))),"Trage die vereinbarten Beträge so ein, dass ihre Summe der Ausgabe entspricht."))))))</f>
      </c>
    </row>
    <row r="9">
      <c r="A9" s="83"/>
      <c r="B9" s="57"/>
      <c r="C9" s="57"/>
      <c r="D9" s="85"/>
      <c r="E9" s="57"/>
      <c r="F9" s="57"/>
      <c r="G9" s="57"/>
      <c r="H9" s="57"/>
      <c r="I9" s="57"/>
      <c r="J9" s="57"/>
      <c r="K9" s="57"/>
      <c r="L9" s="57"/>
      <c r="M9" s="85"/>
      <c r="N9" s="85"/>
      <c r="O9" s="85"/>
      <c r="P9" s="85"/>
      <c r="Q9" s="85"/>
      <c r="R9" s="85"/>
      <c r="S9" s="57"/>
      <c r="T9" s="87" t="str">
        <f>IF(COUNTIF($A9:$S9,"&lt;&gt;")=0,"",IF($F9="Gleichmäßig unter Beteiligten",IF(G9&lt;&gt;"Ja",0,IF(COUNTIF($H9:$L9,"Ja")=0,$D9-0,ROUND($D9/COUNTIF($G9:$L9,"Ja"),2))),IF($F9="Vereinbarte Beträge",IF(G9="Ja",M9,0),"")))</f>
      </c>
      <c r="U9" s="87" t="str">
        <f>IF(COUNTIF($A9:$S9,"&lt;&gt;")=0,"",IF($F9="Gleichmäßig unter Beteiligten",IF(H9&lt;&gt;"Ja",0,IF(COUNTIF($I9:$L9,"Ja")=0,$D9-SUM($T9:T9),ROUND($D9/COUNTIF($G9:$L9,"Ja"),2))),IF($F9="Vereinbarte Beträge",IF(H9="Ja",N9,0),"")))</f>
      </c>
      <c r="V9" s="87" t="str">
        <f>IF(COUNTIF($A9:$S9,"&lt;&gt;")=0,"",IF($F9="Gleichmäßig unter Beteiligten",IF(I9&lt;&gt;"Ja",0,IF(COUNTIF($J9:$L9,"Ja")=0,$D9-SUM($T9:U9),ROUND($D9/COUNTIF($G9:$L9,"Ja"),2))),IF($F9="Vereinbarte Beträge",IF(I9="Ja",O9,0),"")))</f>
      </c>
      <c r="W9" s="87" t="str">
        <f>IF(COUNTIF($A9:$S9,"&lt;&gt;")=0,"",IF($F9="Gleichmäßig unter Beteiligten",IF(J9&lt;&gt;"Ja",0,IF(COUNTIF($K9:$L9,"Ja")=0,$D9-SUM($T9:V9),ROUND($D9/COUNTIF($G9:$L9,"Ja"),2))),IF($F9="Vereinbarte Beträge",IF(J9="Ja",P9,0),"")))</f>
      </c>
      <c r="X9" s="87" t="str">
        <f>IF(COUNTIF($A9:$S9,"&lt;&gt;")=0,"",IF($F9="Gleichmäßig unter Beteiligten",IF(K9&lt;&gt;"Ja",0,IF(COUNTIF($L9:$L9,"Ja")=0,$D9-SUM($T9:W9),ROUND($D9/COUNTIF($G9:$L9,"Ja"),2))),IF($F9="Vereinbarte Beträge",IF(K9="Ja",Q9,0),"")))</f>
      </c>
      <c r="Y9" s="87" t="str">
        <f>IF(COUNTIF($A9:$S9,"&lt;&gt;")=0,"",IF($F9="Gleichmäßig unter Beteiligten",IF(L9&lt;&gt;"Ja",0,IF(0=0,$D9-SUM($T9:X9),ROUND($D9/COUNTIF($G9:$L9,"Ja"),2))),IF($F9="Vereinbarte Beträge",IF(L9="Ja",R9,0),"")))</f>
      </c>
      <c r="Z9" s="81" t="str">
        <f>IF(COUNTIF($A9:$S9,"&lt;&gt;")=0,"",IF(OR($D9="",$D9&lt;=0),"Trage einen Betrag größer als null ein.",IF($E9="","Wähle aus, wer bezahlt hat.",IF(COUNTIF($G9:$L9,"Ja")=0,"Wähle mindestens eine beteiligte Person aus.",IF($F9="Gleichmäßig unter Beteiligten","Geprüft",IF($F9="Vereinbarte Beträge",IF(OR(AND(G9="Ja",M9=""),AND(H9="Ja",N9=""),AND(I9="Ja",O9=""),AND(J9="Ja",P9=""),AND(K9="Ja",Q9=""),AND(L9="Ja",R9="")),"Trage die vereinbarten Beträge so ein, dass ihre Summe der Ausgabe entspricht.",IF(ABS(SUM($M9:$R9))&lt;0.005,"Trage die vereinbarten Beträge so ein, dass ihre Summe der Ausgabe entspricht.",IF(SUM($M9:$R9)&lt;$D9-0.005,"Bei der Aufteilung fehlen "&amp;ROUND($D9-SUM($M9:$R9),2)&amp;".",IF(SUM($M9:$R9)&gt;$D9+0.005,"Die Aufteilung übersteigt die Ausgabe um "&amp;ROUND(SUM($M9:$R9)-$D9,2)&amp;".","Geprüft")))),"Trage die vereinbarten Beträge so ein, dass ihre Summe der Ausgabe entspricht."))))))</f>
      </c>
    </row>
    <row r="10">
      <c r="A10" s="83"/>
      <c r="B10" s="57"/>
      <c r="C10" s="57"/>
      <c r="D10" s="85"/>
      <c r="E10" s="57"/>
      <c r="F10" s="57"/>
      <c r="G10" s="57"/>
      <c r="H10" s="57"/>
      <c r="I10" s="57"/>
      <c r="J10" s="57"/>
      <c r="K10" s="57"/>
      <c r="L10" s="57"/>
      <c r="M10" s="85"/>
      <c r="N10" s="85"/>
      <c r="O10" s="85"/>
      <c r="P10" s="85"/>
      <c r="Q10" s="85"/>
      <c r="R10" s="85"/>
      <c r="S10" s="57"/>
      <c r="T10" s="87" t="str">
        <f>IF(COUNTIF($A10:$S10,"&lt;&gt;")=0,"",IF($F10="Gleichmäßig unter Beteiligten",IF(G10&lt;&gt;"Ja",0,IF(COUNTIF($H10:$L10,"Ja")=0,$D10-0,ROUND($D10/COUNTIF($G10:$L10,"Ja"),2))),IF($F10="Vereinbarte Beträge",IF(G10="Ja",M10,0),"")))</f>
      </c>
      <c r="U10" s="87" t="str">
        <f>IF(COUNTIF($A10:$S10,"&lt;&gt;")=0,"",IF($F10="Gleichmäßig unter Beteiligten",IF(H10&lt;&gt;"Ja",0,IF(COUNTIF($I10:$L10,"Ja")=0,$D10-SUM($T10:T10),ROUND($D10/COUNTIF($G10:$L10,"Ja"),2))),IF($F10="Vereinbarte Beträge",IF(H10="Ja",N10,0),"")))</f>
      </c>
      <c r="V10" s="87" t="str">
        <f>IF(COUNTIF($A10:$S10,"&lt;&gt;")=0,"",IF($F10="Gleichmäßig unter Beteiligten",IF(I10&lt;&gt;"Ja",0,IF(COUNTIF($J10:$L10,"Ja")=0,$D10-SUM($T10:U10),ROUND($D10/COUNTIF($G10:$L10,"Ja"),2))),IF($F10="Vereinbarte Beträge",IF(I10="Ja",O10,0),"")))</f>
      </c>
      <c r="W10" s="87" t="str">
        <f>IF(COUNTIF($A10:$S10,"&lt;&gt;")=0,"",IF($F10="Gleichmäßig unter Beteiligten",IF(J10&lt;&gt;"Ja",0,IF(COUNTIF($K10:$L10,"Ja")=0,$D10-SUM($T10:V10),ROUND($D10/COUNTIF($G10:$L10,"Ja"),2))),IF($F10="Vereinbarte Beträge",IF(J10="Ja",P10,0),"")))</f>
      </c>
      <c r="X10" s="87" t="str">
        <f>IF(COUNTIF($A10:$S10,"&lt;&gt;")=0,"",IF($F10="Gleichmäßig unter Beteiligten",IF(K10&lt;&gt;"Ja",0,IF(COUNTIF($L10:$L10,"Ja")=0,$D10-SUM($T10:W10),ROUND($D10/COUNTIF($G10:$L10,"Ja"),2))),IF($F10="Vereinbarte Beträge",IF(K10="Ja",Q10,0),"")))</f>
      </c>
      <c r="Y10" s="87" t="str">
        <f>IF(COUNTIF($A10:$S10,"&lt;&gt;")=0,"",IF($F10="Gleichmäßig unter Beteiligten",IF(L10&lt;&gt;"Ja",0,IF(0=0,$D10-SUM($T10:X10),ROUND($D10/COUNTIF($G10:$L10,"Ja"),2))),IF($F10="Vereinbarte Beträge",IF(L10="Ja",R10,0),"")))</f>
      </c>
      <c r="Z10" s="81" t="str">
        <f>IF(COUNTIF($A10:$S10,"&lt;&gt;")=0,"",IF(OR($D10="",$D10&lt;=0),"Trage einen Betrag größer als null ein.",IF($E10="","Wähle aus, wer bezahlt hat.",IF(COUNTIF($G10:$L10,"Ja")=0,"Wähle mindestens eine beteiligte Person aus.",IF($F10="Gleichmäßig unter Beteiligten","Geprüft",IF($F10="Vereinbarte Beträge",IF(OR(AND(G10="Ja",M10=""),AND(H10="Ja",N10=""),AND(I10="Ja",O10=""),AND(J10="Ja",P10=""),AND(K10="Ja",Q10=""),AND(L10="Ja",R10="")),"Trage die vereinbarten Beträge so ein, dass ihre Summe der Ausgabe entspricht.",IF(ABS(SUM($M10:$R10))&lt;0.005,"Trage die vereinbarten Beträge so ein, dass ihre Summe der Ausgabe entspricht.",IF(SUM($M10:$R10)&lt;$D10-0.005,"Bei der Aufteilung fehlen "&amp;ROUND($D10-SUM($M10:$R10),2)&amp;".",IF(SUM($M10:$R10)&gt;$D10+0.005,"Die Aufteilung übersteigt die Ausgabe um "&amp;ROUND(SUM($M10:$R10)-$D10,2)&amp;".","Geprüft")))),"Trage die vereinbarten Beträge so ein, dass ihre Summe der Ausgabe entspricht."))))))</f>
      </c>
    </row>
    <row r="11">
      <c r="A11" s="83"/>
      <c r="B11" s="57"/>
      <c r="C11" s="57"/>
      <c r="D11" s="85"/>
      <c r="E11" s="57"/>
      <c r="F11" s="57"/>
      <c r="G11" s="57"/>
      <c r="H11" s="57"/>
      <c r="I11" s="57"/>
      <c r="J11" s="57"/>
      <c r="K11" s="57"/>
      <c r="L11" s="57"/>
      <c r="M11" s="85"/>
      <c r="N11" s="85"/>
      <c r="O11" s="85"/>
      <c r="P11" s="85"/>
      <c r="Q11" s="85"/>
      <c r="R11" s="85"/>
      <c r="S11" s="57"/>
      <c r="T11" s="87" t="str">
        <f>IF(COUNTIF($A11:$S11,"&lt;&gt;")=0,"",IF($F11="Gleichmäßig unter Beteiligten",IF(G11&lt;&gt;"Ja",0,IF(COUNTIF($H11:$L11,"Ja")=0,$D11-0,ROUND($D11/COUNTIF($G11:$L11,"Ja"),2))),IF($F11="Vereinbarte Beträge",IF(G11="Ja",M11,0),"")))</f>
      </c>
      <c r="U11" s="87" t="str">
        <f>IF(COUNTIF($A11:$S11,"&lt;&gt;")=0,"",IF($F11="Gleichmäßig unter Beteiligten",IF(H11&lt;&gt;"Ja",0,IF(COUNTIF($I11:$L11,"Ja")=0,$D11-SUM($T11:T11),ROUND($D11/COUNTIF($G11:$L11,"Ja"),2))),IF($F11="Vereinbarte Beträge",IF(H11="Ja",N11,0),"")))</f>
      </c>
      <c r="V11" s="87" t="str">
        <f>IF(COUNTIF($A11:$S11,"&lt;&gt;")=0,"",IF($F11="Gleichmäßig unter Beteiligten",IF(I11&lt;&gt;"Ja",0,IF(COUNTIF($J11:$L11,"Ja")=0,$D11-SUM($T11:U11),ROUND($D11/COUNTIF($G11:$L11,"Ja"),2))),IF($F11="Vereinbarte Beträge",IF(I11="Ja",O11,0),"")))</f>
      </c>
      <c r="W11" s="87" t="str">
        <f>IF(COUNTIF($A11:$S11,"&lt;&gt;")=0,"",IF($F11="Gleichmäßig unter Beteiligten",IF(J11&lt;&gt;"Ja",0,IF(COUNTIF($K11:$L11,"Ja")=0,$D11-SUM($T11:V11),ROUND($D11/COUNTIF($G11:$L11,"Ja"),2))),IF($F11="Vereinbarte Beträge",IF(J11="Ja",P11,0),"")))</f>
      </c>
      <c r="X11" s="87" t="str">
        <f>IF(COUNTIF($A11:$S11,"&lt;&gt;")=0,"",IF($F11="Gleichmäßig unter Beteiligten",IF(K11&lt;&gt;"Ja",0,IF(COUNTIF($L11:$L11,"Ja")=0,$D11-SUM($T11:W11),ROUND($D11/COUNTIF($G11:$L11,"Ja"),2))),IF($F11="Vereinbarte Beträge",IF(K11="Ja",Q11,0),"")))</f>
      </c>
      <c r="Y11" s="87" t="str">
        <f>IF(COUNTIF($A11:$S11,"&lt;&gt;")=0,"",IF($F11="Gleichmäßig unter Beteiligten",IF(L11&lt;&gt;"Ja",0,IF(0=0,$D11-SUM($T11:X11),ROUND($D11/COUNTIF($G11:$L11,"Ja"),2))),IF($F11="Vereinbarte Beträge",IF(L11="Ja",R11,0),"")))</f>
      </c>
      <c r="Z11" s="81" t="str">
        <f>IF(COUNTIF($A11:$S11,"&lt;&gt;")=0,"",IF(OR($D11="",$D11&lt;=0),"Trage einen Betrag größer als null ein.",IF($E11="","Wähle aus, wer bezahlt hat.",IF(COUNTIF($G11:$L11,"Ja")=0,"Wähle mindestens eine beteiligte Person aus.",IF($F11="Gleichmäßig unter Beteiligten","Geprüft",IF($F11="Vereinbarte Beträge",IF(OR(AND(G11="Ja",M11=""),AND(H11="Ja",N11=""),AND(I11="Ja",O11=""),AND(J11="Ja",P11=""),AND(K11="Ja",Q11=""),AND(L11="Ja",R11="")),"Trage die vereinbarten Beträge so ein, dass ihre Summe der Ausgabe entspricht.",IF(ABS(SUM($M11:$R11))&lt;0.005,"Trage die vereinbarten Beträge so ein, dass ihre Summe der Ausgabe entspricht.",IF(SUM($M11:$R11)&lt;$D11-0.005,"Bei der Aufteilung fehlen "&amp;ROUND($D11-SUM($M11:$R11),2)&amp;".",IF(SUM($M11:$R11)&gt;$D11+0.005,"Die Aufteilung übersteigt die Ausgabe um "&amp;ROUND(SUM($M11:$R11)-$D11,2)&amp;".","Geprüft")))),"Trage die vereinbarten Beträge so ein, dass ihre Summe der Ausgabe entspricht."))))))</f>
      </c>
    </row>
    <row r="12">
      <c r="A12" s="83"/>
      <c r="B12" s="57"/>
      <c r="C12" s="57"/>
      <c r="D12" s="85"/>
      <c r="E12" s="57"/>
      <c r="F12" s="57"/>
      <c r="G12" s="57"/>
      <c r="H12" s="57"/>
      <c r="I12" s="57"/>
      <c r="J12" s="57"/>
      <c r="K12" s="57"/>
      <c r="L12" s="57"/>
      <c r="M12" s="85"/>
      <c r="N12" s="85"/>
      <c r="O12" s="85"/>
      <c r="P12" s="85"/>
      <c r="Q12" s="85"/>
      <c r="R12" s="85"/>
      <c r="S12" s="57"/>
      <c r="T12" s="87" t="str">
        <f>IF(COUNTIF($A12:$S12,"&lt;&gt;")=0,"",IF($F12="Gleichmäßig unter Beteiligten",IF(G12&lt;&gt;"Ja",0,IF(COUNTIF($H12:$L12,"Ja")=0,$D12-0,ROUND($D12/COUNTIF($G12:$L12,"Ja"),2))),IF($F12="Vereinbarte Beträge",IF(G12="Ja",M12,0),"")))</f>
      </c>
      <c r="U12" s="87" t="str">
        <f>IF(COUNTIF($A12:$S12,"&lt;&gt;")=0,"",IF($F12="Gleichmäßig unter Beteiligten",IF(H12&lt;&gt;"Ja",0,IF(COUNTIF($I12:$L12,"Ja")=0,$D12-SUM($T12:T12),ROUND($D12/COUNTIF($G12:$L12,"Ja"),2))),IF($F12="Vereinbarte Beträge",IF(H12="Ja",N12,0),"")))</f>
      </c>
      <c r="V12" s="87" t="str">
        <f>IF(COUNTIF($A12:$S12,"&lt;&gt;")=0,"",IF($F12="Gleichmäßig unter Beteiligten",IF(I12&lt;&gt;"Ja",0,IF(COUNTIF($J12:$L12,"Ja")=0,$D12-SUM($T12:U12),ROUND($D12/COUNTIF($G12:$L12,"Ja"),2))),IF($F12="Vereinbarte Beträge",IF(I12="Ja",O12,0),"")))</f>
      </c>
      <c r="W12" s="87" t="str">
        <f>IF(COUNTIF($A12:$S12,"&lt;&gt;")=0,"",IF($F12="Gleichmäßig unter Beteiligten",IF(J12&lt;&gt;"Ja",0,IF(COUNTIF($K12:$L12,"Ja")=0,$D12-SUM($T12:V12),ROUND($D12/COUNTIF($G12:$L12,"Ja"),2))),IF($F12="Vereinbarte Beträge",IF(J12="Ja",P12,0),"")))</f>
      </c>
      <c r="X12" s="87" t="str">
        <f>IF(COUNTIF($A12:$S12,"&lt;&gt;")=0,"",IF($F12="Gleichmäßig unter Beteiligten",IF(K12&lt;&gt;"Ja",0,IF(COUNTIF($L12:$L12,"Ja")=0,$D12-SUM($T12:W12),ROUND($D12/COUNTIF($G12:$L12,"Ja"),2))),IF($F12="Vereinbarte Beträge",IF(K12="Ja",Q12,0),"")))</f>
      </c>
      <c r="Y12" s="87" t="str">
        <f>IF(COUNTIF($A12:$S12,"&lt;&gt;")=0,"",IF($F12="Gleichmäßig unter Beteiligten",IF(L12&lt;&gt;"Ja",0,IF(0=0,$D12-SUM($T12:X12),ROUND($D12/COUNTIF($G12:$L12,"Ja"),2))),IF($F12="Vereinbarte Beträge",IF(L12="Ja",R12,0),"")))</f>
      </c>
      <c r="Z12" s="81" t="str">
        <f>IF(COUNTIF($A12:$S12,"&lt;&gt;")=0,"",IF(OR($D12="",$D12&lt;=0),"Trage einen Betrag größer als null ein.",IF($E12="","Wähle aus, wer bezahlt hat.",IF(COUNTIF($G12:$L12,"Ja")=0,"Wähle mindestens eine beteiligte Person aus.",IF($F12="Gleichmäßig unter Beteiligten","Geprüft",IF($F12="Vereinbarte Beträge",IF(OR(AND(G12="Ja",M12=""),AND(H12="Ja",N12=""),AND(I12="Ja",O12=""),AND(J12="Ja",P12=""),AND(K12="Ja",Q12=""),AND(L12="Ja",R12="")),"Trage die vereinbarten Beträge so ein, dass ihre Summe der Ausgabe entspricht.",IF(ABS(SUM($M12:$R12))&lt;0.005,"Trage die vereinbarten Beträge so ein, dass ihre Summe der Ausgabe entspricht.",IF(SUM($M12:$R12)&lt;$D12-0.005,"Bei der Aufteilung fehlen "&amp;ROUND($D12-SUM($M12:$R12),2)&amp;".",IF(SUM($M12:$R12)&gt;$D12+0.005,"Die Aufteilung übersteigt die Ausgabe um "&amp;ROUND(SUM($M12:$R12)-$D12,2)&amp;".","Geprüft")))),"Trage die vereinbarten Beträge so ein, dass ihre Summe der Ausgabe entspricht."))))))</f>
      </c>
    </row>
    <row r="13">
      <c r="A13" s="83"/>
      <c r="B13" s="57"/>
      <c r="C13" s="57"/>
      <c r="D13" s="85"/>
      <c r="E13" s="57"/>
      <c r="F13" s="57"/>
      <c r="G13" s="57"/>
      <c r="H13" s="57"/>
      <c r="I13" s="57"/>
      <c r="J13" s="57"/>
      <c r="K13" s="57"/>
      <c r="L13" s="57"/>
      <c r="M13" s="85"/>
      <c r="N13" s="85"/>
      <c r="O13" s="85"/>
      <c r="P13" s="85"/>
      <c r="Q13" s="85"/>
      <c r="R13" s="85"/>
      <c r="S13" s="57"/>
      <c r="T13" s="87" t="str">
        <f>IF(COUNTIF($A13:$S13,"&lt;&gt;")=0,"",IF($F13="Gleichmäßig unter Beteiligten",IF(G13&lt;&gt;"Ja",0,IF(COUNTIF($H13:$L13,"Ja")=0,$D13-0,ROUND($D13/COUNTIF($G13:$L13,"Ja"),2))),IF($F13="Vereinbarte Beträge",IF(G13="Ja",M13,0),"")))</f>
      </c>
      <c r="U13" s="87" t="str">
        <f>IF(COUNTIF($A13:$S13,"&lt;&gt;")=0,"",IF($F13="Gleichmäßig unter Beteiligten",IF(H13&lt;&gt;"Ja",0,IF(COUNTIF($I13:$L13,"Ja")=0,$D13-SUM($T13:T13),ROUND($D13/COUNTIF($G13:$L13,"Ja"),2))),IF($F13="Vereinbarte Beträge",IF(H13="Ja",N13,0),"")))</f>
      </c>
      <c r="V13" s="87" t="str">
        <f>IF(COUNTIF($A13:$S13,"&lt;&gt;")=0,"",IF($F13="Gleichmäßig unter Beteiligten",IF(I13&lt;&gt;"Ja",0,IF(COUNTIF($J13:$L13,"Ja")=0,$D13-SUM($T13:U13),ROUND($D13/COUNTIF($G13:$L13,"Ja"),2))),IF($F13="Vereinbarte Beträge",IF(I13="Ja",O13,0),"")))</f>
      </c>
      <c r="W13" s="87" t="str">
        <f>IF(COUNTIF($A13:$S13,"&lt;&gt;")=0,"",IF($F13="Gleichmäßig unter Beteiligten",IF(J13&lt;&gt;"Ja",0,IF(COUNTIF($K13:$L13,"Ja")=0,$D13-SUM($T13:V13),ROUND($D13/COUNTIF($G13:$L13,"Ja"),2))),IF($F13="Vereinbarte Beträge",IF(J13="Ja",P13,0),"")))</f>
      </c>
      <c r="X13" s="87" t="str">
        <f>IF(COUNTIF($A13:$S13,"&lt;&gt;")=0,"",IF($F13="Gleichmäßig unter Beteiligten",IF(K13&lt;&gt;"Ja",0,IF(COUNTIF($L13:$L13,"Ja")=0,$D13-SUM($T13:W13),ROUND($D13/COUNTIF($G13:$L13,"Ja"),2))),IF($F13="Vereinbarte Beträge",IF(K13="Ja",Q13,0),"")))</f>
      </c>
      <c r="Y13" s="87" t="str">
        <f>IF(COUNTIF($A13:$S13,"&lt;&gt;")=0,"",IF($F13="Gleichmäßig unter Beteiligten",IF(L13&lt;&gt;"Ja",0,IF(0=0,$D13-SUM($T13:X13),ROUND($D13/COUNTIF($G13:$L13,"Ja"),2))),IF($F13="Vereinbarte Beträge",IF(L13="Ja",R13,0),"")))</f>
      </c>
      <c r="Z13" s="81" t="str">
        <f>IF(COUNTIF($A13:$S13,"&lt;&gt;")=0,"",IF(OR($D13="",$D13&lt;=0),"Trage einen Betrag größer als null ein.",IF($E13="","Wähle aus, wer bezahlt hat.",IF(COUNTIF($G13:$L13,"Ja")=0,"Wähle mindestens eine beteiligte Person aus.",IF($F13="Gleichmäßig unter Beteiligten","Geprüft",IF($F13="Vereinbarte Beträge",IF(OR(AND(G13="Ja",M13=""),AND(H13="Ja",N13=""),AND(I13="Ja",O13=""),AND(J13="Ja",P13=""),AND(K13="Ja",Q13=""),AND(L13="Ja",R13="")),"Trage die vereinbarten Beträge so ein, dass ihre Summe der Ausgabe entspricht.",IF(ABS(SUM($M13:$R13))&lt;0.005,"Trage die vereinbarten Beträge so ein, dass ihre Summe der Ausgabe entspricht.",IF(SUM($M13:$R13)&lt;$D13-0.005,"Bei der Aufteilung fehlen "&amp;ROUND($D13-SUM($M13:$R13),2)&amp;".",IF(SUM($M13:$R13)&gt;$D13+0.005,"Die Aufteilung übersteigt die Ausgabe um "&amp;ROUND(SUM($M13:$R13)-$D13,2)&amp;".","Geprüft")))),"Trage die vereinbarten Beträge so ein, dass ihre Summe der Ausgabe entspricht."))))))</f>
      </c>
    </row>
    <row r="14">
      <c r="A14" s="83"/>
      <c r="B14" s="57"/>
      <c r="C14" s="57"/>
      <c r="D14" s="85"/>
      <c r="E14" s="57"/>
      <c r="F14" s="57"/>
      <c r="G14" s="57"/>
      <c r="H14" s="57"/>
      <c r="I14" s="57"/>
      <c r="J14" s="57"/>
      <c r="K14" s="57"/>
      <c r="L14" s="57"/>
      <c r="M14" s="85"/>
      <c r="N14" s="85"/>
      <c r="O14" s="85"/>
      <c r="P14" s="85"/>
      <c r="Q14" s="85"/>
      <c r="R14" s="85"/>
      <c r="S14" s="57"/>
      <c r="T14" s="87" t="str">
        <f>IF(COUNTIF($A14:$S14,"&lt;&gt;")=0,"",IF($F14="Gleichmäßig unter Beteiligten",IF(G14&lt;&gt;"Ja",0,IF(COUNTIF($H14:$L14,"Ja")=0,$D14-0,ROUND($D14/COUNTIF($G14:$L14,"Ja"),2))),IF($F14="Vereinbarte Beträge",IF(G14="Ja",M14,0),"")))</f>
      </c>
      <c r="U14" s="87" t="str">
        <f>IF(COUNTIF($A14:$S14,"&lt;&gt;")=0,"",IF($F14="Gleichmäßig unter Beteiligten",IF(H14&lt;&gt;"Ja",0,IF(COUNTIF($I14:$L14,"Ja")=0,$D14-SUM($T14:T14),ROUND($D14/COUNTIF($G14:$L14,"Ja"),2))),IF($F14="Vereinbarte Beträge",IF(H14="Ja",N14,0),"")))</f>
      </c>
      <c r="V14" s="87" t="str">
        <f>IF(COUNTIF($A14:$S14,"&lt;&gt;")=0,"",IF($F14="Gleichmäßig unter Beteiligten",IF(I14&lt;&gt;"Ja",0,IF(COUNTIF($J14:$L14,"Ja")=0,$D14-SUM($T14:U14),ROUND($D14/COUNTIF($G14:$L14,"Ja"),2))),IF($F14="Vereinbarte Beträge",IF(I14="Ja",O14,0),"")))</f>
      </c>
      <c r="W14" s="87" t="str">
        <f>IF(COUNTIF($A14:$S14,"&lt;&gt;")=0,"",IF($F14="Gleichmäßig unter Beteiligten",IF(J14&lt;&gt;"Ja",0,IF(COUNTIF($K14:$L14,"Ja")=0,$D14-SUM($T14:V14),ROUND($D14/COUNTIF($G14:$L14,"Ja"),2))),IF($F14="Vereinbarte Beträge",IF(J14="Ja",P14,0),"")))</f>
      </c>
      <c r="X14" s="87" t="str">
        <f>IF(COUNTIF($A14:$S14,"&lt;&gt;")=0,"",IF($F14="Gleichmäßig unter Beteiligten",IF(K14&lt;&gt;"Ja",0,IF(COUNTIF($L14:$L14,"Ja")=0,$D14-SUM($T14:W14),ROUND($D14/COUNTIF($G14:$L14,"Ja"),2))),IF($F14="Vereinbarte Beträge",IF(K14="Ja",Q14,0),"")))</f>
      </c>
      <c r="Y14" s="87" t="str">
        <f>IF(COUNTIF($A14:$S14,"&lt;&gt;")=0,"",IF($F14="Gleichmäßig unter Beteiligten",IF(L14&lt;&gt;"Ja",0,IF(0=0,$D14-SUM($T14:X14),ROUND($D14/COUNTIF($G14:$L14,"Ja"),2))),IF($F14="Vereinbarte Beträge",IF(L14="Ja",R14,0),"")))</f>
      </c>
      <c r="Z14" s="81" t="str">
        <f>IF(COUNTIF($A14:$S14,"&lt;&gt;")=0,"",IF(OR($D14="",$D14&lt;=0),"Trage einen Betrag größer als null ein.",IF($E14="","Wähle aus, wer bezahlt hat.",IF(COUNTIF($G14:$L14,"Ja")=0,"Wähle mindestens eine beteiligte Person aus.",IF($F14="Gleichmäßig unter Beteiligten","Geprüft",IF($F14="Vereinbarte Beträge",IF(OR(AND(G14="Ja",M14=""),AND(H14="Ja",N14=""),AND(I14="Ja",O14=""),AND(J14="Ja",P14=""),AND(K14="Ja",Q14=""),AND(L14="Ja",R14="")),"Trage die vereinbarten Beträge so ein, dass ihre Summe der Ausgabe entspricht.",IF(ABS(SUM($M14:$R14))&lt;0.005,"Trage die vereinbarten Beträge so ein, dass ihre Summe der Ausgabe entspricht.",IF(SUM($M14:$R14)&lt;$D14-0.005,"Bei der Aufteilung fehlen "&amp;ROUND($D14-SUM($M14:$R14),2)&amp;".",IF(SUM($M14:$R14)&gt;$D14+0.005,"Die Aufteilung übersteigt die Ausgabe um "&amp;ROUND(SUM($M14:$R14)-$D14,2)&amp;".","Geprüft")))),"Trage die vereinbarten Beträge so ein, dass ihre Summe der Ausgabe entspricht."))))))</f>
      </c>
    </row>
    <row r="15">
      <c r="A15" s="83"/>
      <c r="B15" s="57"/>
      <c r="C15" s="57"/>
      <c r="D15" s="85"/>
      <c r="E15" s="57"/>
      <c r="F15" s="57"/>
      <c r="G15" s="57"/>
      <c r="H15" s="57"/>
      <c r="I15" s="57"/>
      <c r="J15" s="57"/>
      <c r="K15" s="57"/>
      <c r="L15" s="57"/>
      <c r="M15" s="85"/>
      <c r="N15" s="85"/>
      <c r="O15" s="85"/>
      <c r="P15" s="85"/>
      <c r="Q15" s="85"/>
      <c r="R15" s="85"/>
      <c r="S15" s="57"/>
      <c r="T15" s="87" t="str">
        <f>IF(COUNTIF($A15:$S15,"&lt;&gt;")=0,"",IF($F15="Gleichmäßig unter Beteiligten",IF(G15&lt;&gt;"Ja",0,IF(COUNTIF($H15:$L15,"Ja")=0,$D15-0,ROUND($D15/COUNTIF($G15:$L15,"Ja"),2))),IF($F15="Vereinbarte Beträge",IF(G15="Ja",M15,0),"")))</f>
      </c>
      <c r="U15" s="87" t="str">
        <f>IF(COUNTIF($A15:$S15,"&lt;&gt;")=0,"",IF($F15="Gleichmäßig unter Beteiligten",IF(H15&lt;&gt;"Ja",0,IF(COUNTIF($I15:$L15,"Ja")=0,$D15-SUM($T15:T15),ROUND($D15/COUNTIF($G15:$L15,"Ja"),2))),IF($F15="Vereinbarte Beträge",IF(H15="Ja",N15,0),"")))</f>
      </c>
      <c r="V15" s="87" t="str">
        <f>IF(COUNTIF($A15:$S15,"&lt;&gt;")=0,"",IF($F15="Gleichmäßig unter Beteiligten",IF(I15&lt;&gt;"Ja",0,IF(COUNTIF($J15:$L15,"Ja")=0,$D15-SUM($T15:U15),ROUND($D15/COUNTIF($G15:$L15,"Ja"),2))),IF($F15="Vereinbarte Beträge",IF(I15="Ja",O15,0),"")))</f>
      </c>
      <c r="W15" s="87" t="str">
        <f>IF(COUNTIF($A15:$S15,"&lt;&gt;")=0,"",IF($F15="Gleichmäßig unter Beteiligten",IF(J15&lt;&gt;"Ja",0,IF(COUNTIF($K15:$L15,"Ja")=0,$D15-SUM($T15:V15),ROUND($D15/COUNTIF($G15:$L15,"Ja"),2))),IF($F15="Vereinbarte Beträge",IF(J15="Ja",P15,0),"")))</f>
      </c>
      <c r="X15" s="87" t="str">
        <f>IF(COUNTIF($A15:$S15,"&lt;&gt;")=0,"",IF($F15="Gleichmäßig unter Beteiligten",IF(K15&lt;&gt;"Ja",0,IF(COUNTIF($L15:$L15,"Ja")=0,$D15-SUM($T15:W15),ROUND($D15/COUNTIF($G15:$L15,"Ja"),2))),IF($F15="Vereinbarte Beträge",IF(K15="Ja",Q15,0),"")))</f>
      </c>
      <c r="Y15" s="87" t="str">
        <f>IF(COUNTIF($A15:$S15,"&lt;&gt;")=0,"",IF($F15="Gleichmäßig unter Beteiligten",IF(L15&lt;&gt;"Ja",0,IF(0=0,$D15-SUM($T15:X15),ROUND($D15/COUNTIF($G15:$L15,"Ja"),2))),IF($F15="Vereinbarte Beträge",IF(L15="Ja",R15,0),"")))</f>
      </c>
      <c r="Z15" s="81" t="str">
        <f>IF(COUNTIF($A15:$S15,"&lt;&gt;")=0,"",IF(OR($D15="",$D15&lt;=0),"Trage einen Betrag größer als null ein.",IF($E15="","Wähle aus, wer bezahlt hat.",IF(COUNTIF($G15:$L15,"Ja")=0,"Wähle mindestens eine beteiligte Person aus.",IF($F15="Gleichmäßig unter Beteiligten","Geprüft",IF($F15="Vereinbarte Beträge",IF(OR(AND(G15="Ja",M15=""),AND(H15="Ja",N15=""),AND(I15="Ja",O15=""),AND(J15="Ja",P15=""),AND(K15="Ja",Q15=""),AND(L15="Ja",R15="")),"Trage die vereinbarten Beträge so ein, dass ihre Summe der Ausgabe entspricht.",IF(ABS(SUM($M15:$R15))&lt;0.005,"Trage die vereinbarten Beträge so ein, dass ihre Summe der Ausgabe entspricht.",IF(SUM($M15:$R15)&lt;$D15-0.005,"Bei der Aufteilung fehlen "&amp;ROUND($D15-SUM($M15:$R15),2)&amp;".",IF(SUM($M15:$R15)&gt;$D15+0.005,"Die Aufteilung übersteigt die Ausgabe um "&amp;ROUND(SUM($M15:$R15)-$D15,2)&amp;".","Geprüft")))),"Trage die vereinbarten Beträge so ein, dass ihre Summe der Ausgabe entspricht."))))))</f>
      </c>
    </row>
    <row r="16">
      <c r="A16" s="83"/>
      <c r="B16" s="57"/>
      <c r="C16" s="57"/>
      <c r="D16" s="85"/>
      <c r="E16" s="57"/>
      <c r="F16" s="57"/>
      <c r="G16" s="57"/>
      <c r="H16" s="57"/>
      <c r="I16" s="57"/>
      <c r="J16" s="57"/>
      <c r="K16" s="57"/>
      <c r="L16" s="57"/>
      <c r="M16" s="85"/>
      <c r="N16" s="85"/>
      <c r="O16" s="85"/>
      <c r="P16" s="85"/>
      <c r="Q16" s="85"/>
      <c r="R16" s="85"/>
      <c r="S16" s="57"/>
      <c r="T16" s="87" t="str">
        <f>IF(COUNTIF($A16:$S16,"&lt;&gt;")=0,"",IF($F16="Gleichmäßig unter Beteiligten",IF(G16&lt;&gt;"Ja",0,IF(COUNTIF($H16:$L16,"Ja")=0,$D16-0,ROUND($D16/COUNTIF($G16:$L16,"Ja"),2))),IF($F16="Vereinbarte Beträge",IF(G16="Ja",M16,0),"")))</f>
      </c>
      <c r="U16" s="87" t="str">
        <f>IF(COUNTIF($A16:$S16,"&lt;&gt;")=0,"",IF($F16="Gleichmäßig unter Beteiligten",IF(H16&lt;&gt;"Ja",0,IF(COUNTIF($I16:$L16,"Ja")=0,$D16-SUM($T16:T16),ROUND($D16/COUNTIF($G16:$L16,"Ja"),2))),IF($F16="Vereinbarte Beträge",IF(H16="Ja",N16,0),"")))</f>
      </c>
      <c r="V16" s="87" t="str">
        <f>IF(COUNTIF($A16:$S16,"&lt;&gt;")=0,"",IF($F16="Gleichmäßig unter Beteiligten",IF(I16&lt;&gt;"Ja",0,IF(COUNTIF($J16:$L16,"Ja")=0,$D16-SUM($T16:U16),ROUND($D16/COUNTIF($G16:$L16,"Ja"),2))),IF($F16="Vereinbarte Beträge",IF(I16="Ja",O16,0),"")))</f>
      </c>
      <c r="W16" s="87" t="str">
        <f>IF(COUNTIF($A16:$S16,"&lt;&gt;")=0,"",IF($F16="Gleichmäßig unter Beteiligten",IF(J16&lt;&gt;"Ja",0,IF(COUNTIF($K16:$L16,"Ja")=0,$D16-SUM($T16:V16),ROUND($D16/COUNTIF($G16:$L16,"Ja"),2))),IF($F16="Vereinbarte Beträge",IF(J16="Ja",P16,0),"")))</f>
      </c>
      <c r="X16" s="87" t="str">
        <f>IF(COUNTIF($A16:$S16,"&lt;&gt;")=0,"",IF($F16="Gleichmäßig unter Beteiligten",IF(K16&lt;&gt;"Ja",0,IF(COUNTIF($L16:$L16,"Ja")=0,$D16-SUM($T16:W16),ROUND($D16/COUNTIF($G16:$L16,"Ja"),2))),IF($F16="Vereinbarte Beträge",IF(K16="Ja",Q16,0),"")))</f>
      </c>
      <c r="Y16" s="87" t="str">
        <f>IF(COUNTIF($A16:$S16,"&lt;&gt;")=0,"",IF($F16="Gleichmäßig unter Beteiligten",IF(L16&lt;&gt;"Ja",0,IF(0=0,$D16-SUM($T16:X16),ROUND($D16/COUNTIF($G16:$L16,"Ja"),2))),IF($F16="Vereinbarte Beträge",IF(L16="Ja",R16,0),"")))</f>
      </c>
      <c r="Z16" s="81" t="str">
        <f>IF(COUNTIF($A16:$S16,"&lt;&gt;")=0,"",IF(OR($D16="",$D16&lt;=0),"Trage einen Betrag größer als null ein.",IF($E16="","Wähle aus, wer bezahlt hat.",IF(COUNTIF($G16:$L16,"Ja")=0,"Wähle mindestens eine beteiligte Person aus.",IF($F16="Gleichmäßig unter Beteiligten","Geprüft",IF($F16="Vereinbarte Beträge",IF(OR(AND(G16="Ja",M16=""),AND(H16="Ja",N16=""),AND(I16="Ja",O16=""),AND(J16="Ja",P16=""),AND(K16="Ja",Q16=""),AND(L16="Ja",R16="")),"Trage die vereinbarten Beträge so ein, dass ihre Summe der Ausgabe entspricht.",IF(ABS(SUM($M16:$R16))&lt;0.005,"Trage die vereinbarten Beträge so ein, dass ihre Summe der Ausgabe entspricht.",IF(SUM($M16:$R16)&lt;$D16-0.005,"Bei der Aufteilung fehlen "&amp;ROUND($D16-SUM($M16:$R16),2)&amp;".",IF(SUM($M16:$R16)&gt;$D16+0.005,"Die Aufteilung übersteigt die Ausgabe um "&amp;ROUND(SUM($M16:$R16)-$D16,2)&amp;".","Geprüft")))),"Trage die vereinbarten Beträge so ein, dass ihre Summe der Ausgabe entspricht."))))))</f>
      </c>
    </row>
    <row r="17">
      <c r="A17" s="83"/>
      <c r="B17" s="57"/>
      <c r="C17" s="57"/>
      <c r="D17" s="85"/>
      <c r="E17" s="57"/>
      <c r="F17" s="57"/>
      <c r="G17" s="57"/>
      <c r="H17" s="57"/>
      <c r="I17" s="57"/>
      <c r="J17" s="57"/>
      <c r="K17" s="57"/>
      <c r="L17" s="57"/>
      <c r="M17" s="85"/>
      <c r="N17" s="85"/>
      <c r="O17" s="85"/>
      <c r="P17" s="85"/>
      <c r="Q17" s="85"/>
      <c r="R17" s="85"/>
      <c r="S17" s="57"/>
      <c r="T17" s="87" t="str">
        <f>IF(COUNTIF($A17:$S17,"&lt;&gt;")=0,"",IF($F17="Gleichmäßig unter Beteiligten",IF(G17&lt;&gt;"Ja",0,IF(COUNTIF($H17:$L17,"Ja")=0,$D17-0,ROUND($D17/COUNTIF($G17:$L17,"Ja"),2))),IF($F17="Vereinbarte Beträge",IF(G17="Ja",M17,0),"")))</f>
      </c>
      <c r="U17" s="87" t="str">
        <f>IF(COUNTIF($A17:$S17,"&lt;&gt;")=0,"",IF($F17="Gleichmäßig unter Beteiligten",IF(H17&lt;&gt;"Ja",0,IF(COUNTIF($I17:$L17,"Ja")=0,$D17-SUM($T17:T17),ROUND($D17/COUNTIF($G17:$L17,"Ja"),2))),IF($F17="Vereinbarte Beträge",IF(H17="Ja",N17,0),"")))</f>
      </c>
      <c r="V17" s="87" t="str">
        <f>IF(COUNTIF($A17:$S17,"&lt;&gt;")=0,"",IF($F17="Gleichmäßig unter Beteiligten",IF(I17&lt;&gt;"Ja",0,IF(COUNTIF($J17:$L17,"Ja")=0,$D17-SUM($T17:U17),ROUND($D17/COUNTIF($G17:$L17,"Ja"),2))),IF($F17="Vereinbarte Beträge",IF(I17="Ja",O17,0),"")))</f>
      </c>
      <c r="W17" s="87" t="str">
        <f>IF(COUNTIF($A17:$S17,"&lt;&gt;")=0,"",IF($F17="Gleichmäßig unter Beteiligten",IF(J17&lt;&gt;"Ja",0,IF(COUNTIF($K17:$L17,"Ja")=0,$D17-SUM($T17:V17),ROUND($D17/COUNTIF($G17:$L17,"Ja"),2))),IF($F17="Vereinbarte Beträge",IF(J17="Ja",P17,0),"")))</f>
      </c>
      <c r="X17" s="87" t="str">
        <f>IF(COUNTIF($A17:$S17,"&lt;&gt;")=0,"",IF($F17="Gleichmäßig unter Beteiligten",IF(K17&lt;&gt;"Ja",0,IF(COUNTIF($L17:$L17,"Ja")=0,$D17-SUM($T17:W17),ROUND($D17/COUNTIF($G17:$L17,"Ja"),2))),IF($F17="Vereinbarte Beträge",IF(K17="Ja",Q17,0),"")))</f>
      </c>
      <c r="Y17" s="87" t="str">
        <f>IF(COUNTIF($A17:$S17,"&lt;&gt;")=0,"",IF($F17="Gleichmäßig unter Beteiligten",IF(L17&lt;&gt;"Ja",0,IF(0=0,$D17-SUM($T17:X17),ROUND($D17/COUNTIF($G17:$L17,"Ja"),2))),IF($F17="Vereinbarte Beträge",IF(L17="Ja",R17,0),"")))</f>
      </c>
      <c r="Z17" s="81" t="str">
        <f>IF(COUNTIF($A17:$S17,"&lt;&gt;")=0,"",IF(OR($D17="",$D17&lt;=0),"Trage einen Betrag größer als null ein.",IF($E17="","Wähle aus, wer bezahlt hat.",IF(COUNTIF($G17:$L17,"Ja")=0,"Wähle mindestens eine beteiligte Person aus.",IF($F17="Gleichmäßig unter Beteiligten","Geprüft",IF($F17="Vereinbarte Beträge",IF(OR(AND(G17="Ja",M17=""),AND(H17="Ja",N17=""),AND(I17="Ja",O17=""),AND(J17="Ja",P17=""),AND(K17="Ja",Q17=""),AND(L17="Ja",R17="")),"Trage die vereinbarten Beträge so ein, dass ihre Summe der Ausgabe entspricht.",IF(ABS(SUM($M17:$R17))&lt;0.005,"Trage die vereinbarten Beträge so ein, dass ihre Summe der Ausgabe entspricht.",IF(SUM($M17:$R17)&lt;$D17-0.005,"Bei der Aufteilung fehlen "&amp;ROUND($D17-SUM($M17:$R17),2)&amp;".",IF(SUM($M17:$R17)&gt;$D17+0.005,"Die Aufteilung übersteigt die Ausgabe um "&amp;ROUND(SUM($M17:$R17)-$D17,2)&amp;".","Geprüft")))),"Trage die vereinbarten Beträge so ein, dass ihre Summe der Ausgabe entspricht."))))))</f>
      </c>
    </row>
    <row r="18">
      <c r="A18" s="83"/>
      <c r="B18" s="57"/>
      <c r="C18" s="57"/>
      <c r="D18" s="85"/>
      <c r="E18" s="57"/>
      <c r="F18" s="57"/>
      <c r="G18" s="57"/>
      <c r="H18" s="57"/>
      <c r="I18" s="57"/>
      <c r="J18" s="57"/>
      <c r="K18" s="57"/>
      <c r="L18" s="57"/>
      <c r="M18" s="85"/>
      <c r="N18" s="85"/>
      <c r="O18" s="85"/>
      <c r="P18" s="85"/>
      <c r="Q18" s="85"/>
      <c r="R18" s="85"/>
      <c r="S18" s="57"/>
      <c r="T18" s="87" t="str">
        <f>IF(COUNTIF($A18:$S18,"&lt;&gt;")=0,"",IF($F18="Gleichmäßig unter Beteiligten",IF(G18&lt;&gt;"Ja",0,IF(COUNTIF($H18:$L18,"Ja")=0,$D18-0,ROUND($D18/COUNTIF($G18:$L18,"Ja"),2))),IF($F18="Vereinbarte Beträge",IF(G18="Ja",M18,0),"")))</f>
      </c>
      <c r="U18" s="87" t="str">
        <f>IF(COUNTIF($A18:$S18,"&lt;&gt;")=0,"",IF($F18="Gleichmäßig unter Beteiligten",IF(H18&lt;&gt;"Ja",0,IF(COUNTIF($I18:$L18,"Ja")=0,$D18-SUM($T18:T18),ROUND($D18/COUNTIF($G18:$L18,"Ja"),2))),IF($F18="Vereinbarte Beträge",IF(H18="Ja",N18,0),"")))</f>
      </c>
      <c r="V18" s="87" t="str">
        <f>IF(COUNTIF($A18:$S18,"&lt;&gt;")=0,"",IF($F18="Gleichmäßig unter Beteiligten",IF(I18&lt;&gt;"Ja",0,IF(COUNTIF($J18:$L18,"Ja")=0,$D18-SUM($T18:U18),ROUND($D18/COUNTIF($G18:$L18,"Ja"),2))),IF($F18="Vereinbarte Beträge",IF(I18="Ja",O18,0),"")))</f>
      </c>
      <c r="W18" s="87" t="str">
        <f>IF(COUNTIF($A18:$S18,"&lt;&gt;")=0,"",IF($F18="Gleichmäßig unter Beteiligten",IF(J18&lt;&gt;"Ja",0,IF(COUNTIF($K18:$L18,"Ja")=0,$D18-SUM($T18:V18),ROUND($D18/COUNTIF($G18:$L18,"Ja"),2))),IF($F18="Vereinbarte Beträge",IF(J18="Ja",P18,0),"")))</f>
      </c>
      <c r="X18" s="87" t="str">
        <f>IF(COUNTIF($A18:$S18,"&lt;&gt;")=0,"",IF($F18="Gleichmäßig unter Beteiligten",IF(K18&lt;&gt;"Ja",0,IF(COUNTIF($L18:$L18,"Ja")=0,$D18-SUM($T18:W18),ROUND($D18/COUNTIF($G18:$L18,"Ja"),2))),IF($F18="Vereinbarte Beträge",IF(K18="Ja",Q18,0),"")))</f>
      </c>
      <c r="Y18" s="87" t="str">
        <f>IF(COUNTIF($A18:$S18,"&lt;&gt;")=0,"",IF($F18="Gleichmäßig unter Beteiligten",IF(L18&lt;&gt;"Ja",0,IF(0=0,$D18-SUM($T18:X18),ROUND($D18/COUNTIF($G18:$L18,"Ja"),2))),IF($F18="Vereinbarte Beträge",IF(L18="Ja",R18,0),"")))</f>
      </c>
      <c r="Z18" s="81" t="str">
        <f>IF(COUNTIF($A18:$S18,"&lt;&gt;")=0,"",IF(OR($D18="",$D18&lt;=0),"Trage einen Betrag größer als null ein.",IF($E18="","Wähle aus, wer bezahlt hat.",IF(COUNTIF($G18:$L18,"Ja")=0,"Wähle mindestens eine beteiligte Person aus.",IF($F18="Gleichmäßig unter Beteiligten","Geprüft",IF($F18="Vereinbarte Beträge",IF(OR(AND(G18="Ja",M18=""),AND(H18="Ja",N18=""),AND(I18="Ja",O18=""),AND(J18="Ja",P18=""),AND(K18="Ja",Q18=""),AND(L18="Ja",R18="")),"Trage die vereinbarten Beträge so ein, dass ihre Summe der Ausgabe entspricht.",IF(ABS(SUM($M18:$R18))&lt;0.005,"Trage die vereinbarten Beträge so ein, dass ihre Summe der Ausgabe entspricht.",IF(SUM($M18:$R18)&lt;$D18-0.005,"Bei der Aufteilung fehlen "&amp;ROUND($D18-SUM($M18:$R18),2)&amp;".",IF(SUM($M18:$R18)&gt;$D18+0.005,"Die Aufteilung übersteigt die Ausgabe um "&amp;ROUND(SUM($M18:$R18)-$D18,2)&amp;".","Geprüft")))),"Trage die vereinbarten Beträge so ein, dass ihre Summe der Ausgabe entspricht."))))))</f>
      </c>
    </row>
    <row r="19">
      <c r="A19" s="83"/>
      <c r="B19" s="57"/>
      <c r="C19" s="57"/>
      <c r="D19" s="85"/>
      <c r="E19" s="57"/>
      <c r="F19" s="57"/>
      <c r="G19" s="57"/>
      <c r="H19" s="57"/>
      <c r="I19" s="57"/>
      <c r="J19" s="57"/>
      <c r="K19" s="57"/>
      <c r="L19" s="57"/>
      <c r="M19" s="85"/>
      <c r="N19" s="85"/>
      <c r="O19" s="85"/>
      <c r="P19" s="85"/>
      <c r="Q19" s="85"/>
      <c r="R19" s="85"/>
      <c r="S19" s="57"/>
      <c r="T19" s="87" t="str">
        <f>IF(COUNTIF($A19:$S19,"&lt;&gt;")=0,"",IF($F19="Gleichmäßig unter Beteiligten",IF(G19&lt;&gt;"Ja",0,IF(COUNTIF($H19:$L19,"Ja")=0,$D19-0,ROUND($D19/COUNTIF($G19:$L19,"Ja"),2))),IF($F19="Vereinbarte Beträge",IF(G19="Ja",M19,0),"")))</f>
      </c>
      <c r="U19" s="87" t="str">
        <f>IF(COUNTIF($A19:$S19,"&lt;&gt;")=0,"",IF($F19="Gleichmäßig unter Beteiligten",IF(H19&lt;&gt;"Ja",0,IF(COUNTIF($I19:$L19,"Ja")=0,$D19-SUM($T19:T19),ROUND($D19/COUNTIF($G19:$L19,"Ja"),2))),IF($F19="Vereinbarte Beträge",IF(H19="Ja",N19,0),"")))</f>
      </c>
      <c r="V19" s="87" t="str">
        <f>IF(COUNTIF($A19:$S19,"&lt;&gt;")=0,"",IF($F19="Gleichmäßig unter Beteiligten",IF(I19&lt;&gt;"Ja",0,IF(COUNTIF($J19:$L19,"Ja")=0,$D19-SUM($T19:U19),ROUND($D19/COUNTIF($G19:$L19,"Ja"),2))),IF($F19="Vereinbarte Beträge",IF(I19="Ja",O19,0),"")))</f>
      </c>
      <c r="W19" s="87" t="str">
        <f>IF(COUNTIF($A19:$S19,"&lt;&gt;")=0,"",IF($F19="Gleichmäßig unter Beteiligten",IF(J19&lt;&gt;"Ja",0,IF(COUNTIF($K19:$L19,"Ja")=0,$D19-SUM($T19:V19),ROUND($D19/COUNTIF($G19:$L19,"Ja"),2))),IF($F19="Vereinbarte Beträge",IF(J19="Ja",P19,0),"")))</f>
      </c>
      <c r="X19" s="87" t="str">
        <f>IF(COUNTIF($A19:$S19,"&lt;&gt;")=0,"",IF($F19="Gleichmäßig unter Beteiligten",IF(K19&lt;&gt;"Ja",0,IF(COUNTIF($L19:$L19,"Ja")=0,$D19-SUM($T19:W19),ROUND($D19/COUNTIF($G19:$L19,"Ja"),2))),IF($F19="Vereinbarte Beträge",IF(K19="Ja",Q19,0),"")))</f>
      </c>
      <c r="Y19" s="87" t="str">
        <f>IF(COUNTIF($A19:$S19,"&lt;&gt;")=0,"",IF($F19="Gleichmäßig unter Beteiligten",IF(L19&lt;&gt;"Ja",0,IF(0=0,$D19-SUM($T19:X19),ROUND($D19/COUNTIF($G19:$L19,"Ja"),2))),IF($F19="Vereinbarte Beträge",IF(L19="Ja",R19,0),"")))</f>
      </c>
      <c r="Z19" s="81" t="str">
        <f>IF(COUNTIF($A19:$S19,"&lt;&gt;")=0,"",IF(OR($D19="",$D19&lt;=0),"Trage einen Betrag größer als null ein.",IF($E19="","Wähle aus, wer bezahlt hat.",IF(COUNTIF($G19:$L19,"Ja")=0,"Wähle mindestens eine beteiligte Person aus.",IF($F19="Gleichmäßig unter Beteiligten","Geprüft",IF($F19="Vereinbarte Beträge",IF(OR(AND(G19="Ja",M19=""),AND(H19="Ja",N19=""),AND(I19="Ja",O19=""),AND(J19="Ja",P19=""),AND(K19="Ja",Q19=""),AND(L19="Ja",R19="")),"Trage die vereinbarten Beträge so ein, dass ihre Summe der Ausgabe entspricht.",IF(ABS(SUM($M19:$R19))&lt;0.005,"Trage die vereinbarten Beträge so ein, dass ihre Summe der Ausgabe entspricht.",IF(SUM($M19:$R19)&lt;$D19-0.005,"Bei der Aufteilung fehlen "&amp;ROUND($D19-SUM($M19:$R19),2)&amp;".",IF(SUM($M19:$R19)&gt;$D19+0.005,"Die Aufteilung übersteigt die Ausgabe um "&amp;ROUND(SUM($M19:$R19)-$D19,2)&amp;".","Geprüft")))),"Trage die vereinbarten Beträge so ein, dass ihre Summe der Ausgabe entspricht."))))))</f>
      </c>
    </row>
    <row r="20">
      <c r="A20" s="83"/>
      <c r="B20" s="57"/>
      <c r="C20" s="57"/>
      <c r="D20" s="85"/>
      <c r="E20" s="57"/>
      <c r="F20" s="57"/>
      <c r="G20" s="57"/>
      <c r="H20" s="57"/>
      <c r="I20" s="57"/>
      <c r="J20" s="57"/>
      <c r="K20" s="57"/>
      <c r="L20" s="57"/>
      <c r="M20" s="85"/>
      <c r="N20" s="85"/>
      <c r="O20" s="85"/>
      <c r="P20" s="85"/>
      <c r="Q20" s="85"/>
      <c r="R20" s="85"/>
      <c r="S20" s="57"/>
      <c r="T20" s="87" t="str">
        <f>IF(COUNTIF($A20:$S20,"&lt;&gt;")=0,"",IF($F20="Gleichmäßig unter Beteiligten",IF(G20&lt;&gt;"Ja",0,IF(COUNTIF($H20:$L20,"Ja")=0,$D20-0,ROUND($D20/COUNTIF($G20:$L20,"Ja"),2))),IF($F20="Vereinbarte Beträge",IF(G20="Ja",M20,0),"")))</f>
      </c>
      <c r="U20" s="87" t="str">
        <f>IF(COUNTIF($A20:$S20,"&lt;&gt;")=0,"",IF($F20="Gleichmäßig unter Beteiligten",IF(H20&lt;&gt;"Ja",0,IF(COUNTIF($I20:$L20,"Ja")=0,$D20-SUM($T20:T20),ROUND($D20/COUNTIF($G20:$L20,"Ja"),2))),IF($F20="Vereinbarte Beträge",IF(H20="Ja",N20,0),"")))</f>
      </c>
      <c r="V20" s="87" t="str">
        <f>IF(COUNTIF($A20:$S20,"&lt;&gt;")=0,"",IF($F20="Gleichmäßig unter Beteiligten",IF(I20&lt;&gt;"Ja",0,IF(COUNTIF($J20:$L20,"Ja")=0,$D20-SUM($T20:U20),ROUND($D20/COUNTIF($G20:$L20,"Ja"),2))),IF($F20="Vereinbarte Beträge",IF(I20="Ja",O20,0),"")))</f>
      </c>
      <c r="W20" s="87" t="str">
        <f>IF(COUNTIF($A20:$S20,"&lt;&gt;")=0,"",IF($F20="Gleichmäßig unter Beteiligten",IF(J20&lt;&gt;"Ja",0,IF(COUNTIF($K20:$L20,"Ja")=0,$D20-SUM($T20:V20),ROUND($D20/COUNTIF($G20:$L20,"Ja"),2))),IF($F20="Vereinbarte Beträge",IF(J20="Ja",P20,0),"")))</f>
      </c>
      <c r="X20" s="87" t="str">
        <f>IF(COUNTIF($A20:$S20,"&lt;&gt;")=0,"",IF($F20="Gleichmäßig unter Beteiligten",IF(K20&lt;&gt;"Ja",0,IF(COUNTIF($L20:$L20,"Ja")=0,$D20-SUM($T20:W20),ROUND($D20/COUNTIF($G20:$L20,"Ja"),2))),IF($F20="Vereinbarte Beträge",IF(K20="Ja",Q20,0),"")))</f>
      </c>
      <c r="Y20" s="87" t="str">
        <f>IF(COUNTIF($A20:$S20,"&lt;&gt;")=0,"",IF($F20="Gleichmäßig unter Beteiligten",IF(L20&lt;&gt;"Ja",0,IF(0=0,$D20-SUM($T20:X20),ROUND($D20/COUNTIF($G20:$L20,"Ja"),2))),IF($F20="Vereinbarte Beträge",IF(L20="Ja",R20,0),"")))</f>
      </c>
      <c r="Z20" s="81" t="str">
        <f>IF(COUNTIF($A20:$S20,"&lt;&gt;")=0,"",IF(OR($D20="",$D20&lt;=0),"Trage einen Betrag größer als null ein.",IF($E20="","Wähle aus, wer bezahlt hat.",IF(COUNTIF($G20:$L20,"Ja")=0,"Wähle mindestens eine beteiligte Person aus.",IF($F20="Gleichmäßig unter Beteiligten","Geprüft",IF($F20="Vereinbarte Beträge",IF(OR(AND(G20="Ja",M20=""),AND(H20="Ja",N20=""),AND(I20="Ja",O20=""),AND(J20="Ja",P20=""),AND(K20="Ja",Q20=""),AND(L20="Ja",R20="")),"Trage die vereinbarten Beträge so ein, dass ihre Summe der Ausgabe entspricht.",IF(ABS(SUM($M20:$R20))&lt;0.005,"Trage die vereinbarten Beträge so ein, dass ihre Summe der Ausgabe entspricht.",IF(SUM($M20:$R20)&lt;$D20-0.005,"Bei der Aufteilung fehlen "&amp;ROUND($D20-SUM($M20:$R20),2)&amp;".",IF(SUM($M20:$R20)&gt;$D20+0.005,"Die Aufteilung übersteigt die Ausgabe um "&amp;ROUND(SUM($M20:$R20)-$D20,2)&amp;".","Geprüft")))),"Trage die vereinbarten Beträge so ein, dass ihre Summe der Ausgabe entspricht."))))))</f>
      </c>
    </row>
    <row r="21">
      <c r="A21" s="83"/>
      <c r="B21" s="57"/>
      <c r="C21" s="57"/>
      <c r="D21" s="85"/>
      <c r="E21" s="57"/>
      <c r="F21" s="57"/>
      <c r="G21" s="57"/>
      <c r="H21" s="57"/>
      <c r="I21" s="57"/>
      <c r="J21" s="57"/>
      <c r="K21" s="57"/>
      <c r="L21" s="57"/>
      <c r="M21" s="85"/>
      <c r="N21" s="85"/>
      <c r="O21" s="85"/>
      <c r="P21" s="85"/>
      <c r="Q21" s="85"/>
      <c r="R21" s="85"/>
      <c r="S21" s="57"/>
      <c r="T21" s="87" t="str">
        <f>IF(COUNTIF($A21:$S21,"&lt;&gt;")=0,"",IF($F21="Gleichmäßig unter Beteiligten",IF(G21&lt;&gt;"Ja",0,IF(COUNTIF($H21:$L21,"Ja")=0,$D21-0,ROUND($D21/COUNTIF($G21:$L21,"Ja"),2))),IF($F21="Vereinbarte Beträge",IF(G21="Ja",M21,0),"")))</f>
      </c>
      <c r="U21" s="87" t="str">
        <f>IF(COUNTIF($A21:$S21,"&lt;&gt;")=0,"",IF($F21="Gleichmäßig unter Beteiligten",IF(H21&lt;&gt;"Ja",0,IF(COUNTIF($I21:$L21,"Ja")=0,$D21-SUM($T21:T21),ROUND($D21/COUNTIF($G21:$L21,"Ja"),2))),IF($F21="Vereinbarte Beträge",IF(H21="Ja",N21,0),"")))</f>
      </c>
      <c r="V21" s="87" t="str">
        <f>IF(COUNTIF($A21:$S21,"&lt;&gt;")=0,"",IF($F21="Gleichmäßig unter Beteiligten",IF(I21&lt;&gt;"Ja",0,IF(COUNTIF($J21:$L21,"Ja")=0,$D21-SUM($T21:U21),ROUND($D21/COUNTIF($G21:$L21,"Ja"),2))),IF($F21="Vereinbarte Beträge",IF(I21="Ja",O21,0),"")))</f>
      </c>
      <c r="W21" s="87" t="str">
        <f>IF(COUNTIF($A21:$S21,"&lt;&gt;")=0,"",IF($F21="Gleichmäßig unter Beteiligten",IF(J21&lt;&gt;"Ja",0,IF(COUNTIF($K21:$L21,"Ja")=0,$D21-SUM($T21:V21),ROUND($D21/COUNTIF($G21:$L21,"Ja"),2))),IF($F21="Vereinbarte Beträge",IF(J21="Ja",P21,0),"")))</f>
      </c>
      <c r="X21" s="87" t="str">
        <f>IF(COUNTIF($A21:$S21,"&lt;&gt;")=0,"",IF($F21="Gleichmäßig unter Beteiligten",IF(K21&lt;&gt;"Ja",0,IF(COUNTIF($L21:$L21,"Ja")=0,$D21-SUM($T21:W21),ROUND($D21/COUNTIF($G21:$L21,"Ja"),2))),IF($F21="Vereinbarte Beträge",IF(K21="Ja",Q21,0),"")))</f>
      </c>
      <c r="Y21" s="87" t="str">
        <f>IF(COUNTIF($A21:$S21,"&lt;&gt;")=0,"",IF($F21="Gleichmäßig unter Beteiligten",IF(L21&lt;&gt;"Ja",0,IF(0=0,$D21-SUM($T21:X21),ROUND($D21/COUNTIF($G21:$L21,"Ja"),2))),IF($F21="Vereinbarte Beträge",IF(L21="Ja",R21,0),"")))</f>
      </c>
      <c r="Z21" s="81" t="str">
        <f>IF(COUNTIF($A21:$S21,"&lt;&gt;")=0,"",IF(OR($D21="",$D21&lt;=0),"Trage einen Betrag größer als null ein.",IF($E21="","Wähle aus, wer bezahlt hat.",IF(COUNTIF($G21:$L21,"Ja")=0,"Wähle mindestens eine beteiligte Person aus.",IF($F21="Gleichmäßig unter Beteiligten","Geprüft",IF($F21="Vereinbarte Beträge",IF(OR(AND(G21="Ja",M21=""),AND(H21="Ja",N21=""),AND(I21="Ja",O21=""),AND(J21="Ja",P21=""),AND(K21="Ja",Q21=""),AND(L21="Ja",R21="")),"Trage die vereinbarten Beträge so ein, dass ihre Summe der Ausgabe entspricht.",IF(ABS(SUM($M21:$R21))&lt;0.005,"Trage die vereinbarten Beträge so ein, dass ihre Summe der Ausgabe entspricht.",IF(SUM($M21:$R21)&lt;$D21-0.005,"Bei der Aufteilung fehlen "&amp;ROUND($D21-SUM($M21:$R21),2)&amp;".",IF(SUM($M21:$R21)&gt;$D21+0.005,"Die Aufteilung übersteigt die Ausgabe um "&amp;ROUND(SUM($M21:$R21)-$D21,2)&amp;".","Geprüft")))),"Trage die vereinbarten Beträge so ein, dass ihre Summe der Ausgabe entspricht."))))))</f>
      </c>
    </row>
    <row r="22">
      <c r="A22" s="83"/>
      <c r="B22" s="57"/>
      <c r="C22" s="57"/>
      <c r="D22" s="85"/>
      <c r="E22" s="57"/>
      <c r="F22" s="57"/>
      <c r="G22" s="57"/>
      <c r="H22" s="57"/>
      <c r="I22" s="57"/>
      <c r="J22" s="57"/>
      <c r="K22" s="57"/>
      <c r="L22" s="57"/>
      <c r="M22" s="85"/>
      <c r="N22" s="85"/>
      <c r="O22" s="85"/>
      <c r="P22" s="85"/>
      <c r="Q22" s="85"/>
      <c r="R22" s="85"/>
      <c r="S22" s="57"/>
      <c r="T22" s="87" t="str">
        <f>IF(COUNTIF($A22:$S22,"&lt;&gt;")=0,"",IF($F22="Gleichmäßig unter Beteiligten",IF(G22&lt;&gt;"Ja",0,IF(COUNTIF($H22:$L22,"Ja")=0,$D22-0,ROUND($D22/COUNTIF($G22:$L22,"Ja"),2))),IF($F22="Vereinbarte Beträge",IF(G22="Ja",M22,0),"")))</f>
      </c>
      <c r="U22" s="87" t="str">
        <f>IF(COUNTIF($A22:$S22,"&lt;&gt;")=0,"",IF($F22="Gleichmäßig unter Beteiligten",IF(H22&lt;&gt;"Ja",0,IF(COUNTIF($I22:$L22,"Ja")=0,$D22-SUM($T22:T22),ROUND($D22/COUNTIF($G22:$L22,"Ja"),2))),IF($F22="Vereinbarte Beträge",IF(H22="Ja",N22,0),"")))</f>
      </c>
      <c r="V22" s="87" t="str">
        <f>IF(COUNTIF($A22:$S22,"&lt;&gt;")=0,"",IF($F22="Gleichmäßig unter Beteiligten",IF(I22&lt;&gt;"Ja",0,IF(COUNTIF($J22:$L22,"Ja")=0,$D22-SUM($T22:U22),ROUND($D22/COUNTIF($G22:$L22,"Ja"),2))),IF($F22="Vereinbarte Beträge",IF(I22="Ja",O22,0),"")))</f>
      </c>
      <c r="W22" s="87" t="str">
        <f>IF(COUNTIF($A22:$S22,"&lt;&gt;")=0,"",IF($F22="Gleichmäßig unter Beteiligten",IF(J22&lt;&gt;"Ja",0,IF(COUNTIF($K22:$L22,"Ja")=0,$D22-SUM($T22:V22),ROUND($D22/COUNTIF($G22:$L22,"Ja"),2))),IF($F22="Vereinbarte Beträge",IF(J22="Ja",P22,0),"")))</f>
      </c>
      <c r="X22" s="87" t="str">
        <f>IF(COUNTIF($A22:$S22,"&lt;&gt;")=0,"",IF($F22="Gleichmäßig unter Beteiligten",IF(K22&lt;&gt;"Ja",0,IF(COUNTIF($L22:$L22,"Ja")=0,$D22-SUM($T22:W22),ROUND($D22/COUNTIF($G22:$L22,"Ja"),2))),IF($F22="Vereinbarte Beträge",IF(K22="Ja",Q22,0),"")))</f>
      </c>
      <c r="Y22" s="87" t="str">
        <f>IF(COUNTIF($A22:$S22,"&lt;&gt;")=0,"",IF($F22="Gleichmäßig unter Beteiligten",IF(L22&lt;&gt;"Ja",0,IF(0=0,$D22-SUM($T22:X22),ROUND($D22/COUNTIF($G22:$L22,"Ja"),2))),IF($F22="Vereinbarte Beträge",IF(L22="Ja",R22,0),"")))</f>
      </c>
      <c r="Z22" s="81" t="str">
        <f>IF(COUNTIF($A22:$S22,"&lt;&gt;")=0,"",IF(OR($D22="",$D22&lt;=0),"Trage einen Betrag größer als null ein.",IF($E22="","Wähle aus, wer bezahlt hat.",IF(COUNTIF($G22:$L22,"Ja")=0,"Wähle mindestens eine beteiligte Person aus.",IF($F22="Gleichmäßig unter Beteiligten","Geprüft",IF($F22="Vereinbarte Beträge",IF(OR(AND(G22="Ja",M22=""),AND(H22="Ja",N22=""),AND(I22="Ja",O22=""),AND(J22="Ja",P22=""),AND(K22="Ja",Q22=""),AND(L22="Ja",R22="")),"Trage die vereinbarten Beträge so ein, dass ihre Summe der Ausgabe entspricht.",IF(ABS(SUM($M22:$R22))&lt;0.005,"Trage die vereinbarten Beträge so ein, dass ihre Summe der Ausgabe entspricht.",IF(SUM($M22:$R22)&lt;$D22-0.005,"Bei der Aufteilung fehlen "&amp;ROUND($D22-SUM($M22:$R22),2)&amp;".",IF(SUM($M22:$R22)&gt;$D22+0.005,"Die Aufteilung übersteigt die Ausgabe um "&amp;ROUND(SUM($M22:$R22)-$D22,2)&amp;".","Geprüft")))),"Trage die vereinbarten Beträge so ein, dass ihre Summe der Ausgabe entspricht."))))))</f>
      </c>
    </row>
    <row r="23">
      <c r="A23" s="83"/>
      <c r="B23" s="57"/>
      <c r="C23" s="57"/>
      <c r="D23" s="85"/>
      <c r="E23" s="57"/>
      <c r="F23" s="57"/>
      <c r="G23" s="57"/>
      <c r="H23" s="57"/>
      <c r="I23" s="57"/>
      <c r="J23" s="57"/>
      <c r="K23" s="57"/>
      <c r="L23" s="57"/>
      <c r="M23" s="85"/>
      <c r="N23" s="85"/>
      <c r="O23" s="85"/>
      <c r="P23" s="85"/>
      <c r="Q23" s="85"/>
      <c r="R23" s="85"/>
      <c r="S23" s="57"/>
      <c r="T23" s="87" t="str">
        <f>IF(COUNTIF($A23:$S23,"&lt;&gt;")=0,"",IF($F23="Gleichmäßig unter Beteiligten",IF(G23&lt;&gt;"Ja",0,IF(COUNTIF($H23:$L23,"Ja")=0,$D23-0,ROUND($D23/COUNTIF($G23:$L23,"Ja"),2))),IF($F23="Vereinbarte Beträge",IF(G23="Ja",M23,0),"")))</f>
      </c>
      <c r="U23" s="87" t="str">
        <f>IF(COUNTIF($A23:$S23,"&lt;&gt;")=0,"",IF($F23="Gleichmäßig unter Beteiligten",IF(H23&lt;&gt;"Ja",0,IF(COUNTIF($I23:$L23,"Ja")=0,$D23-SUM($T23:T23),ROUND($D23/COUNTIF($G23:$L23,"Ja"),2))),IF($F23="Vereinbarte Beträge",IF(H23="Ja",N23,0),"")))</f>
      </c>
      <c r="V23" s="87" t="str">
        <f>IF(COUNTIF($A23:$S23,"&lt;&gt;")=0,"",IF($F23="Gleichmäßig unter Beteiligten",IF(I23&lt;&gt;"Ja",0,IF(COUNTIF($J23:$L23,"Ja")=0,$D23-SUM($T23:U23),ROUND($D23/COUNTIF($G23:$L23,"Ja"),2))),IF($F23="Vereinbarte Beträge",IF(I23="Ja",O23,0),"")))</f>
      </c>
      <c r="W23" s="87" t="str">
        <f>IF(COUNTIF($A23:$S23,"&lt;&gt;")=0,"",IF($F23="Gleichmäßig unter Beteiligten",IF(J23&lt;&gt;"Ja",0,IF(COUNTIF($K23:$L23,"Ja")=0,$D23-SUM($T23:V23),ROUND($D23/COUNTIF($G23:$L23,"Ja"),2))),IF($F23="Vereinbarte Beträge",IF(J23="Ja",P23,0),"")))</f>
      </c>
      <c r="X23" s="87" t="str">
        <f>IF(COUNTIF($A23:$S23,"&lt;&gt;")=0,"",IF($F23="Gleichmäßig unter Beteiligten",IF(K23&lt;&gt;"Ja",0,IF(COUNTIF($L23:$L23,"Ja")=0,$D23-SUM($T23:W23),ROUND($D23/COUNTIF($G23:$L23,"Ja"),2))),IF($F23="Vereinbarte Beträge",IF(K23="Ja",Q23,0),"")))</f>
      </c>
      <c r="Y23" s="87" t="str">
        <f>IF(COUNTIF($A23:$S23,"&lt;&gt;")=0,"",IF($F23="Gleichmäßig unter Beteiligten",IF(L23&lt;&gt;"Ja",0,IF(0=0,$D23-SUM($T23:X23),ROUND($D23/COUNTIF($G23:$L23,"Ja"),2))),IF($F23="Vereinbarte Beträge",IF(L23="Ja",R23,0),"")))</f>
      </c>
      <c r="Z23" s="81" t="str">
        <f>IF(COUNTIF($A23:$S23,"&lt;&gt;")=0,"",IF(OR($D23="",$D23&lt;=0),"Trage einen Betrag größer als null ein.",IF($E23="","Wähle aus, wer bezahlt hat.",IF(COUNTIF($G23:$L23,"Ja")=0,"Wähle mindestens eine beteiligte Person aus.",IF($F23="Gleichmäßig unter Beteiligten","Geprüft",IF($F23="Vereinbarte Beträge",IF(OR(AND(G23="Ja",M23=""),AND(H23="Ja",N23=""),AND(I23="Ja",O23=""),AND(J23="Ja",P23=""),AND(K23="Ja",Q23=""),AND(L23="Ja",R23="")),"Trage die vereinbarten Beträge so ein, dass ihre Summe der Ausgabe entspricht.",IF(ABS(SUM($M23:$R23))&lt;0.005,"Trage die vereinbarten Beträge so ein, dass ihre Summe der Ausgabe entspricht.",IF(SUM($M23:$R23)&lt;$D23-0.005,"Bei der Aufteilung fehlen "&amp;ROUND($D23-SUM($M23:$R23),2)&amp;".",IF(SUM($M23:$R23)&gt;$D23+0.005,"Die Aufteilung übersteigt die Ausgabe um "&amp;ROUND(SUM($M23:$R23)-$D23,2)&amp;".","Geprüft")))),"Trage die vereinbarten Beträge so ein, dass ihre Summe der Ausgabe entspricht."))))))</f>
      </c>
    </row>
    <row r="24">
      <c r="A24" s="83"/>
      <c r="B24" s="57"/>
      <c r="C24" s="57"/>
      <c r="D24" s="85"/>
      <c r="E24" s="57"/>
      <c r="F24" s="57"/>
      <c r="G24" s="57"/>
      <c r="H24" s="57"/>
      <c r="I24" s="57"/>
      <c r="J24" s="57"/>
      <c r="K24" s="57"/>
      <c r="L24" s="57"/>
      <c r="M24" s="85"/>
      <c r="N24" s="85"/>
      <c r="O24" s="85"/>
      <c r="P24" s="85"/>
      <c r="Q24" s="85"/>
      <c r="R24" s="85"/>
      <c r="S24" s="57"/>
      <c r="T24" s="87" t="str">
        <f>IF(COUNTIF($A24:$S24,"&lt;&gt;")=0,"",IF($F24="Gleichmäßig unter Beteiligten",IF(G24&lt;&gt;"Ja",0,IF(COUNTIF($H24:$L24,"Ja")=0,$D24-0,ROUND($D24/COUNTIF($G24:$L24,"Ja"),2))),IF($F24="Vereinbarte Beträge",IF(G24="Ja",M24,0),"")))</f>
      </c>
      <c r="U24" s="87" t="str">
        <f>IF(COUNTIF($A24:$S24,"&lt;&gt;")=0,"",IF($F24="Gleichmäßig unter Beteiligten",IF(H24&lt;&gt;"Ja",0,IF(COUNTIF($I24:$L24,"Ja")=0,$D24-SUM($T24:T24),ROUND($D24/COUNTIF($G24:$L24,"Ja"),2))),IF($F24="Vereinbarte Beträge",IF(H24="Ja",N24,0),"")))</f>
      </c>
      <c r="V24" s="87" t="str">
        <f>IF(COUNTIF($A24:$S24,"&lt;&gt;")=0,"",IF($F24="Gleichmäßig unter Beteiligten",IF(I24&lt;&gt;"Ja",0,IF(COUNTIF($J24:$L24,"Ja")=0,$D24-SUM($T24:U24),ROUND($D24/COUNTIF($G24:$L24,"Ja"),2))),IF($F24="Vereinbarte Beträge",IF(I24="Ja",O24,0),"")))</f>
      </c>
      <c r="W24" s="87" t="str">
        <f>IF(COUNTIF($A24:$S24,"&lt;&gt;")=0,"",IF($F24="Gleichmäßig unter Beteiligten",IF(J24&lt;&gt;"Ja",0,IF(COUNTIF($K24:$L24,"Ja")=0,$D24-SUM($T24:V24),ROUND($D24/COUNTIF($G24:$L24,"Ja"),2))),IF($F24="Vereinbarte Beträge",IF(J24="Ja",P24,0),"")))</f>
      </c>
      <c r="X24" s="87" t="str">
        <f>IF(COUNTIF($A24:$S24,"&lt;&gt;")=0,"",IF($F24="Gleichmäßig unter Beteiligten",IF(K24&lt;&gt;"Ja",0,IF(COUNTIF($L24:$L24,"Ja")=0,$D24-SUM($T24:W24),ROUND($D24/COUNTIF($G24:$L24,"Ja"),2))),IF($F24="Vereinbarte Beträge",IF(K24="Ja",Q24,0),"")))</f>
      </c>
      <c r="Y24" s="87" t="str">
        <f>IF(COUNTIF($A24:$S24,"&lt;&gt;")=0,"",IF($F24="Gleichmäßig unter Beteiligten",IF(L24&lt;&gt;"Ja",0,IF(0=0,$D24-SUM($T24:X24),ROUND($D24/COUNTIF($G24:$L24,"Ja"),2))),IF($F24="Vereinbarte Beträge",IF(L24="Ja",R24,0),"")))</f>
      </c>
      <c r="Z24" s="81" t="str">
        <f>IF(COUNTIF($A24:$S24,"&lt;&gt;")=0,"",IF(OR($D24="",$D24&lt;=0),"Trage einen Betrag größer als null ein.",IF($E24="","Wähle aus, wer bezahlt hat.",IF(COUNTIF($G24:$L24,"Ja")=0,"Wähle mindestens eine beteiligte Person aus.",IF($F24="Gleichmäßig unter Beteiligten","Geprüft",IF($F24="Vereinbarte Beträge",IF(OR(AND(G24="Ja",M24=""),AND(H24="Ja",N24=""),AND(I24="Ja",O24=""),AND(J24="Ja",P24=""),AND(K24="Ja",Q24=""),AND(L24="Ja",R24="")),"Trage die vereinbarten Beträge so ein, dass ihre Summe der Ausgabe entspricht.",IF(ABS(SUM($M24:$R24))&lt;0.005,"Trage die vereinbarten Beträge so ein, dass ihre Summe der Ausgabe entspricht.",IF(SUM($M24:$R24)&lt;$D24-0.005,"Bei der Aufteilung fehlen "&amp;ROUND($D24-SUM($M24:$R24),2)&amp;".",IF(SUM($M24:$R24)&gt;$D24+0.005,"Die Aufteilung übersteigt die Ausgabe um "&amp;ROUND(SUM($M24:$R24)-$D24,2)&amp;".","Geprüft")))),"Trage die vereinbarten Beträge so ein, dass ihre Summe der Ausgabe entspricht."))))))</f>
      </c>
    </row>
    <row r="25">
      <c r="A25" s="83"/>
      <c r="B25" s="57"/>
      <c r="C25" s="57"/>
      <c r="D25" s="85"/>
      <c r="E25" s="57"/>
      <c r="F25" s="57"/>
      <c r="G25" s="57"/>
      <c r="H25" s="57"/>
      <c r="I25" s="57"/>
      <c r="J25" s="57"/>
      <c r="K25" s="57"/>
      <c r="L25" s="57"/>
      <c r="M25" s="85"/>
      <c r="N25" s="85"/>
      <c r="O25" s="85"/>
      <c r="P25" s="85"/>
      <c r="Q25" s="85"/>
      <c r="R25" s="85"/>
      <c r="S25" s="57"/>
      <c r="T25" s="87" t="str">
        <f>IF(COUNTIF($A25:$S25,"&lt;&gt;")=0,"",IF($F25="Gleichmäßig unter Beteiligten",IF(G25&lt;&gt;"Ja",0,IF(COUNTIF($H25:$L25,"Ja")=0,$D25-0,ROUND($D25/COUNTIF($G25:$L25,"Ja"),2))),IF($F25="Vereinbarte Beträge",IF(G25="Ja",M25,0),"")))</f>
      </c>
      <c r="U25" s="87" t="str">
        <f>IF(COUNTIF($A25:$S25,"&lt;&gt;")=0,"",IF($F25="Gleichmäßig unter Beteiligten",IF(H25&lt;&gt;"Ja",0,IF(COUNTIF($I25:$L25,"Ja")=0,$D25-SUM($T25:T25),ROUND($D25/COUNTIF($G25:$L25,"Ja"),2))),IF($F25="Vereinbarte Beträge",IF(H25="Ja",N25,0),"")))</f>
      </c>
      <c r="V25" s="87" t="str">
        <f>IF(COUNTIF($A25:$S25,"&lt;&gt;")=0,"",IF($F25="Gleichmäßig unter Beteiligten",IF(I25&lt;&gt;"Ja",0,IF(COUNTIF($J25:$L25,"Ja")=0,$D25-SUM($T25:U25),ROUND($D25/COUNTIF($G25:$L25,"Ja"),2))),IF($F25="Vereinbarte Beträge",IF(I25="Ja",O25,0),"")))</f>
      </c>
      <c r="W25" s="87" t="str">
        <f>IF(COUNTIF($A25:$S25,"&lt;&gt;")=0,"",IF($F25="Gleichmäßig unter Beteiligten",IF(J25&lt;&gt;"Ja",0,IF(COUNTIF($K25:$L25,"Ja")=0,$D25-SUM($T25:V25),ROUND($D25/COUNTIF($G25:$L25,"Ja"),2))),IF($F25="Vereinbarte Beträge",IF(J25="Ja",P25,0),"")))</f>
      </c>
      <c r="X25" s="87" t="str">
        <f>IF(COUNTIF($A25:$S25,"&lt;&gt;")=0,"",IF($F25="Gleichmäßig unter Beteiligten",IF(K25&lt;&gt;"Ja",0,IF(COUNTIF($L25:$L25,"Ja")=0,$D25-SUM($T25:W25),ROUND($D25/COUNTIF($G25:$L25,"Ja"),2))),IF($F25="Vereinbarte Beträge",IF(K25="Ja",Q25,0),"")))</f>
      </c>
      <c r="Y25" s="87" t="str">
        <f>IF(COUNTIF($A25:$S25,"&lt;&gt;")=0,"",IF($F25="Gleichmäßig unter Beteiligten",IF(L25&lt;&gt;"Ja",0,IF(0=0,$D25-SUM($T25:X25),ROUND($D25/COUNTIF($G25:$L25,"Ja"),2))),IF($F25="Vereinbarte Beträge",IF(L25="Ja",R25,0),"")))</f>
      </c>
      <c r="Z25" s="81" t="str">
        <f>IF(COUNTIF($A25:$S25,"&lt;&gt;")=0,"",IF(OR($D25="",$D25&lt;=0),"Trage einen Betrag größer als null ein.",IF($E25="","Wähle aus, wer bezahlt hat.",IF(COUNTIF($G25:$L25,"Ja")=0,"Wähle mindestens eine beteiligte Person aus.",IF($F25="Gleichmäßig unter Beteiligten","Geprüft",IF($F25="Vereinbarte Beträge",IF(OR(AND(G25="Ja",M25=""),AND(H25="Ja",N25=""),AND(I25="Ja",O25=""),AND(J25="Ja",P25=""),AND(K25="Ja",Q25=""),AND(L25="Ja",R25="")),"Trage die vereinbarten Beträge so ein, dass ihre Summe der Ausgabe entspricht.",IF(ABS(SUM($M25:$R25))&lt;0.005,"Trage die vereinbarten Beträge so ein, dass ihre Summe der Ausgabe entspricht.",IF(SUM($M25:$R25)&lt;$D25-0.005,"Bei der Aufteilung fehlen "&amp;ROUND($D25-SUM($M25:$R25),2)&amp;".",IF(SUM($M25:$R25)&gt;$D25+0.005,"Die Aufteilung übersteigt die Ausgabe um "&amp;ROUND(SUM($M25:$R25)-$D25,2)&amp;".","Geprüft")))),"Trage die vereinbarten Beträge so ein, dass ihre Summe der Ausgabe entspricht."))))))</f>
      </c>
    </row>
    <row r="26">
      <c r="A26" s="83"/>
      <c r="B26" s="57"/>
      <c r="C26" s="57"/>
      <c r="D26" s="85"/>
      <c r="E26" s="57"/>
      <c r="F26" s="57"/>
      <c r="G26" s="57"/>
      <c r="H26" s="57"/>
      <c r="I26" s="57"/>
      <c r="J26" s="57"/>
      <c r="K26" s="57"/>
      <c r="L26" s="57"/>
      <c r="M26" s="85"/>
      <c r="N26" s="85"/>
      <c r="O26" s="85"/>
      <c r="P26" s="85"/>
      <c r="Q26" s="85"/>
      <c r="R26" s="85"/>
      <c r="S26" s="57"/>
      <c r="T26" s="87" t="str">
        <f>IF(COUNTIF($A26:$S26,"&lt;&gt;")=0,"",IF($F26="Gleichmäßig unter Beteiligten",IF(G26&lt;&gt;"Ja",0,IF(COUNTIF($H26:$L26,"Ja")=0,$D26-0,ROUND($D26/COUNTIF($G26:$L26,"Ja"),2))),IF($F26="Vereinbarte Beträge",IF(G26="Ja",M26,0),"")))</f>
      </c>
      <c r="U26" s="87" t="str">
        <f>IF(COUNTIF($A26:$S26,"&lt;&gt;")=0,"",IF($F26="Gleichmäßig unter Beteiligten",IF(H26&lt;&gt;"Ja",0,IF(COUNTIF($I26:$L26,"Ja")=0,$D26-SUM($T26:T26),ROUND($D26/COUNTIF($G26:$L26,"Ja"),2))),IF($F26="Vereinbarte Beträge",IF(H26="Ja",N26,0),"")))</f>
      </c>
      <c r="V26" s="87" t="str">
        <f>IF(COUNTIF($A26:$S26,"&lt;&gt;")=0,"",IF($F26="Gleichmäßig unter Beteiligten",IF(I26&lt;&gt;"Ja",0,IF(COUNTIF($J26:$L26,"Ja")=0,$D26-SUM($T26:U26),ROUND($D26/COUNTIF($G26:$L26,"Ja"),2))),IF($F26="Vereinbarte Beträge",IF(I26="Ja",O26,0),"")))</f>
      </c>
      <c r="W26" s="87" t="str">
        <f>IF(COUNTIF($A26:$S26,"&lt;&gt;")=0,"",IF($F26="Gleichmäßig unter Beteiligten",IF(J26&lt;&gt;"Ja",0,IF(COUNTIF($K26:$L26,"Ja")=0,$D26-SUM($T26:V26),ROUND($D26/COUNTIF($G26:$L26,"Ja"),2))),IF($F26="Vereinbarte Beträge",IF(J26="Ja",P26,0),"")))</f>
      </c>
      <c r="X26" s="87" t="str">
        <f>IF(COUNTIF($A26:$S26,"&lt;&gt;")=0,"",IF($F26="Gleichmäßig unter Beteiligten",IF(K26&lt;&gt;"Ja",0,IF(COUNTIF($L26:$L26,"Ja")=0,$D26-SUM($T26:W26),ROUND($D26/COUNTIF($G26:$L26,"Ja"),2))),IF($F26="Vereinbarte Beträge",IF(K26="Ja",Q26,0),"")))</f>
      </c>
      <c r="Y26" s="87" t="str">
        <f>IF(COUNTIF($A26:$S26,"&lt;&gt;")=0,"",IF($F26="Gleichmäßig unter Beteiligten",IF(L26&lt;&gt;"Ja",0,IF(0=0,$D26-SUM($T26:X26),ROUND($D26/COUNTIF($G26:$L26,"Ja"),2))),IF($F26="Vereinbarte Beträge",IF(L26="Ja",R26,0),"")))</f>
      </c>
      <c r="Z26" s="81" t="str">
        <f>IF(COUNTIF($A26:$S26,"&lt;&gt;")=0,"",IF(OR($D26="",$D26&lt;=0),"Trage einen Betrag größer als null ein.",IF($E26="","Wähle aus, wer bezahlt hat.",IF(COUNTIF($G26:$L26,"Ja")=0,"Wähle mindestens eine beteiligte Person aus.",IF($F26="Gleichmäßig unter Beteiligten","Geprüft",IF($F26="Vereinbarte Beträge",IF(OR(AND(G26="Ja",M26=""),AND(H26="Ja",N26=""),AND(I26="Ja",O26=""),AND(J26="Ja",P26=""),AND(K26="Ja",Q26=""),AND(L26="Ja",R26="")),"Trage die vereinbarten Beträge so ein, dass ihre Summe der Ausgabe entspricht.",IF(ABS(SUM($M26:$R26))&lt;0.005,"Trage die vereinbarten Beträge so ein, dass ihre Summe der Ausgabe entspricht.",IF(SUM($M26:$R26)&lt;$D26-0.005,"Bei der Aufteilung fehlen "&amp;ROUND($D26-SUM($M26:$R26),2)&amp;".",IF(SUM($M26:$R26)&gt;$D26+0.005,"Die Aufteilung übersteigt die Ausgabe um "&amp;ROUND(SUM($M26:$R26)-$D26,2)&amp;".","Geprüft")))),"Trage die vereinbarten Beträge so ein, dass ihre Summe der Ausgabe entspricht."))))))</f>
      </c>
    </row>
    <row r="27">
      <c r="A27" s="83"/>
      <c r="B27" s="57"/>
      <c r="C27" s="57"/>
      <c r="D27" s="85"/>
      <c r="E27" s="57"/>
      <c r="F27" s="57"/>
      <c r="G27" s="57"/>
      <c r="H27" s="57"/>
      <c r="I27" s="57"/>
      <c r="J27" s="57"/>
      <c r="K27" s="57"/>
      <c r="L27" s="57"/>
      <c r="M27" s="85"/>
      <c r="N27" s="85"/>
      <c r="O27" s="85"/>
      <c r="P27" s="85"/>
      <c r="Q27" s="85"/>
      <c r="R27" s="85"/>
      <c r="S27" s="57"/>
      <c r="T27" s="87" t="str">
        <f>IF(COUNTIF($A27:$S27,"&lt;&gt;")=0,"",IF($F27="Gleichmäßig unter Beteiligten",IF(G27&lt;&gt;"Ja",0,IF(COUNTIF($H27:$L27,"Ja")=0,$D27-0,ROUND($D27/COUNTIF($G27:$L27,"Ja"),2))),IF($F27="Vereinbarte Beträge",IF(G27="Ja",M27,0),"")))</f>
      </c>
      <c r="U27" s="87" t="str">
        <f>IF(COUNTIF($A27:$S27,"&lt;&gt;")=0,"",IF($F27="Gleichmäßig unter Beteiligten",IF(H27&lt;&gt;"Ja",0,IF(COUNTIF($I27:$L27,"Ja")=0,$D27-SUM($T27:T27),ROUND($D27/COUNTIF($G27:$L27,"Ja"),2))),IF($F27="Vereinbarte Beträge",IF(H27="Ja",N27,0),"")))</f>
      </c>
      <c r="V27" s="87" t="str">
        <f>IF(COUNTIF($A27:$S27,"&lt;&gt;")=0,"",IF($F27="Gleichmäßig unter Beteiligten",IF(I27&lt;&gt;"Ja",0,IF(COUNTIF($J27:$L27,"Ja")=0,$D27-SUM($T27:U27),ROUND($D27/COUNTIF($G27:$L27,"Ja"),2))),IF($F27="Vereinbarte Beträge",IF(I27="Ja",O27,0),"")))</f>
      </c>
      <c r="W27" s="87" t="str">
        <f>IF(COUNTIF($A27:$S27,"&lt;&gt;")=0,"",IF($F27="Gleichmäßig unter Beteiligten",IF(J27&lt;&gt;"Ja",0,IF(COUNTIF($K27:$L27,"Ja")=0,$D27-SUM($T27:V27),ROUND($D27/COUNTIF($G27:$L27,"Ja"),2))),IF($F27="Vereinbarte Beträge",IF(J27="Ja",P27,0),"")))</f>
      </c>
      <c r="X27" s="87" t="str">
        <f>IF(COUNTIF($A27:$S27,"&lt;&gt;")=0,"",IF($F27="Gleichmäßig unter Beteiligten",IF(K27&lt;&gt;"Ja",0,IF(COUNTIF($L27:$L27,"Ja")=0,$D27-SUM($T27:W27),ROUND($D27/COUNTIF($G27:$L27,"Ja"),2))),IF($F27="Vereinbarte Beträge",IF(K27="Ja",Q27,0),"")))</f>
      </c>
      <c r="Y27" s="87" t="str">
        <f>IF(COUNTIF($A27:$S27,"&lt;&gt;")=0,"",IF($F27="Gleichmäßig unter Beteiligten",IF(L27&lt;&gt;"Ja",0,IF(0=0,$D27-SUM($T27:X27),ROUND($D27/COUNTIF($G27:$L27,"Ja"),2))),IF($F27="Vereinbarte Beträge",IF(L27="Ja",R27,0),"")))</f>
      </c>
      <c r="Z27" s="81" t="str">
        <f>IF(COUNTIF($A27:$S27,"&lt;&gt;")=0,"",IF(OR($D27="",$D27&lt;=0),"Trage einen Betrag größer als null ein.",IF($E27="","Wähle aus, wer bezahlt hat.",IF(COUNTIF($G27:$L27,"Ja")=0,"Wähle mindestens eine beteiligte Person aus.",IF($F27="Gleichmäßig unter Beteiligten","Geprüft",IF($F27="Vereinbarte Beträge",IF(OR(AND(G27="Ja",M27=""),AND(H27="Ja",N27=""),AND(I27="Ja",O27=""),AND(J27="Ja",P27=""),AND(K27="Ja",Q27=""),AND(L27="Ja",R27="")),"Trage die vereinbarten Beträge so ein, dass ihre Summe der Ausgabe entspricht.",IF(ABS(SUM($M27:$R27))&lt;0.005,"Trage die vereinbarten Beträge so ein, dass ihre Summe der Ausgabe entspricht.",IF(SUM($M27:$R27)&lt;$D27-0.005,"Bei der Aufteilung fehlen "&amp;ROUND($D27-SUM($M27:$R27),2)&amp;".",IF(SUM($M27:$R27)&gt;$D27+0.005,"Die Aufteilung übersteigt die Ausgabe um "&amp;ROUND(SUM($M27:$R27)-$D27,2)&amp;".","Geprüft")))),"Trage die vereinbarten Beträge so ein, dass ihre Summe der Ausgabe entspricht."))))))</f>
      </c>
    </row>
    <row r="28">
      <c r="A28" s="83"/>
      <c r="B28" s="57"/>
      <c r="C28" s="57"/>
      <c r="D28" s="85"/>
      <c r="E28" s="57"/>
      <c r="F28" s="57"/>
      <c r="G28" s="57"/>
      <c r="H28" s="57"/>
      <c r="I28" s="57"/>
      <c r="J28" s="57"/>
      <c r="K28" s="57"/>
      <c r="L28" s="57"/>
      <c r="M28" s="85"/>
      <c r="N28" s="85"/>
      <c r="O28" s="85"/>
      <c r="P28" s="85"/>
      <c r="Q28" s="85"/>
      <c r="R28" s="85"/>
      <c r="S28" s="57"/>
      <c r="T28" s="87" t="str">
        <f>IF(COUNTIF($A28:$S28,"&lt;&gt;")=0,"",IF($F28="Gleichmäßig unter Beteiligten",IF(G28&lt;&gt;"Ja",0,IF(COUNTIF($H28:$L28,"Ja")=0,$D28-0,ROUND($D28/COUNTIF($G28:$L28,"Ja"),2))),IF($F28="Vereinbarte Beträge",IF(G28="Ja",M28,0),"")))</f>
      </c>
      <c r="U28" s="87" t="str">
        <f>IF(COUNTIF($A28:$S28,"&lt;&gt;")=0,"",IF($F28="Gleichmäßig unter Beteiligten",IF(H28&lt;&gt;"Ja",0,IF(COUNTIF($I28:$L28,"Ja")=0,$D28-SUM($T28:T28),ROUND($D28/COUNTIF($G28:$L28,"Ja"),2))),IF($F28="Vereinbarte Beträge",IF(H28="Ja",N28,0),"")))</f>
      </c>
      <c r="V28" s="87" t="str">
        <f>IF(COUNTIF($A28:$S28,"&lt;&gt;")=0,"",IF($F28="Gleichmäßig unter Beteiligten",IF(I28&lt;&gt;"Ja",0,IF(COUNTIF($J28:$L28,"Ja")=0,$D28-SUM($T28:U28),ROUND($D28/COUNTIF($G28:$L28,"Ja"),2))),IF($F28="Vereinbarte Beträge",IF(I28="Ja",O28,0),"")))</f>
      </c>
      <c r="W28" s="87" t="str">
        <f>IF(COUNTIF($A28:$S28,"&lt;&gt;")=0,"",IF($F28="Gleichmäßig unter Beteiligten",IF(J28&lt;&gt;"Ja",0,IF(COUNTIF($K28:$L28,"Ja")=0,$D28-SUM($T28:V28),ROUND($D28/COUNTIF($G28:$L28,"Ja"),2))),IF($F28="Vereinbarte Beträge",IF(J28="Ja",P28,0),"")))</f>
      </c>
      <c r="X28" s="87" t="str">
        <f>IF(COUNTIF($A28:$S28,"&lt;&gt;")=0,"",IF($F28="Gleichmäßig unter Beteiligten",IF(K28&lt;&gt;"Ja",0,IF(COUNTIF($L28:$L28,"Ja")=0,$D28-SUM($T28:W28),ROUND($D28/COUNTIF($G28:$L28,"Ja"),2))),IF($F28="Vereinbarte Beträge",IF(K28="Ja",Q28,0),"")))</f>
      </c>
      <c r="Y28" s="87" t="str">
        <f>IF(COUNTIF($A28:$S28,"&lt;&gt;")=0,"",IF($F28="Gleichmäßig unter Beteiligten",IF(L28&lt;&gt;"Ja",0,IF(0=0,$D28-SUM($T28:X28),ROUND($D28/COUNTIF($G28:$L28,"Ja"),2))),IF($F28="Vereinbarte Beträge",IF(L28="Ja",R28,0),"")))</f>
      </c>
      <c r="Z28" s="81" t="str">
        <f>IF(COUNTIF($A28:$S28,"&lt;&gt;")=0,"",IF(OR($D28="",$D28&lt;=0),"Trage einen Betrag größer als null ein.",IF($E28="","Wähle aus, wer bezahlt hat.",IF(COUNTIF($G28:$L28,"Ja")=0,"Wähle mindestens eine beteiligte Person aus.",IF($F28="Gleichmäßig unter Beteiligten","Geprüft",IF($F28="Vereinbarte Beträge",IF(OR(AND(G28="Ja",M28=""),AND(H28="Ja",N28=""),AND(I28="Ja",O28=""),AND(J28="Ja",P28=""),AND(K28="Ja",Q28=""),AND(L28="Ja",R28="")),"Trage die vereinbarten Beträge so ein, dass ihre Summe der Ausgabe entspricht.",IF(ABS(SUM($M28:$R28))&lt;0.005,"Trage die vereinbarten Beträge so ein, dass ihre Summe der Ausgabe entspricht.",IF(SUM($M28:$R28)&lt;$D28-0.005,"Bei der Aufteilung fehlen "&amp;ROUND($D28-SUM($M28:$R28),2)&amp;".",IF(SUM($M28:$R28)&gt;$D28+0.005,"Die Aufteilung übersteigt die Ausgabe um "&amp;ROUND(SUM($M28:$R28)-$D28,2)&amp;".","Geprüft")))),"Trage die vereinbarten Beträge so ein, dass ihre Summe der Ausgabe entspricht."))))))</f>
      </c>
    </row>
    <row r="29">
      <c r="A29" s="83"/>
      <c r="B29" s="57"/>
      <c r="C29" s="57"/>
      <c r="D29" s="85"/>
      <c r="E29" s="57"/>
      <c r="F29" s="57"/>
      <c r="G29" s="57"/>
      <c r="H29" s="57"/>
      <c r="I29" s="57"/>
      <c r="J29" s="57"/>
      <c r="K29" s="57"/>
      <c r="L29" s="57"/>
      <c r="M29" s="85"/>
      <c r="N29" s="85"/>
      <c r="O29" s="85"/>
      <c r="P29" s="85"/>
      <c r="Q29" s="85"/>
      <c r="R29" s="85"/>
      <c r="S29" s="57"/>
      <c r="T29" s="87" t="str">
        <f>IF(COUNTIF($A29:$S29,"&lt;&gt;")=0,"",IF($F29="Gleichmäßig unter Beteiligten",IF(G29&lt;&gt;"Ja",0,IF(COUNTIF($H29:$L29,"Ja")=0,$D29-0,ROUND($D29/COUNTIF($G29:$L29,"Ja"),2))),IF($F29="Vereinbarte Beträge",IF(G29="Ja",M29,0),"")))</f>
      </c>
      <c r="U29" s="87" t="str">
        <f>IF(COUNTIF($A29:$S29,"&lt;&gt;")=0,"",IF($F29="Gleichmäßig unter Beteiligten",IF(H29&lt;&gt;"Ja",0,IF(COUNTIF($I29:$L29,"Ja")=0,$D29-SUM($T29:T29),ROUND($D29/COUNTIF($G29:$L29,"Ja"),2))),IF($F29="Vereinbarte Beträge",IF(H29="Ja",N29,0),"")))</f>
      </c>
      <c r="V29" s="87" t="str">
        <f>IF(COUNTIF($A29:$S29,"&lt;&gt;")=0,"",IF($F29="Gleichmäßig unter Beteiligten",IF(I29&lt;&gt;"Ja",0,IF(COUNTIF($J29:$L29,"Ja")=0,$D29-SUM($T29:U29),ROUND($D29/COUNTIF($G29:$L29,"Ja"),2))),IF($F29="Vereinbarte Beträge",IF(I29="Ja",O29,0),"")))</f>
      </c>
      <c r="W29" s="87" t="str">
        <f>IF(COUNTIF($A29:$S29,"&lt;&gt;")=0,"",IF($F29="Gleichmäßig unter Beteiligten",IF(J29&lt;&gt;"Ja",0,IF(COUNTIF($K29:$L29,"Ja")=0,$D29-SUM($T29:V29),ROUND($D29/COUNTIF($G29:$L29,"Ja"),2))),IF($F29="Vereinbarte Beträge",IF(J29="Ja",P29,0),"")))</f>
      </c>
      <c r="X29" s="87" t="str">
        <f>IF(COUNTIF($A29:$S29,"&lt;&gt;")=0,"",IF($F29="Gleichmäßig unter Beteiligten",IF(K29&lt;&gt;"Ja",0,IF(COUNTIF($L29:$L29,"Ja")=0,$D29-SUM($T29:W29),ROUND($D29/COUNTIF($G29:$L29,"Ja"),2))),IF($F29="Vereinbarte Beträge",IF(K29="Ja",Q29,0),"")))</f>
      </c>
      <c r="Y29" s="87" t="str">
        <f>IF(COUNTIF($A29:$S29,"&lt;&gt;")=0,"",IF($F29="Gleichmäßig unter Beteiligten",IF(L29&lt;&gt;"Ja",0,IF(0=0,$D29-SUM($T29:X29),ROUND($D29/COUNTIF($G29:$L29,"Ja"),2))),IF($F29="Vereinbarte Beträge",IF(L29="Ja",R29,0),"")))</f>
      </c>
      <c r="Z29" s="81" t="str">
        <f>IF(COUNTIF($A29:$S29,"&lt;&gt;")=0,"",IF(OR($D29="",$D29&lt;=0),"Trage einen Betrag größer als null ein.",IF($E29="","Wähle aus, wer bezahlt hat.",IF(COUNTIF($G29:$L29,"Ja")=0,"Wähle mindestens eine beteiligte Person aus.",IF($F29="Gleichmäßig unter Beteiligten","Geprüft",IF($F29="Vereinbarte Beträge",IF(OR(AND(G29="Ja",M29=""),AND(H29="Ja",N29=""),AND(I29="Ja",O29=""),AND(J29="Ja",P29=""),AND(K29="Ja",Q29=""),AND(L29="Ja",R29="")),"Trage die vereinbarten Beträge so ein, dass ihre Summe der Ausgabe entspricht.",IF(ABS(SUM($M29:$R29))&lt;0.005,"Trage die vereinbarten Beträge so ein, dass ihre Summe der Ausgabe entspricht.",IF(SUM($M29:$R29)&lt;$D29-0.005,"Bei der Aufteilung fehlen "&amp;ROUND($D29-SUM($M29:$R29),2)&amp;".",IF(SUM($M29:$R29)&gt;$D29+0.005,"Die Aufteilung übersteigt die Ausgabe um "&amp;ROUND(SUM($M29:$R29)-$D29,2)&amp;".","Geprüft")))),"Trage die vereinbarten Beträge so ein, dass ihre Summe der Ausgabe entspricht."))))))</f>
      </c>
    </row>
    <row r="30">
      <c r="A30" s="83"/>
      <c r="B30" s="57"/>
      <c r="C30" s="57"/>
      <c r="D30" s="85"/>
      <c r="E30" s="57"/>
      <c r="F30" s="57"/>
      <c r="G30" s="57"/>
      <c r="H30" s="57"/>
      <c r="I30" s="57"/>
      <c r="J30" s="57"/>
      <c r="K30" s="57"/>
      <c r="L30" s="57"/>
      <c r="M30" s="85"/>
      <c r="N30" s="85"/>
      <c r="O30" s="85"/>
      <c r="P30" s="85"/>
      <c r="Q30" s="85"/>
      <c r="R30" s="85"/>
      <c r="S30" s="57"/>
      <c r="T30" s="87" t="str">
        <f>IF(COUNTIF($A30:$S30,"&lt;&gt;")=0,"",IF($F30="Gleichmäßig unter Beteiligten",IF(G30&lt;&gt;"Ja",0,IF(COUNTIF($H30:$L30,"Ja")=0,$D30-0,ROUND($D30/COUNTIF($G30:$L30,"Ja"),2))),IF($F30="Vereinbarte Beträge",IF(G30="Ja",M30,0),"")))</f>
      </c>
      <c r="U30" s="87" t="str">
        <f>IF(COUNTIF($A30:$S30,"&lt;&gt;")=0,"",IF($F30="Gleichmäßig unter Beteiligten",IF(H30&lt;&gt;"Ja",0,IF(COUNTIF($I30:$L30,"Ja")=0,$D30-SUM($T30:T30),ROUND($D30/COUNTIF($G30:$L30,"Ja"),2))),IF($F30="Vereinbarte Beträge",IF(H30="Ja",N30,0),"")))</f>
      </c>
      <c r="V30" s="87" t="str">
        <f>IF(COUNTIF($A30:$S30,"&lt;&gt;")=0,"",IF($F30="Gleichmäßig unter Beteiligten",IF(I30&lt;&gt;"Ja",0,IF(COUNTIF($J30:$L30,"Ja")=0,$D30-SUM($T30:U30),ROUND($D30/COUNTIF($G30:$L30,"Ja"),2))),IF($F30="Vereinbarte Beträge",IF(I30="Ja",O30,0),"")))</f>
      </c>
      <c r="W30" s="87" t="str">
        <f>IF(COUNTIF($A30:$S30,"&lt;&gt;")=0,"",IF($F30="Gleichmäßig unter Beteiligten",IF(J30&lt;&gt;"Ja",0,IF(COUNTIF($K30:$L30,"Ja")=0,$D30-SUM($T30:V30),ROUND($D30/COUNTIF($G30:$L30,"Ja"),2))),IF($F30="Vereinbarte Beträge",IF(J30="Ja",P30,0),"")))</f>
      </c>
      <c r="X30" s="87" t="str">
        <f>IF(COUNTIF($A30:$S30,"&lt;&gt;")=0,"",IF($F30="Gleichmäßig unter Beteiligten",IF(K30&lt;&gt;"Ja",0,IF(COUNTIF($L30:$L30,"Ja")=0,$D30-SUM($T30:W30),ROUND($D30/COUNTIF($G30:$L30,"Ja"),2))),IF($F30="Vereinbarte Beträge",IF(K30="Ja",Q30,0),"")))</f>
      </c>
      <c r="Y30" s="87" t="str">
        <f>IF(COUNTIF($A30:$S30,"&lt;&gt;")=0,"",IF($F30="Gleichmäßig unter Beteiligten",IF(L30&lt;&gt;"Ja",0,IF(0=0,$D30-SUM($T30:X30),ROUND($D30/COUNTIF($G30:$L30,"Ja"),2))),IF($F30="Vereinbarte Beträge",IF(L30="Ja",R30,0),"")))</f>
      </c>
      <c r="Z30" s="81" t="str">
        <f>IF(COUNTIF($A30:$S30,"&lt;&gt;")=0,"",IF(OR($D30="",$D30&lt;=0),"Trage einen Betrag größer als null ein.",IF($E30="","Wähle aus, wer bezahlt hat.",IF(COUNTIF($G30:$L30,"Ja")=0,"Wähle mindestens eine beteiligte Person aus.",IF($F30="Gleichmäßig unter Beteiligten","Geprüft",IF($F30="Vereinbarte Beträge",IF(OR(AND(G30="Ja",M30=""),AND(H30="Ja",N30=""),AND(I30="Ja",O30=""),AND(J30="Ja",P30=""),AND(K30="Ja",Q30=""),AND(L30="Ja",R30="")),"Trage die vereinbarten Beträge so ein, dass ihre Summe der Ausgabe entspricht.",IF(ABS(SUM($M30:$R30))&lt;0.005,"Trage die vereinbarten Beträge so ein, dass ihre Summe der Ausgabe entspricht.",IF(SUM($M30:$R30)&lt;$D30-0.005,"Bei der Aufteilung fehlen "&amp;ROUND($D30-SUM($M30:$R30),2)&amp;".",IF(SUM($M30:$R30)&gt;$D30+0.005,"Die Aufteilung übersteigt die Ausgabe um "&amp;ROUND(SUM($M30:$R30)-$D30,2)&amp;".","Geprüft")))),"Trage die vereinbarten Beträge so ein, dass ihre Summe der Ausgabe entspricht."))))))</f>
      </c>
    </row>
    <row r="31">
      <c r="A31" s="83"/>
      <c r="B31" s="57"/>
      <c r="C31" s="57"/>
      <c r="D31" s="85"/>
      <c r="E31" s="57"/>
      <c r="F31" s="57"/>
      <c r="G31" s="57"/>
      <c r="H31" s="57"/>
      <c r="I31" s="57"/>
      <c r="J31" s="57"/>
      <c r="K31" s="57"/>
      <c r="L31" s="57"/>
      <c r="M31" s="85"/>
      <c r="N31" s="85"/>
      <c r="O31" s="85"/>
      <c r="P31" s="85"/>
      <c r="Q31" s="85"/>
      <c r="R31" s="85"/>
      <c r="S31" s="57"/>
      <c r="T31" s="87" t="str">
        <f>IF(COUNTIF($A31:$S31,"&lt;&gt;")=0,"",IF($F31="Gleichmäßig unter Beteiligten",IF(G31&lt;&gt;"Ja",0,IF(COUNTIF($H31:$L31,"Ja")=0,$D31-0,ROUND($D31/COUNTIF($G31:$L31,"Ja"),2))),IF($F31="Vereinbarte Beträge",IF(G31="Ja",M31,0),"")))</f>
      </c>
      <c r="U31" s="87" t="str">
        <f>IF(COUNTIF($A31:$S31,"&lt;&gt;")=0,"",IF($F31="Gleichmäßig unter Beteiligten",IF(H31&lt;&gt;"Ja",0,IF(COUNTIF($I31:$L31,"Ja")=0,$D31-SUM($T31:T31),ROUND($D31/COUNTIF($G31:$L31,"Ja"),2))),IF($F31="Vereinbarte Beträge",IF(H31="Ja",N31,0),"")))</f>
      </c>
      <c r="V31" s="87" t="str">
        <f>IF(COUNTIF($A31:$S31,"&lt;&gt;")=0,"",IF($F31="Gleichmäßig unter Beteiligten",IF(I31&lt;&gt;"Ja",0,IF(COUNTIF($J31:$L31,"Ja")=0,$D31-SUM($T31:U31),ROUND($D31/COUNTIF($G31:$L31,"Ja"),2))),IF($F31="Vereinbarte Beträge",IF(I31="Ja",O31,0),"")))</f>
      </c>
      <c r="W31" s="87" t="str">
        <f>IF(COUNTIF($A31:$S31,"&lt;&gt;")=0,"",IF($F31="Gleichmäßig unter Beteiligten",IF(J31&lt;&gt;"Ja",0,IF(COUNTIF($K31:$L31,"Ja")=0,$D31-SUM($T31:V31),ROUND($D31/COUNTIF($G31:$L31,"Ja"),2))),IF($F31="Vereinbarte Beträge",IF(J31="Ja",P31,0),"")))</f>
      </c>
      <c r="X31" s="87" t="str">
        <f>IF(COUNTIF($A31:$S31,"&lt;&gt;")=0,"",IF($F31="Gleichmäßig unter Beteiligten",IF(K31&lt;&gt;"Ja",0,IF(COUNTIF($L31:$L31,"Ja")=0,$D31-SUM($T31:W31),ROUND($D31/COUNTIF($G31:$L31,"Ja"),2))),IF($F31="Vereinbarte Beträge",IF(K31="Ja",Q31,0),"")))</f>
      </c>
      <c r="Y31" s="87" t="str">
        <f>IF(COUNTIF($A31:$S31,"&lt;&gt;")=0,"",IF($F31="Gleichmäßig unter Beteiligten",IF(L31&lt;&gt;"Ja",0,IF(0=0,$D31-SUM($T31:X31),ROUND($D31/COUNTIF($G31:$L31,"Ja"),2))),IF($F31="Vereinbarte Beträge",IF(L31="Ja",R31,0),"")))</f>
      </c>
      <c r="Z31" s="81" t="str">
        <f>IF(COUNTIF($A31:$S31,"&lt;&gt;")=0,"",IF(OR($D31="",$D31&lt;=0),"Trage einen Betrag größer als null ein.",IF($E31="","Wähle aus, wer bezahlt hat.",IF(COUNTIF($G31:$L31,"Ja")=0,"Wähle mindestens eine beteiligte Person aus.",IF($F31="Gleichmäßig unter Beteiligten","Geprüft",IF($F31="Vereinbarte Beträge",IF(OR(AND(G31="Ja",M31=""),AND(H31="Ja",N31=""),AND(I31="Ja",O31=""),AND(J31="Ja",P31=""),AND(K31="Ja",Q31=""),AND(L31="Ja",R31="")),"Trage die vereinbarten Beträge so ein, dass ihre Summe der Ausgabe entspricht.",IF(ABS(SUM($M31:$R31))&lt;0.005,"Trage die vereinbarten Beträge so ein, dass ihre Summe der Ausgabe entspricht.",IF(SUM($M31:$R31)&lt;$D31-0.005,"Bei der Aufteilung fehlen "&amp;ROUND($D31-SUM($M31:$R31),2)&amp;".",IF(SUM($M31:$R31)&gt;$D31+0.005,"Die Aufteilung übersteigt die Ausgabe um "&amp;ROUND(SUM($M31:$R31)-$D31,2)&amp;".","Geprüft")))),"Trage die vereinbarten Beträge so ein, dass ihre Summe der Ausgabe entspricht."))))))</f>
      </c>
    </row>
    <row r="32">
      <c r="A32" s="83"/>
      <c r="B32" s="57"/>
      <c r="C32" s="57"/>
      <c r="D32" s="85"/>
      <c r="E32" s="57"/>
      <c r="F32" s="57"/>
      <c r="G32" s="57"/>
      <c r="H32" s="57"/>
      <c r="I32" s="57"/>
      <c r="J32" s="57"/>
      <c r="K32" s="57"/>
      <c r="L32" s="57"/>
      <c r="M32" s="85"/>
      <c r="N32" s="85"/>
      <c r="O32" s="85"/>
      <c r="P32" s="85"/>
      <c r="Q32" s="85"/>
      <c r="R32" s="85"/>
      <c r="S32" s="57"/>
      <c r="T32" s="87" t="str">
        <f>IF(COUNTIF($A32:$S32,"&lt;&gt;")=0,"",IF($F32="Gleichmäßig unter Beteiligten",IF(G32&lt;&gt;"Ja",0,IF(COUNTIF($H32:$L32,"Ja")=0,$D32-0,ROUND($D32/COUNTIF($G32:$L32,"Ja"),2))),IF($F32="Vereinbarte Beträge",IF(G32="Ja",M32,0),"")))</f>
      </c>
      <c r="U32" s="87" t="str">
        <f>IF(COUNTIF($A32:$S32,"&lt;&gt;")=0,"",IF($F32="Gleichmäßig unter Beteiligten",IF(H32&lt;&gt;"Ja",0,IF(COUNTIF($I32:$L32,"Ja")=0,$D32-SUM($T32:T32),ROUND($D32/COUNTIF($G32:$L32,"Ja"),2))),IF($F32="Vereinbarte Beträge",IF(H32="Ja",N32,0),"")))</f>
      </c>
      <c r="V32" s="87" t="str">
        <f>IF(COUNTIF($A32:$S32,"&lt;&gt;")=0,"",IF($F32="Gleichmäßig unter Beteiligten",IF(I32&lt;&gt;"Ja",0,IF(COUNTIF($J32:$L32,"Ja")=0,$D32-SUM($T32:U32),ROUND($D32/COUNTIF($G32:$L32,"Ja"),2))),IF($F32="Vereinbarte Beträge",IF(I32="Ja",O32,0),"")))</f>
      </c>
      <c r="W32" s="87" t="str">
        <f>IF(COUNTIF($A32:$S32,"&lt;&gt;")=0,"",IF($F32="Gleichmäßig unter Beteiligten",IF(J32&lt;&gt;"Ja",0,IF(COUNTIF($K32:$L32,"Ja")=0,$D32-SUM($T32:V32),ROUND($D32/COUNTIF($G32:$L32,"Ja"),2))),IF($F32="Vereinbarte Beträge",IF(J32="Ja",P32,0),"")))</f>
      </c>
      <c r="X32" s="87" t="str">
        <f>IF(COUNTIF($A32:$S32,"&lt;&gt;")=0,"",IF($F32="Gleichmäßig unter Beteiligten",IF(K32&lt;&gt;"Ja",0,IF(COUNTIF($L32:$L32,"Ja")=0,$D32-SUM($T32:W32),ROUND($D32/COUNTIF($G32:$L32,"Ja"),2))),IF($F32="Vereinbarte Beträge",IF(K32="Ja",Q32,0),"")))</f>
      </c>
      <c r="Y32" s="87" t="str">
        <f>IF(COUNTIF($A32:$S32,"&lt;&gt;")=0,"",IF($F32="Gleichmäßig unter Beteiligten",IF(L32&lt;&gt;"Ja",0,IF(0=0,$D32-SUM($T32:X32),ROUND($D32/COUNTIF($G32:$L32,"Ja"),2))),IF($F32="Vereinbarte Beträge",IF(L32="Ja",R32,0),"")))</f>
      </c>
      <c r="Z32" s="81" t="str">
        <f>IF(COUNTIF($A32:$S32,"&lt;&gt;")=0,"",IF(OR($D32="",$D32&lt;=0),"Trage einen Betrag größer als null ein.",IF($E32="","Wähle aus, wer bezahlt hat.",IF(COUNTIF($G32:$L32,"Ja")=0,"Wähle mindestens eine beteiligte Person aus.",IF($F32="Gleichmäßig unter Beteiligten","Geprüft",IF($F32="Vereinbarte Beträge",IF(OR(AND(G32="Ja",M32=""),AND(H32="Ja",N32=""),AND(I32="Ja",O32=""),AND(J32="Ja",P32=""),AND(K32="Ja",Q32=""),AND(L32="Ja",R32="")),"Trage die vereinbarten Beträge so ein, dass ihre Summe der Ausgabe entspricht.",IF(ABS(SUM($M32:$R32))&lt;0.005,"Trage die vereinbarten Beträge so ein, dass ihre Summe der Ausgabe entspricht.",IF(SUM($M32:$R32)&lt;$D32-0.005,"Bei der Aufteilung fehlen "&amp;ROUND($D32-SUM($M32:$R32),2)&amp;".",IF(SUM($M32:$R32)&gt;$D32+0.005,"Die Aufteilung übersteigt die Ausgabe um "&amp;ROUND(SUM($M32:$R32)-$D32,2)&amp;".","Geprüft")))),"Trage die vereinbarten Beträge so ein, dass ihre Summe der Ausgabe entspricht."))))))</f>
      </c>
    </row>
    <row r="33">
      <c r="A33" s="83"/>
      <c r="B33" s="57"/>
      <c r="C33" s="57"/>
      <c r="D33" s="85"/>
      <c r="E33" s="57"/>
      <c r="F33" s="57"/>
      <c r="G33" s="57"/>
      <c r="H33" s="57"/>
      <c r="I33" s="57"/>
      <c r="J33" s="57"/>
      <c r="K33" s="57"/>
      <c r="L33" s="57"/>
      <c r="M33" s="85"/>
      <c r="N33" s="85"/>
      <c r="O33" s="85"/>
      <c r="P33" s="85"/>
      <c r="Q33" s="85"/>
      <c r="R33" s="85"/>
      <c r="S33" s="57"/>
      <c r="T33" s="87" t="str">
        <f>IF(COUNTIF($A33:$S33,"&lt;&gt;")=0,"",IF($F33="Gleichmäßig unter Beteiligten",IF(G33&lt;&gt;"Ja",0,IF(COUNTIF($H33:$L33,"Ja")=0,$D33-0,ROUND($D33/COUNTIF($G33:$L33,"Ja"),2))),IF($F33="Vereinbarte Beträge",IF(G33="Ja",M33,0),"")))</f>
      </c>
      <c r="U33" s="87" t="str">
        <f>IF(COUNTIF($A33:$S33,"&lt;&gt;")=0,"",IF($F33="Gleichmäßig unter Beteiligten",IF(H33&lt;&gt;"Ja",0,IF(COUNTIF($I33:$L33,"Ja")=0,$D33-SUM($T33:T33),ROUND($D33/COUNTIF($G33:$L33,"Ja"),2))),IF($F33="Vereinbarte Beträge",IF(H33="Ja",N33,0),"")))</f>
      </c>
      <c r="V33" s="87" t="str">
        <f>IF(COUNTIF($A33:$S33,"&lt;&gt;")=0,"",IF($F33="Gleichmäßig unter Beteiligten",IF(I33&lt;&gt;"Ja",0,IF(COUNTIF($J33:$L33,"Ja")=0,$D33-SUM($T33:U33),ROUND($D33/COUNTIF($G33:$L33,"Ja"),2))),IF($F33="Vereinbarte Beträge",IF(I33="Ja",O33,0),"")))</f>
      </c>
      <c r="W33" s="87" t="str">
        <f>IF(COUNTIF($A33:$S33,"&lt;&gt;")=0,"",IF($F33="Gleichmäßig unter Beteiligten",IF(J33&lt;&gt;"Ja",0,IF(COUNTIF($K33:$L33,"Ja")=0,$D33-SUM($T33:V33),ROUND($D33/COUNTIF($G33:$L33,"Ja"),2))),IF($F33="Vereinbarte Beträge",IF(J33="Ja",P33,0),"")))</f>
      </c>
      <c r="X33" s="87" t="str">
        <f>IF(COUNTIF($A33:$S33,"&lt;&gt;")=0,"",IF($F33="Gleichmäßig unter Beteiligten",IF(K33&lt;&gt;"Ja",0,IF(COUNTIF($L33:$L33,"Ja")=0,$D33-SUM($T33:W33),ROUND($D33/COUNTIF($G33:$L33,"Ja"),2))),IF($F33="Vereinbarte Beträge",IF(K33="Ja",Q33,0),"")))</f>
      </c>
      <c r="Y33" s="87" t="str">
        <f>IF(COUNTIF($A33:$S33,"&lt;&gt;")=0,"",IF($F33="Gleichmäßig unter Beteiligten",IF(L33&lt;&gt;"Ja",0,IF(0=0,$D33-SUM($T33:X33),ROUND($D33/COUNTIF($G33:$L33,"Ja"),2))),IF($F33="Vereinbarte Beträge",IF(L33="Ja",R33,0),"")))</f>
      </c>
      <c r="Z33" s="81" t="str">
        <f>IF(COUNTIF($A33:$S33,"&lt;&gt;")=0,"",IF(OR($D33="",$D33&lt;=0),"Trage einen Betrag größer als null ein.",IF($E33="","Wähle aus, wer bezahlt hat.",IF(COUNTIF($G33:$L33,"Ja")=0,"Wähle mindestens eine beteiligte Person aus.",IF($F33="Gleichmäßig unter Beteiligten","Geprüft",IF($F33="Vereinbarte Beträge",IF(OR(AND(G33="Ja",M33=""),AND(H33="Ja",N33=""),AND(I33="Ja",O33=""),AND(J33="Ja",P33=""),AND(K33="Ja",Q33=""),AND(L33="Ja",R33="")),"Trage die vereinbarten Beträge so ein, dass ihre Summe der Ausgabe entspricht.",IF(ABS(SUM($M33:$R33))&lt;0.005,"Trage die vereinbarten Beträge so ein, dass ihre Summe der Ausgabe entspricht.",IF(SUM($M33:$R33)&lt;$D33-0.005,"Bei der Aufteilung fehlen "&amp;ROUND($D33-SUM($M33:$R33),2)&amp;".",IF(SUM($M33:$R33)&gt;$D33+0.005,"Die Aufteilung übersteigt die Ausgabe um "&amp;ROUND(SUM($M33:$R33)-$D33,2)&amp;".","Geprüft")))),"Trage die vereinbarten Beträge so ein, dass ihre Summe der Ausgabe entspricht."))))))</f>
      </c>
    </row>
    <row r="34">
      <c r="A34" s="83"/>
      <c r="B34" s="57"/>
      <c r="C34" s="57"/>
      <c r="D34" s="85"/>
      <c r="E34" s="57"/>
      <c r="F34" s="57"/>
      <c r="G34" s="57"/>
      <c r="H34" s="57"/>
      <c r="I34" s="57"/>
      <c r="J34" s="57"/>
      <c r="K34" s="57"/>
      <c r="L34" s="57"/>
      <c r="M34" s="85"/>
      <c r="N34" s="85"/>
      <c r="O34" s="85"/>
      <c r="P34" s="85"/>
      <c r="Q34" s="85"/>
      <c r="R34" s="85"/>
      <c r="S34" s="57"/>
      <c r="T34" s="87" t="str">
        <f>IF(COUNTIF($A34:$S34,"&lt;&gt;")=0,"",IF($F34="Gleichmäßig unter Beteiligten",IF(G34&lt;&gt;"Ja",0,IF(COUNTIF($H34:$L34,"Ja")=0,$D34-0,ROUND($D34/COUNTIF($G34:$L34,"Ja"),2))),IF($F34="Vereinbarte Beträge",IF(G34="Ja",M34,0),"")))</f>
      </c>
      <c r="U34" s="87" t="str">
        <f>IF(COUNTIF($A34:$S34,"&lt;&gt;")=0,"",IF($F34="Gleichmäßig unter Beteiligten",IF(H34&lt;&gt;"Ja",0,IF(COUNTIF($I34:$L34,"Ja")=0,$D34-SUM($T34:T34),ROUND($D34/COUNTIF($G34:$L34,"Ja"),2))),IF($F34="Vereinbarte Beträge",IF(H34="Ja",N34,0),"")))</f>
      </c>
      <c r="V34" s="87" t="str">
        <f>IF(COUNTIF($A34:$S34,"&lt;&gt;")=0,"",IF($F34="Gleichmäßig unter Beteiligten",IF(I34&lt;&gt;"Ja",0,IF(COUNTIF($J34:$L34,"Ja")=0,$D34-SUM($T34:U34),ROUND($D34/COUNTIF($G34:$L34,"Ja"),2))),IF($F34="Vereinbarte Beträge",IF(I34="Ja",O34,0),"")))</f>
      </c>
      <c r="W34" s="87" t="str">
        <f>IF(COUNTIF($A34:$S34,"&lt;&gt;")=0,"",IF($F34="Gleichmäßig unter Beteiligten",IF(J34&lt;&gt;"Ja",0,IF(COUNTIF($K34:$L34,"Ja")=0,$D34-SUM($T34:V34),ROUND($D34/COUNTIF($G34:$L34,"Ja"),2))),IF($F34="Vereinbarte Beträge",IF(J34="Ja",P34,0),"")))</f>
      </c>
      <c r="X34" s="87" t="str">
        <f>IF(COUNTIF($A34:$S34,"&lt;&gt;")=0,"",IF($F34="Gleichmäßig unter Beteiligten",IF(K34&lt;&gt;"Ja",0,IF(COUNTIF($L34:$L34,"Ja")=0,$D34-SUM($T34:W34),ROUND($D34/COUNTIF($G34:$L34,"Ja"),2))),IF($F34="Vereinbarte Beträge",IF(K34="Ja",Q34,0),"")))</f>
      </c>
      <c r="Y34" s="87" t="str">
        <f>IF(COUNTIF($A34:$S34,"&lt;&gt;")=0,"",IF($F34="Gleichmäßig unter Beteiligten",IF(L34&lt;&gt;"Ja",0,IF(0=0,$D34-SUM($T34:X34),ROUND($D34/COUNTIF($G34:$L34,"Ja"),2))),IF($F34="Vereinbarte Beträge",IF(L34="Ja",R34,0),"")))</f>
      </c>
      <c r="Z34" s="81" t="str">
        <f>IF(COUNTIF($A34:$S34,"&lt;&gt;")=0,"",IF(OR($D34="",$D34&lt;=0),"Trage einen Betrag größer als null ein.",IF($E34="","Wähle aus, wer bezahlt hat.",IF(COUNTIF($G34:$L34,"Ja")=0,"Wähle mindestens eine beteiligte Person aus.",IF($F34="Gleichmäßig unter Beteiligten","Geprüft",IF($F34="Vereinbarte Beträge",IF(OR(AND(G34="Ja",M34=""),AND(H34="Ja",N34=""),AND(I34="Ja",O34=""),AND(J34="Ja",P34=""),AND(K34="Ja",Q34=""),AND(L34="Ja",R34="")),"Trage die vereinbarten Beträge so ein, dass ihre Summe der Ausgabe entspricht.",IF(ABS(SUM($M34:$R34))&lt;0.005,"Trage die vereinbarten Beträge so ein, dass ihre Summe der Ausgabe entspricht.",IF(SUM($M34:$R34)&lt;$D34-0.005,"Bei der Aufteilung fehlen "&amp;ROUND($D34-SUM($M34:$R34),2)&amp;".",IF(SUM($M34:$R34)&gt;$D34+0.005,"Die Aufteilung übersteigt die Ausgabe um "&amp;ROUND(SUM($M34:$R34)-$D34,2)&amp;".","Geprüft")))),"Trage die vereinbarten Beträge so ein, dass ihre Summe der Ausgabe entspricht."))))))</f>
      </c>
    </row>
    <row r="35">
      <c r="A35" s="83"/>
      <c r="B35" s="57"/>
      <c r="C35" s="57"/>
      <c r="D35" s="85"/>
      <c r="E35" s="57"/>
      <c r="F35" s="57"/>
      <c r="G35" s="57"/>
      <c r="H35" s="57"/>
      <c r="I35" s="57"/>
      <c r="J35" s="57"/>
      <c r="K35" s="57"/>
      <c r="L35" s="57"/>
      <c r="M35" s="85"/>
      <c r="N35" s="85"/>
      <c r="O35" s="85"/>
      <c r="P35" s="85"/>
      <c r="Q35" s="85"/>
      <c r="R35" s="85"/>
      <c r="S35" s="57"/>
      <c r="T35" s="87" t="str">
        <f>IF(COUNTIF($A35:$S35,"&lt;&gt;")=0,"",IF($F35="Gleichmäßig unter Beteiligten",IF(G35&lt;&gt;"Ja",0,IF(COUNTIF($H35:$L35,"Ja")=0,$D35-0,ROUND($D35/COUNTIF($G35:$L35,"Ja"),2))),IF($F35="Vereinbarte Beträge",IF(G35="Ja",M35,0),"")))</f>
      </c>
      <c r="U35" s="87" t="str">
        <f>IF(COUNTIF($A35:$S35,"&lt;&gt;")=0,"",IF($F35="Gleichmäßig unter Beteiligten",IF(H35&lt;&gt;"Ja",0,IF(COUNTIF($I35:$L35,"Ja")=0,$D35-SUM($T35:T35),ROUND($D35/COUNTIF($G35:$L35,"Ja"),2))),IF($F35="Vereinbarte Beträge",IF(H35="Ja",N35,0),"")))</f>
      </c>
      <c r="V35" s="87" t="str">
        <f>IF(COUNTIF($A35:$S35,"&lt;&gt;")=0,"",IF($F35="Gleichmäßig unter Beteiligten",IF(I35&lt;&gt;"Ja",0,IF(COUNTIF($J35:$L35,"Ja")=0,$D35-SUM($T35:U35),ROUND($D35/COUNTIF($G35:$L35,"Ja"),2))),IF($F35="Vereinbarte Beträge",IF(I35="Ja",O35,0),"")))</f>
      </c>
      <c r="W35" s="87" t="str">
        <f>IF(COUNTIF($A35:$S35,"&lt;&gt;")=0,"",IF($F35="Gleichmäßig unter Beteiligten",IF(J35&lt;&gt;"Ja",0,IF(COUNTIF($K35:$L35,"Ja")=0,$D35-SUM($T35:V35),ROUND($D35/COUNTIF($G35:$L35,"Ja"),2))),IF($F35="Vereinbarte Beträge",IF(J35="Ja",P35,0),"")))</f>
      </c>
      <c r="X35" s="87" t="str">
        <f>IF(COUNTIF($A35:$S35,"&lt;&gt;")=0,"",IF($F35="Gleichmäßig unter Beteiligten",IF(K35&lt;&gt;"Ja",0,IF(COUNTIF($L35:$L35,"Ja")=0,$D35-SUM($T35:W35),ROUND($D35/COUNTIF($G35:$L35,"Ja"),2))),IF($F35="Vereinbarte Beträge",IF(K35="Ja",Q35,0),"")))</f>
      </c>
      <c r="Y35" s="87" t="str">
        <f>IF(COUNTIF($A35:$S35,"&lt;&gt;")=0,"",IF($F35="Gleichmäßig unter Beteiligten",IF(L35&lt;&gt;"Ja",0,IF(0=0,$D35-SUM($T35:X35),ROUND($D35/COUNTIF($G35:$L35,"Ja"),2))),IF($F35="Vereinbarte Beträge",IF(L35="Ja",R35,0),"")))</f>
      </c>
      <c r="Z35" s="81" t="str">
        <f>IF(COUNTIF($A35:$S35,"&lt;&gt;")=0,"",IF(OR($D35="",$D35&lt;=0),"Trage einen Betrag größer als null ein.",IF($E35="","Wähle aus, wer bezahlt hat.",IF(COUNTIF($G35:$L35,"Ja")=0,"Wähle mindestens eine beteiligte Person aus.",IF($F35="Gleichmäßig unter Beteiligten","Geprüft",IF($F35="Vereinbarte Beträge",IF(OR(AND(G35="Ja",M35=""),AND(H35="Ja",N35=""),AND(I35="Ja",O35=""),AND(J35="Ja",P35=""),AND(K35="Ja",Q35=""),AND(L35="Ja",R35="")),"Trage die vereinbarten Beträge so ein, dass ihre Summe der Ausgabe entspricht.",IF(ABS(SUM($M35:$R35))&lt;0.005,"Trage die vereinbarten Beträge so ein, dass ihre Summe der Ausgabe entspricht.",IF(SUM($M35:$R35)&lt;$D35-0.005,"Bei der Aufteilung fehlen "&amp;ROUND($D35-SUM($M35:$R35),2)&amp;".",IF(SUM($M35:$R35)&gt;$D35+0.005,"Die Aufteilung übersteigt die Ausgabe um "&amp;ROUND(SUM($M35:$R35)-$D35,2)&amp;".","Geprüft")))),"Trage die vereinbarten Beträge so ein, dass ihre Summe der Ausgabe entspricht."))))))</f>
      </c>
    </row>
    <row r="36">
      <c r="A36" s="83"/>
      <c r="B36" s="57"/>
      <c r="C36" s="57"/>
      <c r="D36" s="85"/>
      <c r="E36" s="57"/>
      <c r="F36" s="57"/>
      <c r="G36" s="57"/>
      <c r="H36" s="57"/>
      <c r="I36" s="57"/>
      <c r="J36" s="57"/>
      <c r="K36" s="57"/>
      <c r="L36" s="57"/>
      <c r="M36" s="85"/>
      <c r="N36" s="85"/>
      <c r="O36" s="85"/>
      <c r="P36" s="85"/>
      <c r="Q36" s="85"/>
      <c r="R36" s="85"/>
      <c r="S36" s="57"/>
      <c r="T36" s="87" t="str">
        <f>IF(COUNTIF($A36:$S36,"&lt;&gt;")=0,"",IF($F36="Gleichmäßig unter Beteiligten",IF(G36&lt;&gt;"Ja",0,IF(COUNTIF($H36:$L36,"Ja")=0,$D36-0,ROUND($D36/COUNTIF($G36:$L36,"Ja"),2))),IF($F36="Vereinbarte Beträge",IF(G36="Ja",M36,0),"")))</f>
      </c>
      <c r="U36" s="87" t="str">
        <f>IF(COUNTIF($A36:$S36,"&lt;&gt;")=0,"",IF($F36="Gleichmäßig unter Beteiligten",IF(H36&lt;&gt;"Ja",0,IF(COUNTIF($I36:$L36,"Ja")=0,$D36-SUM($T36:T36),ROUND($D36/COUNTIF($G36:$L36,"Ja"),2))),IF($F36="Vereinbarte Beträge",IF(H36="Ja",N36,0),"")))</f>
      </c>
      <c r="V36" s="87" t="str">
        <f>IF(COUNTIF($A36:$S36,"&lt;&gt;")=0,"",IF($F36="Gleichmäßig unter Beteiligten",IF(I36&lt;&gt;"Ja",0,IF(COUNTIF($J36:$L36,"Ja")=0,$D36-SUM($T36:U36),ROUND($D36/COUNTIF($G36:$L36,"Ja"),2))),IF($F36="Vereinbarte Beträge",IF(I36="Ja",O36,0),"")))</f>
      </c>
      <c r="W36" s="87" t="str">
        <f>IF(COUNTIF($A36:$S36,"&lt;&gt;")=0,"",IF($F36="Gleichmäßig unter Beteiligten",IF(J36&lt;&gt;"Ja",0,IF(COUNTIF($K36:$L36,"Ja")=0,$D36-SUM($T36:V36),ROUND($D36/COUNTIF($G36:$L36,"Ja"),2))),IF($F36="Vereinbarte Beträge",IF(J36="Ja",P36,0),"")))</f>
      </c>
      <c r="X36" s="87" t="str">
        <f>IF(COUNTIF($A36:$S36,"&lt;&gt;")=0,"",IF($F36="Gleichmäßig unter Beteiligten",IF(K36&lt;&gt;"Ja",0,IF(COUNTIF($L36:$L36,"Ja")=0,$D36-SUM($T36:W36),ROUND($D36/COUNTIF($G36:$L36,"Ja"),2))),IF($F36="Vereinbarte Beträge",IF(K36="Ja",Q36,0),"")))</f>
      </c>
      <c r="Y36" s="87" t="str">
        <f>IF(COUNTIF($A36:$S36,"&lt;&gt;")=0,"",IF($F36="Gleichmäßig unter Beteiligten",IF(L36&lt;&gt;"Ja",0,IF(0=0,$D36-SUM($T36:X36),ROUND($D36/COUNTIF($G36:$L36,"Ja"),2))),IF($F36="Vereinbarte Beträge",IF(L36="Ja",R36,0),"")))</f>
      </c>
      <c r="Z36" s="81" t="str">
        <f>IF(COUNTIF($A36:$S36,"&lt;&gt;")=0,"",IF(OR($D36="",$D36&lt;=0),"Trage einen Betrag größer als null ein.",IF($E36="","Wähle aus, wer bezahlt hat.",IF(COUNTIF($G36:$L36,"Ja")=0,"Wähle mindestens eine beteiligte Person aus.",IF($F36="Gleichmäßig unter Beteiligten","Geprüft",IF($F36="Vereinbarte Beträge",IF(OR(AND(G36="Ja",M36=""),AND(H36="Ja",N36=""),AND(I36="Ja",O36=""),AND(J36="Ja",P36=""),AND(K36="Ja",Q36=""),AND(L36="Ja",R36="")),"Trage die vereinbarten Beträge so ein, dass ihre Summe der Ausgabe entspricht.",IF(ABS(SUM($M36:$R36))&lt;0.005,"Trage die vereinbarten Beträge so ein, dass ihre Summe der Ausgabe entspricht.",IF(SUM($M36:$R36)&lt;$D36-0.005,"Bei der Aufteilung fehlen "&amp;ROUND($D36-SUM($M36:$R36),2)&amp;".",IF(SUM($M36:$R36)&gt;$D36+0.005,"Die Aufteilung übersteigt die Ausgabe um "&amp;ROUND(SUM($M36:$R36)-$D36,2)&amp;".","Geprüft")))),"Trage die vereinbarten Beträge so ein, dass ihre Summe der Ausgabe entspricht."))))))</f>
      </c>
    </row>
    <row r="37">
      <c r="A37" s="83"/>
      <c r="B37" s="57"/>
      <c r="C37" s="57"/>
      <c r="D37" s="85"/>
      <c r="E37" s="57"/>
      <c r="F37" s="57"/>
      <c r="G37" s="57"/>
      <c r="H37" s="57"/>
      <c r="I37" s="57"/>
      <c r="J37" s="57"/>
      <c r="K37" s="57"/>
      <c r="L37" s="57"/>
      <c r="M37" s="85"/>
      <c r="N37" s="85"/>
      <c r="O37" s="85"/>
      <c r="P37" s="85"/>
      <c r="Q37" s="85"/>
      <c r="R37" s="85"/>
      <c r="S37" s="57"/>
      <c r="T37" s="87" t="str">
        <f>IF(COUNTIF($A37:$S37,"&lt;&gt;")=0,"",IF($F37="Gleichmäßig unter Beteiligten",IF(G37&lt;&gt;"Ja",0,IF(COUNTIF($H37:$L37,"Ja")=0,$D37-0,ROUND($D37/COUNTIF($G37:$L37,"Ja"),2))),IF($F37="Vereinbarte Beträge",IF(G37="Ja",M37,0),"")))</f>
      </c>
      <c r="U37" s="87" t="str">
        <f>IF(COUNTIF($A37:$S37,"&lt;&gt;")=0,"",IF($F37="Gleichmäßig unter Beteiligten",IF(H37&lt;&gt;"Ja",0,IF(COUNTIF($I37:$L37,"Ja")=0,$D37-SUM($T37:T37),ROUND($D37/COUNTIF($G37:$L37,"Ja"),2))),IF($F37="Vereinbarte Beträge",IF(H37="Ja",N37,0),"")))</f>
      </c>
      <c r="V37" s="87" t="str">
        <f>IF(COUNTIF($A37:$S37,"&lt;&gt;")=0,"",IF($F37="Gleichmäßig unter Beteiligten",IF(I37&lt;&gt;"Ja",0,IF(COUNTIF($J37:$L37,"Ja")=0,$D37-SUM($T37:U37),ROUND($D37/COUNTIF($G37:$L37,"Ja"),2))),IF($F37="Vereinbarte Beträge",IF(I37="Ja",O37,0),"")))</f>
      </c>
      <c r="W37" s="87" t="str">
        <f>IF(COUNTIF($A37:$S37,"&lt;&gt;")=0,"",IF($F37="Gleichmäßig unter Beteiligten",IF(J37&lt;&gt;"Ja",0,IF(COUNTIF($K37:$L37,"Ja")=0,$D37-SUM($T37:V37),ROUND($D37/COUNTIF($G37:$L37,"Ja"),2))),IF($F37="Vereinbarte Beträge",IF(J37="Ja",P37,0),"")))</f>
      </c>
      <c r="X37" s="87" t="str">
        <f>IF(COUNTIF($A37:$S37,"&lt;&gt;")=0,"",IF($F37="Gleichmäßig unter Beteiligten",IF(K37&lt;&gt;"Ja",0,IF(COUNTIF($L37:$L37,"Ja")=0,$D37-SUM($T37:W37),ROUND($D37/COUNTIF($G37:$L37,"Ja"),2))),IF($F37="Vereinbarte Beträge",IF(K37="Ja",Q37,0),"")))</f>
      </c>
      <c r="Y37" s="87" t="str">
        <f>IF(COUNTIF($A37:$S37,"&lt;&gt;")=0,"",IF($F37="Gleichmäßig unter Beteiligten",IF(L37&lt;&gt;"Ja",0,IF(0=0,$D37-SUM($T37:X37),ROUND($D37/COUNTIF($G37:$L37,"Ja"),2))),IF($F37="Vereinbarte Beträge",IF(L37="Ja",R37,0),"")))</f>
      </c>
      <c r="Z37" s="81" t="str">
        <f>IF(COUNTIF($A37:$S37,"&lt;&gt;")=0,"",IF(OR($D37="",$D37&lt;=0),"Trage einen Betrag größer als null ein.",IF($E37="","Wähle aus, wer bezahlt hat.",IF(COUNTIF($G37:$L37,"Ja")=0,"Wähle mindestens eine beteiligte Person aus.",IF($F37="Gleichmäßig unter Beteiligten","Geprüft",IF($F37="Vereinbarte Beträge",IF(OR(AND(G37="Ja",M37=""),AND(H37="Ja",N37=""),AND(I37="Ja",O37=""),AND(J37="Ja",P37=""),AND(K37="Ja",Q37=""),AND(L37="Ja",R37="")),"Trage die vereinbarten Beträge so ein, dass ihre Summe der Ausgabe entspricht.",IF(ABS(SUM($M37:$R37))&lt;0.005,"Trage die vereinbarten Beträge so ein, dass ihre Summe der Ausgabe entspricht.",IF(SUM($M37:$R37)&lt;$D37-0.005,"Bei der Aufteilung fehlen "&amp;ROUND($D37-SUM($M37:$R37),2)&amp;".",IF(SUM($M37:$R37)&gt;$D37+0.005,"Die Aufteilung übersteigt die Ausgabe um "&amp;ROUND(SUM($M37:$R37)-$D37,2)&amp;".","Geprüft")))),"Trage die vereinbarten Beträge so ein, dass ihre Summe der Ausgabe entspricht."))))))</f>
      </c>
    </row>
    <row r="38">
      <c r="A38" s="83"/>
      <c r="B38" s="57"/>
      <c r="C38" s="57"/>
      <c r="D38" s="85"/>
      <c r="E38" s="57"/>
      <c r="F38" s="57"/>
      <c r="G38" s="57"/>
      <c r="H38" s="57"/>
      <c r="I38" s="57"/>
      <c r="J38" s="57"/>
      <c r="K38" s="57"/>
      <c r="L38" s="57"/>
      <c r="M38" s="85"/>
      <c r="N38" s="85"/>
      <c r="O38" s="85"/>
      <c r="P38" s="85"/>
      <c r="Q38" s="85"/>
      <c r="R38" s="85"/>
      <c r="S38" s="57"/>
      <c r="T38" s="87" t="str">
        <f>IF(COUNTIF($A38:$S38,"&lt;&gt;")=0,"",IF($F38="Gleichmäßig unter Beteiligten",IF(G38&lt;&gt;"Ja",0,IF(COUNTIF($H38:$L38,"Ja")=0,$D38-0,ROUND($D38/COUNTIF($G38:$L38,"Ja"),2))),IF($F38="Vereinbarte Beträge",IF(G38="Ja",M38,0),"")))</f>
      </c>
      <c r="U38" s="87" t="str">
        <f>IF(COUNTIF($A38:$S38,"&lt;&gt;")=0,"",IF($F38="Gleichmäßig unter Beteiligten",IF(H38&lt;&gt;"Ja",0,IF(COUNTIF($I38:$L38,"Ja")=0,$D38-SUM($T38:T38),ROUND($D38/COUNTIF($G38:$L38,"Ja"),2))),IF($F38="Vereinbarte Beträge",IF(H38="Ja",N38,0),"")))</f>
      </c>
      <c r="V38" s="87" t="str">
        <f>IF(COUNTIF($A38:$S38,"&lt;&gt;")=0,"",IF($F38="Gleichmäßig unter Beteiligten",IF(I38&lt;&gt;"Ja",0,IF(COUNTIF($J38:$L38,"Ja")=0,$D38-SUM($T38:U38),ROUND($D38/COUNTIF($G38:$L38,"Ja"),2))),IF($F38="Vereinbarte Beträge",IF(I38="Ja",O38,0),"")))</f>
      </c>
      <c r="W38" s="87" t="str">
        <f>IF(COUNTIF($A38:$S38,"&lt;&gt;")=0,"",IF($F38="Gleichmäßig unter Beteiligten",IF(J38&lt;&gt;"Ja",0,IF(COUNTIF($K38:$L38,"Ja")=0,$D38-SUM($T38:V38),ROUND($D38/COUNTIF($G38:$L38,"Ja"),2))),IF($F38="Vereinbarte Beträge",IF(J38="Ja",P38,0),"")))</f>
      </c>
      <c r="X38" s="87" t="str">
        <f>IF(COUNTIF($A38:$S38,"&lt;&gt;")=0,"",IF($F38="Gleichmäßig unter Beteiligten",IF(K38&lt;&gt;"Ja",0,IF(COUNTIF($L38:$L38,"Ja")=0,$D38-SUM($T38:W38),ROUND($D38/COUNTIF($G38:$L38,"Ja"),2))),IF($F38="Vereinbarte Beträge",IF(K38="Ja",Q38,0),"")))</f>
      </c>
      <c r="Y38" s="87" t="str">
        <f>IF(COUNTIF($A38:$S38,"&lt;&gt;")=0,"",IF($F38="Gleichmäßig unter Beteiligten",IF(L38&lt;&gt;"Ja",0,IF(0=0,$D38-SUM($T38:X38),ROUND($D38/COUNTIF($G38:$L38,"Ja"),2))),IF($F38="Vereinbarte Beträge",IF(L38="Ja",R38,0),"")))</f>
      </c>
      <c r="Z38" s="81" t="str">
        <f>IF(COUNTIF($A38:$S38,"&lt;&gt;")=0,"",IF(OR($D38="",$D38&lt;=0),"Trage einen Betrag größer als null ein.",IF($E38="","Wähle aus, wer bezahlt hat.",IF(COUNTIF($G38:$L38,"Ja")=0,"Wähle mindestens eine beteiligte Person aus.",IF($F38="Gleichmäßig unter Beteiligten","Geprüft",IF($F38="Vereinbarte Beträge",IF(OR(AND(G38="Ja",M38=""),AND(H38="Ja",N38=""),AND(I38="Ja",O38=""),AND(J38="Ja",P38=""),AND(K38="Ja",Q38=""),AND(L38="Ja",R38="")),"Trage die vereinbarten Beträge so ein, dass ihre Summe der Ausgabe entspricht.",IF(ABS(SUM($M38:$R38))&lt;0.005,"Trage die vereinbarten Beträge so ein, dass ihre Summe der Ausgabe entspricht.",IF(SUM($M38:$R38)&lt;$D38-0.005,"Bei der Aufteilung fehlen "&amp;ROUND($D38-SUM($M38:$R38),2)&amp;".",IF(SUM($M38:$R38)&gt;$D38+0.005,"Die Aufteilung übersteigt die Ausgabe um "&amp;ROUND(SUM($M38:$R38)-$D38,2)&amp;".","Geprüft")))),"Trage die vereinbarten Beträge so ein, dass ihre Summe der Ausgabe entspricht."))))))</f>
      </c>
    </row>
    <row r="39">
      <c r="A39" s="83"/>
      <c r="B39" s="57"/>
      <c r="C39" s="57"/>
      <c r="D39" s="85"/>
      <c r="E39" s="57"/>
      <c r="F39" s="57"/>
      <c r="G39" s="57"/>
      <c r="H39" s="57"/>
      <c r="I39" s="57"/>
      <c r="J39" s="57"/>
      <c r="K39" s="57"/>
      <c r="L39" s="57"/>
      <c r="M39" s="85"/>
      <c r="N39" s="85"/>
      <c r="O39" s="85"/>
      <c r="P39" s="85"/>
      <c r="Q39" s="85"/>
      <c r="R39" s="85"/>
      <c r="S39" s="57"/>
      <c r="T39" s="87" t="str">
        <f>IF(COUNTIF($A39:$S39,"&lt;&gt;")=0,"",IF($F39="Gleichmäßig unter Beteiligten",IF(G39&lt;&gt;"Ja",0,IF(COUNTIF($H39:$L39,"Ja")=0,$D39-0,ROUND($D39/COUNTIF($G39:$L39,"Ja"),2))),IF($F39="Vereinbarte Beträge",IF(G39="Ja",M39,0),"")))</f>
      </c>
      <c r="U39" s="87" t="str">
        <f>IF(COUNTIF($A39:$S39,"&lt;&gt;")=0,"",IF($F39="Gleichmäßig unter Beteiligten",IF(H39&lt;&gt;"Ja",0,IF(COUNTIF($I39:$L39,"Ja")=0,$D39-SUM($T39:T39),ROUND($D39/COUNTIF($G39:$L39,"Ja"),2))),IF($F39="Vereinbarte Beträge",IF(H39="Ja",N39,0),"")))</f>
      </c>
      <c r="V39" s="87" t="str">
        <f>IF(COUNTIF($A39:$S39,"&lt;&gt;")=0,"",IF($F39="Gleichmäßig unter Beteiligten",IF(I39&lt;&gt;"Ja",0,IF(COUNTIF($J39:$L39,"Ja")=0,$D39-SUM($T39:U39),ROUND($D39/COUNTIF($G39:$L39,"Ja"),2))),IF($F39="Vereinbarte Beträge",IF(I39="Ja",O39,0),"")))</f>
      </c>
      <c r="W39" s="87" t="str">
        <f>IF(COUNTIF($A39:$S39,"&lt;&gt;")=0,"",IF($F39="Gleichmäßig unter Beteiligten",IF(J39&lt;&gt;"Ja",0,IF(COUNTIF($K39:$L39,"Ja")=0,$D39-SUM($T39:V39),ROUND($D39/COUNTIF($G39:$L39,"Ja"),2))),IF($F39="Vereinbarte Beträge",IF(J39="Ja",P39,0),"")))</f>
      </c>
      <c r="X39" s="87" t="str">
        <f>IF(COUNTIF($A39:$S39,"&lt;&gt;")=0,"",IF($F39="Gleichmäßig unter Beteiligten",IF(K39&lt;&gt;"Ja",0,IF(COUNTIF($L39:$L39,"Ja")=0,$D39-SUM($T39:W39),ROUND($D39/COUNTIF($G39:$L39,"Ja"),2))),IF($F39="Vereinbarte Beträge",IF(K39="Ja",Q39,0),"")))</f>
      </c>
      <c r="Y39" s="87" t="str">
        <f>IF(COUNTIF($A39:$S39,"&lt;&gt;")=0,"",IF($F39="Gleichmäßig unter Beteiligten",IF(L39&lt;&gt;"Ja",0,IF(0=0,$D39-SUM($T39:X39),ROUND($D39/COUNTIF($G39:$L39,"Ja"),2))),IF($F39="Vereinbarte Beträge",IF(L39="Ja",R39,0),"")))</f>
      </c>
      <c r="Z39" s="81" t="str">
        <f>IF(COUNTIF($A39:$S39,"&lt;&gt;")=0,"",IF(OR($D39="",$D39&lt;=0),"Trage einen Betrag größer als null ein.",IF($E39="","Wähle aus, wer bezahlt hat.",IF(COUNTIF($G39:$L39,"Ja")=0,"Wähle mindestens eine beteiligte Person aus.",IF($F39="Gleichmäßig unter Beteiligten","Geprüft",IF($F39="Vereinbarte Beträge",IF(OR(AND(G39="Ja",M39=""),AND(H39="Ja",N39=""),AND(I39="Ja",O39=""),AND(J39="Ja",P39=""),AND(K39="Ja",Q39=""),AND(L39="Ja",R39="")),"Trage die vereinbarten Beträge so ein, dass ihre Summe der Ausgabe entspricht.",IF(ABS(SUM($M39:$R39))&lt;0.005,"Trage die vereinbarten Beträge so ein, dass ihre Summe der Ausgabe entspricht.",IF(SUM($M39:$R39)&lt;$D39-0.005,"Bei der Aufteilung fehlen "&amp;ROUND($D39-SUM($M39:$R39),2)&amp;".",IF(SUM($M39:$R39)&gt;$D39+0.005,"Die Aufteilung übersteigt die Ausgabe um "&amp;ROUND(SUM($M39:$R39)-$D39,2)&amp;".","Geprüft")))),"Trage die vereinbarten Beträge so ein, dass ihre Summe der Ausgabe entspricht."))))))</f>
      </c>
    </row>
    <row r="40">
      <c r="A40" s="83"/>
      <c r="B40" s="57"/>
      <c r="C40" s="57"/>
      <c r="D40" s="85"/>
      <c r="E40" s="57"/>
      <c r="F40" s="57"/>
      <c r="G40" s="57"/>
      <c r="H40" s="57"/>
      <c r="I40" s="57"/>
      <c r="J40" s="57"/>
      <c r="K40" s="57"/>
      <c r="L40" s="57"/>
      <c r="M40" s="85"/>
      <c r="N40" s="85"/>
      <c r="O40" s="85"/>
      <c r="P40" s="85"/>
      <c r="Q40" s="85"/>
      <c r="R40" s="85"/>
      <c r="S40" s="57"/>
      <c r="T40" s="87" t="str">
        <f>IF(COUNTIF($A40:$S40,"&lt;&gt;")=0,"",IF($F40="Gleichmäßig unter Beteiligten",IF(G40&lt;&gt;"Ja",0,IF(COUNTIF($H40:$L40,"Ja")=0,$D40-0,ROUND($D40/COUNTIF($G40:$L40,"Ja"),2))),IF($F40="Vereinbarte Beträge",IF(G40="Ja",M40,0),"")))</f>
      </c>
      <c r="U40" s="87" t="str">
        <f>IF(COUNTIF($A40:$S40,"&lt;&gt;")=0,"",IF($F40="Gleichmäßig unter Beteiligten",IF(H40&lt;&gt;"Ja",0,IF(COUNTIF($I40:$L40,"Ja")=0,$D40-SUM($T40:T40),ROUND($D40/COUNTIF($G40:$L40,"Ja"),2))),IF($F40="Vereinbarte Beträge",IF(H40="Ja",N40,0),"")))</f>
      </c>
      <c r="V40" s="87" t="str">
        <f>IF(COUNTIF($A40:$S40,"&lt;&gt;")=0,"",IF($F40="Gleichmäßig unter Beteiligten",IF(I40&lt;&gt;"Ja",0,IF(COUNTIF($J40:$L40,"Ja")=0,$D40-SUM($T40:U40),ROUND($D40/COUNTIF($G40:$L40,"Ja"),2))),IF($F40="Vereinbarte Beträge",IF(I40="Ja",O40,0),"")))</f>
      </c>
      <c r="W40" s="87" t="str">
        <f>IF(COUNTIF($A40:$S40,"&lt;&gt;")=0,"",IF($F40="Gleichmäßig unter Beteiligten",IF(J40&lt;&gt;"Ja",0,IF(COUNTIF($K40:$L40,"Ja")=0,$D40-SUM($T40:V40),ROUND($D40/COUNTIF($G40:$L40,"Ja"),2))),IF($F40="Vereinbarte Beträge",IF(J40="Ja",P40,0),"")))</f>
      </c>
      <c r="X40" s="87" t="str">
        <f>IF(COUNTIF($A40:$S40,"&lt;&gt;")=0,"",IF($F40="Gleichmäßig unter Beteiligten",IF(K40&lt;&gt;"Ja",0,IF(COUNTIF($L40:$L40,"Ja")=0,$D40-SUM($T40:W40),ROUND($D40/COUNTIF($G40:$L40,"Ja"),2))),IF($F40="Vereinbarte Beträge",IF(K40="Ja",Q40,0),"")))</f>
      </c>
      <c r="Y40" s="87" t="str">
        <f>IF(COUNTIF($A40:$S40,"&lt;&gt;")=0,"",IF($F40="Gleichmäßig unter Beteiligten",IF(L40&lt;&gt;"Ja",0,IF(0=0,$D40-SUM($T40:X40),ROUND($D40/COUNTIF($G40:$L40,"Ja"),2))),IF($F40="Vereinbarte Beträge",IF(L40="Ja",R40,0),"")))</f>
      </c>
      <c r="Z40" s="81" t="str">
        <f>IF(COUNTIF($A40:$S40,"&lt;&gt;")=0,"",IF(OR($D40="",$D40&lt;=0),"Trage einen Betrag größer als null ein.",IF($E40="","Wähle aus, wer bezahlt hat.",IF(COUNTIF($G40:$L40,"Ja")=0,"Wähle mindestens eine beteiligte Person aus.",IF($F40="Gleichmäßig unter Beteiligten","Geprüft",IF($F40="Vereinbarte Beträge",IF(OR(AND(G40="Ja",M40=""),AND(H40="Ja",N40=""),AND(I40="Ja",O40=""),AND(J40="Ja",P40=""),AND(K40="Ja",Q40=""),AND(L40="Ja",R40="")),"Trage die vereinbarten Beträge so ein, dass ihre Summe der Ausgabe entspricht.",IF(ABS(SUM($M40:$R40))&lt;0.005,"Trage die vereinbarten Beträge so ein, dass ihre Summe der Ausgabe entspricht.",IF(SUM($M40:$R40)&lt;$D40-0.005,"Bei der Aufteilung fehlen "&amp;ROUND($D40-SUM($M40:$R40),2)&amp;".",IF(SUM($M40:$R40)&gt;$D40+0.005,"Die Aufteilung übersteigt die Ausgabe um "&amp;ROUND(SUM($M40:$R40)-$D40,2)&amp;".","Geprüft")))),"Trage die vereinbarten Beträge so ein, dass ihre Summe der Ausgabe entspricht."))))))</f>
      </c>
    </row>
    <row r="41">
      <c r="A41" s="83"/>
      <c r="B41" s="57"/>
      <c r="C41" s="57"/>
      <c r="D41" s="85"/>
      <c r="E41" s="57"/>
      <c r="F41" s="57"/>
      <c r="G41" s="57"/>
      <c r="H41" s="57"/>
      <c r="I41" s="57"/>
      <c r="J41" s="57"/>
      <c r="K41" s="57"/>
      <c r="L41" s="57"/>
      <c r="M41" s="85"/>
      <c r="N41" s="85"/>
      <c r="O41" s="85"/>
      <c r="P41" s="85"/>
      <c r="Q41" s="85"/>
      <c r="R41" s="85"/>
      <c r="S41" s="57"/>
      <c r="T41" s="87" t="str">
        <f>IF(COUNTIF($A41:$S41,"&lt;&gt;")=0,"",IF($F41="Gleichmäßig unter Beteiligten",IF(G41&lt;&gt;"Ja",0,IF(COUNTIF($H41:$L41,"Ja")=0,$D41-0,ROUND($D41/COUNTIF($G41:$L41,"Ja"),2))),IF($F41="Vereinbarte Beträge",IF(G41="Ja",M41,0),"")))</f>
      </c>
      <c r="U41" s="87" t="str">
        <f>IF(COUNTIF($A41:$S41,"&lt;&gt;")=0,"",IF($F41="Gleichmäßig unter Beteiligten",IF(H41&lt;&gt;"Ja",0,IF(COUNTIF($I41:$L41,"Ja")=0,$D41-SUM($T41:T41),ROUND($D41/COUNTIF($G41:$L41,"Ja"),2))),IF($F41="Vereinbarte Beträge",IF(H41="Ja",N41,0),"")))</f>
      </c>
      <c r="V41" s="87" t="str">
        <f>IF(COUNTIF($A41:$S41,"&lt;&gt;")=0,"",IF($F41="Gleichmäßig unter Beteiligten",IF(I41&lt;&gt;"Ja",0,IF(COUNTIF($J41:$L41,"Ja")=0,$D41-SUM($T41:U41),ROUND($D41/COUNTIF($G41:$L41,"Ja"),2))),IF($F41="Vereinbarte Beträge",IF(I41="Ja",O41,0),"")))</f>
      </c>
      <c r="W41" s="87" t="str">
        <f>IF(COUNTIF($A41:$S41,"&lt;&gt;")=0,"",IF($F41="Gleichmäßig unter Beteiligten",IF(J41&lt;&gt;"Ja",0,IF(COUNTIF($K41:$L41,"Ja")=0,$D41-SUM($T41:V41),ROUND($D41/COUNTIF($G41:$L41,"Ja"),2))),IF($F41="Vereinbarte Beträge",IF(J41="Ja",P41,0),"")))</f>
      </c>
      <c r="X41" s="87" t="str">
        <f>IF(COUNTIF($A41:$S41,"&lt;&gt;")=0,"",IF($F41="Gleichmäßig unter Beteiligten",IF(K41&lt;&gt;"Ja",0,IF(COUNTIF($L41:$L41,"Ja")=0,$D41-SUM($T41:W41),ROUND($D41/COUNTIF($G41:$L41,"Ja"),2))),IF($F41="Vereinbarte Beträge",IF(K41="Ja",Q41,0),"")))</f>
      </c>
      <c r="Y41" s="87" t="str">
        <f>IF(COUNTIF($A41:$S41,"&lt;&gt;")=0,"",IF($F41="Gleichmäßig unter Beteiligten",IF(L41&lt;&gt;"Ja",0,IF(0=0,$D41-SUM($T41:X41),ROUND($D41/COUNTIF($G41:$L41,"Ja"),2))),IF($F41="Vereinbarte Beträge",IF(L41="Ja",R41,0),"")))</f>
      </c>
      <c r="Z41" s="81" t="str">
        <f>IF(COUNTIF($A41:$S41,"&lt;&gt;")=0,"",IF(OR($D41="",$D41&lt;=0),"Trage einen Betrag größer als null ein.",IF($E41="","Wähle aus, wer bezahlt hat.",IF(COUNTIF($G41:$L41,"Ja")=0,"Wähle mindestens eine beteiligte Person aus.",IF($F41="Gleichmäßig unter Beteiligten","Geprüft",IF($F41="Vereinbarte Beträge",IF(OR(AND(G41="Ja",M41=""),AND(H41="Ja",N41=""),AND(I41="Ja",O41=""),AND(J41="Ja",P41=""),AND(K41="Ja",Q41=""),AND(L41="Ja",R41="")),"Trage die vereinbarten Beträge so ein, dass ihre Summe der Ausgabe entspricht.",IF(ABS(SUM($M41:$R41))&lt;0.005,"Trage die vereinbarten Beträge so ein, dass ihre Summe der Ausgabe entspricht.",IF(SUM($M41:$R41)&lt;$D41-0.005,"Bei der Aufteilung fehlen "&amp;ROUND($D41-SUM($M41:$R41),2)&amp;".",IF(SUM($M41:$R41)&gt;$D41+0.005,"Die Aufteilung übersteigt die Ausgabe um "&amp;ROUND(SUM($M41:$R41)-$D41,2)&amp;".","Geprüft")))),"Trage die vereinbarten Beträge so ein, dass ihre Summe der Ausgabe entspricht."))))))</f>
      </c>
    </row>
    <row r="42">
      <c r="A42" s="83"/>
      <c r="B42" s="57"/>
      <c r="C42" s="57"/>
      <c r="D42" s="85"/>
      <c r="E42" s="57"/>
      <c r="F42" s="57"/>
      <c r="G42" s="57"/>
      <c r="H42" s="57"/>
      <c r="I42" s="57"/>
      <c r="J42" s="57"/>
      <c r="K42" s="57"/>
      <c r="L42" s="57"/>
      <c r="M42" s="85"/>
      <c r="N42" s="85"/>
      <c r="O42" s="85"/>
      <c r="P42" s="85"/>
      <c r="Q42" s="85"/>
      <c r="R42" s="85"/>
      <c r="S42" s="57"/>
      <c r="T42" s="87" t="str">
        <f>IF(COUNTIF($A42:$S42,"&lt;&gt;")=0,"",IF($F42="Gleichmäßig unter Beteiligten",IF(G42&lt;&gt;"Ja",0,IF(COUNTIF($H42:$L42,"Ja")=0,$D42-0,ROUND($D42/COUNTIF($G42:$L42,"Ja"),2))),IF($F42="Vereinbarte Beträge",IF(G42="Ja",M42,0),"")))</f>
      </c>
      <c r="U42" s="87" t="str">
        <f>IF(COUNTIF($A42:$S42,"&lt;&gt;")=0,"",IF($F42="Gleichmäßig unter Beteiligten",IF(H42&lt;&gt;"Ja",0,IF(COUNTIF($I42:$L42,"Ja")=0,$D42-SUM($T42:T42),ROUND($D42/COUNTIF($G42:$L42,"Ja"),2))),IF($F42="Vereinbarte Beträge",IF(H42="Ja",N42,0),"")))</f>
      </c>
      <c r="V42" s="87" t="str">
        <f>IF(COUNTIF($A42:$S42,"&lt;&gt;")=0,"",IF($F42="Gleichmäßig unter Beteiligten",IF(I42&lt;&gt;"Ja",0,IF(COUNTIF($J42:$L42,"Ja")=0,$D42-SUM($T42:U42),ROUND($D42/COUNTIF($G42:$L42,"Ja"),2))),IF($F42="Vereinbarte Beträge",IF(I42="Ja",O42,0),"")))</f>
      </c>
      <c r="W42" s="87" t="str">
        <f>IF(COUNTIF($A42:$S42,"&lt;&gt;")=0,"",IF($F42="Gleichmäßig unter Beteiligten",IF(J42&lt;&gt;"Ja",0,IF(COUNTIF($K42:$L42,"Ja")=0,$D42-SUM($T42:V42),ROUND($D42/COUNTIF($G42:$L42,"Ja"),2))),IF($F42="Vereinbarte Beträge",IF(J42="Ja",P42,0),"")))</f>
      </c>
      <c r="X42" s="87" t="str">
        <f>IF(COUNTIF($A42:$S42,"&lt;&gt;")=0,"",IF($F42="Gleichmäßig unter Beteiligten",IF(K42&lt;&gt;"Ja",0,IF(COUNTIF($L42:$L42,"Ja")=0,$D42-SUM($T42:W42),ROUND($D42/COUNTIF($G42:$L42,"Ja"),2))),IF($F42="Vereinbarte Beträge",IF(K42="Ja",Q42,0),"")))</f>
      </c>
      <c r="Y42" s="87" t="str">
        <f>IF(COUNTIF($A42:$S42,"&lt;&gt;")=0,"",IF($F42="Gleichmäßig unter Beteiligten",IF(L42&lt;&gt;"Ja",0,IF(0=0,$D42-SUM($T42:X42),ROUND($D42/COUNTIF($G42:$L42,"Ja"),2))),IF($F42="Vereinbarte Beträge",IF(L42="Ja",R42,0),"")))</f>
      </c>
      <c r="Z42" s="81" t="str">
        <f>IF(COUNTIF($A42:$S42,"&lt;&gt;")=0,"",IF(OR($D42="",$D42&lt;=0),"Trage einen Betrag größer als null ein.",IF($E42="","Wähle aus, wer bezahlt hat.",IF(COUNTIF($G42:$L42,"Ja")=0,"Wähle mindestens eine beteiligte Person aus.",IF($F42="Gleichmäßig unter Beteiligten","Geprüft",IF($F42="Vereinbarte Beträge",IF(OR(AND(G42="Ja",M42=""),AND(H42="Ja",N42=""),AND(I42="Ja",O42=""),AND(J42="Ja",P42=""),AND(K42="Ja",Q42=""),AND(L42="Ja",R42="")),"Trage die vereinbarten Beträge so ein, dass ihre Summe der Ausgabe entspricht.",IF(ABS(SUM($M42:$R42))&lt;0.005,"Trage die vereinbarten Beträge so ein, dass ihre Summe der Ausgabe entspricht.",IF(SUM($M42:$R42)&lt;$D42-0.005,"Bei der Aufteilung fehlen "&amp;ROUND($D42-SUM($M42:$R42),2)&amp;".",IF(SUM($M42:$R42)&gt;$D42+0.005,"Die Aufteilung übersteigt die Ausgabe um "&amp;ROUND(SUM($M42:$R42)-$D42,2)&amp;".","Geprüft")))),"Trage die vereinbarten Beträge so ein, dass ihre Summe der Ausgabe entspricht."))))))</f>
      </c>
    </row>
    <row r="43">
      <c r="A43" s="83"/>
      <c r="B43" s="57"/>
      <c r="C43" s="57"/>
      <c r="D43" s="85"/>
      <c r="E43" s="57"/>
      <c r="F43" s="57"/>
      <c r="G43" s="57"/>
      <c r="H43" s="57"/>
      <c r="I43" s="57"/>
      <c r="J43" s="57"/>
      <c r="K43" s="57"/>
      <c r="L43" s="57"/>
      <c r="M43" s="85"/>
      <c r="N43" s="85"/>
      <c r="O43" s="85"/>
      <c r="P43" s="85"/>
      <c r="Q43" s="85"/>
      <c r="R43" s="85"/>
      <c r="S43" s="57"/>
      <c r="T43" s="87" t="str">
        <f>IF(COUNTIF($A43:$S43,"&lt;&gt;")=0,"",IF($F43="Gleichmäßig unter Beteiligten",IF(G43&lt;&gt;"Ja",0,IF(COUNTIF($H43:$L43,"Ja")=0,$D43-0,ROUND($D43/COUNTIF($G43:$L43,"Ja"),2))),IF($F43="Vereinbarte Beträge",IF(G43="Ja",M43,0),"")))</f>
      </c>
      <c r="U43" s="87" t="str">
        <f>IF(COUNTIF($A43:$S43,"&lt;&gt;")=0,"",IF($F43="Gleichmäßig unter Beteiligten",IF(H43&lt;&gt;"Ja",0,IF(COUNTIF($I43:$L43,"Ja")=0,$D43-SUM($T43:T43),ROUND($D43/COUNTIF($G43:$L43,"Ja"),2))),IF($F43="Vereinbarte Beträge",IF(H43="Ja",N43,0),"")))</f>
      </c>
      <c r="V43" s="87" t="str">
        <f>IF(COUNTIF($A43:$S43,"&lt;&gt;")=0,"",IF($F43="Gleichmäßig unter Beteiligten",IF(I43&lt;&gt;"Ja",0,IF(COUNTIF($J43:$L43,"Ja")=0,$D43-SUM($T43:U43),ROUND($D43/COUNTIF($G43:$L43,"Ja"),2))),IF($F43="Vereinbarte Beträge",IF(I43="Ja",O43,0),"")))</f>
      </c>
      <c r="W43" s="87" t="str">
        <f>IF(COUNTIF($A43:$S43,"&lt;&gt;")=0,"",IF($F43="Gleichmäßig unter Beteiligten",IF(J43&lt;&gt;"Ja",0,IF(COUNTIF($K43:$L43,"Ja")=0,$D43-SUM($T43:V43),ROUND($D43/COUNTIF($G43:$L43,"Ja"),2))),IF($F43="Vereinbarte Beträge",IF(J43="Ja",P43,0),"")))</f>
      </c>
      <c r="X43" s="87" t="str">
        <f>IF(COUNTIF($A43:$S43,"&lt;&gt;")=0,"",IF($F43="Gleichmäßig unter Beteiligten",IF(K43&lt;&gt;"Ja",0,IF(COUNTIF($L43:$L43,"Ja")=0,$D43-SUM($T43:W43),ROUND($D43/COUNTIF($G43:$L43,"Ja"),2))),IF($F43="Vereinbarte Beträge",IF(K43="Ja",Q43,0),"")))</f>
      </c>
      <c r="Y43" s="87" t="str">
        <f>IF(COUNTIF($A43:$S43,"&lt;&gt;")=0,"",IF($F43="Gleichmäßig unter Beteiligten",IF(L43&lt;&gt;"Ja",0,IF(0=0,$D43-SUM($T43:X43),ROUND($D43/COUNTIF($G43:$L43,"Ja"),2))),IF($F43="Vereinbarte Beträge",IF(L43="Ja",R43,0),"")))</f>
      </c>
      <c r="Z43" s="81" t="str">
        <f>IF(COUNTIF($A43:$S43,"&lt;&gt;")=0,"",IF(OR($D43="",$D43&lt;=0),"Trage einen Betrag größer als null ein.",IF($E43="","Wähle aus, wer bezahlt hat.",IF(COUNTIF($G43:$L43,"Ja")=0,"Wähle mindestens eine beteiligte Person aus.",IF($F43="Gleichmäßig unter Beteiligten","Geprüft",IF($F43="Vereinbarte Beträge",IF(OR(AND(G43="Ja",M43=""),AND(H43="Ja",N43=""),AND(I43="Ja",O43=""),AND(J43="Ja",P43=""),AND(K43="Ja",Q43=""),AND(L43="Ja",R43="")),"Trage die vereinbarten Beträge so ein, dass ihre Summe der Ausgabe entspricht.",IF(ABS(SUM($M43:$R43))&lt;0.005,"Trage die vereinbarten Beträge so ein, dass ihre Summe der Ausgabe entspricht.",IF(SUM($M43:$R43)&lt;$D43-0.005,"Bei der Aufteilung fehlen "&amp;ROUND($D43-SUM($M43:$R43),2)&amp;".",IF(SUM($M43:$R43)&gt;$D43+0.005,"Die Aufteilung übersteigt die Ausgabe um "&amp;ROUND(SUM($M43:$R43)-$D43,2)&amp;".","Geprüft")))),"Trage die vereinbarten Beträge so ein, dass ihre Summe der Ausgabe entspricht."))))))</f>
      </c>
    </row>
    <row r="44">
      <c r="A44" s="83"/>
      <c r="B44" s="57"/>
      <c r="C44" s="57"/>
      <c r="D44" s="85"/>
      <c r="E44" s="57"/>
      <c r="F44" s="57"/>
      <c r="G44" s="57"/>
      <c r="H44" s="57"/>
      <c r="I44" s="57"/>
      <c r="J44" s="57"/>
      <c r="K44" s="57"/>
      <c r="L44" s="57"/>
      <c r="M44" s="85"/>
      <c r="N44" s="85"/>
      <c r="O44" s="85"/>
      <c r="P44" s="85"/>
      <c r="Q44" s="85"/>
      <c r="R44" s="85"/>
      <c r="S44" s="57"/>
      <c r="T44" s="87" t="str">
        <f>IF(COUNTIF($A44:$S44,"&lt;&gt;")=0,"",IF($F44="Gleichmäßig unter Beteiligten",IF(G44&lt;&gt;"Ja",0,IF(COUNTIF($H44:$L44,"Ja")=0,$D44-0,ROUND($D44/COUNTIF($G44:$L44,"Ja"),2))),IF($F44="Vereinbarte Beträge",IF(G44="Ja",M44,0),"")))</f>
      </c>
      <c r="U44" s="87" t="str">
        <f>IF(COUNTIF($A44:$S44,"&lt;&gt;")=0,"",IF($F44="Gleichmäßig unter Beteiligten",IF(H44&lt;&gt;"Ja",0,IF(COUNTIF($I44:$L44,"Ja")=0,$D44-SUM($T44:T44),ROUND($D44/COUNTIF($G44:$L44,"Ja"),2))),IF($F44="Vereinbarte Beträge",IF(H44="Ja",N44,0),"")))</f>
      </c>
      <c r="V44" s="87" t="str">
        <f>IF(COUNTIF($A44:$S44,"&lt;&gt;")=0,"",IF($F44="Gleichmäßig unter Beteiligten",IF(I44&lt;&gt;"Ja",0,IF(COUNTIF($J44:$L44,"Ja")=0,$D44-SUM($T44:U44),ROUND($D44/COUNTIF($G44:$L44,"Ja"),2))),IF($F44="Vereinbarte Beträge",IF(I44="Ja",O44,0),"")))</f>
      </c>
      <c r="W44" s="87" t="str">
        <f>IF(COUNTIF($A44:$S44,"&lt;&gt;")=0,"",IF($F44="Gleichmäßig unter Beteiligten",IF(J44&lt;&gt;"Ja",0,IF(COUNTIF($K44:$L44,"Ja")=0,$D44-SUM($T44:V44),ROUND($D44/COUNTIF($G44:$L44,"Ja"),2))),IF($F44="Vereinbarte Beträge",IF(J44="Ja",P44,0),"")))</f>
      </c>
      <c r="X44" s="87" t="str">
        <f>IF(COUNTIF($A44:$S44,"&lt;&gt;")=0,"",IF($F44="Gleichmäßig unter Beteiligten",IF(K44&lt;&gt;"Ja",0,IF(COUNTIF($L44:$L44,"Ja")=0,$D44-SUM($T44:W44),ROUND($D44/COUNTIF($G44:$L44,"Ja"),2))),IF($F44="Vereinbarte Beträge",IF(K44="Ja",Q44,0),"")))</f>
      </c>
      <c r="Y44" s="87" t="str">
        <f>IF(COUNTIF($A44:$S44,"&lt;&gt;")=0,"",IF($F44="Gleichmäßig unter Beteiligten",IF(L44&lt;&gt;"Ja",0,IF(0=0,$D44-SUM($T44:X44),ROUND($D44/COUNTIF($G44:$L44,"Ja"),2))),IF($F44="Vereinbarte Beträge",IF(L44="Ja",R44,0),"")))</f>
      </c>
      <c r="Z44" s="81" t="str">
        <f>IF(COUNTIF($A44:$S44,"&lt;&gt;")=0,"",IF(OR($D44="",$D44&lt;=0),"Trage einen Betrag größer als null ein.",IF($E44="","Wähle aus, wer bezahlt hat.",IF(COUNTIF($G44:$L44,"Ja")=0,"Wähle mindestens eine beteiligte Person aus.",IF($F44="Gleichmäßig unter Beteiligten","Geprüft",IF($F44="Vereinbarte Beträge",IF(OR(AND(G44="Ja",M44=""),AND(H44="Ja",N44=""),AND(I44="Ja",O44=""),AND(J44="Ja",P44=""),AND(K44="Ja",Q44=""),AND(L44="Ja",R44="")),"Trage die vereinbarten Beträge so ein, dass ihre Summe der Ausgabe entspricht.",IF(ABS(SUM($M44:$R44))&lt;0.005,"Trage die vereinbarten Beträge so ein, dass ihre Summe der Ausgabe entspricht.",IF(SUM($M44:$R44)&lt;$D44-0.005,"Bei der Aufteilung fehlen "&amp;ROUND($D44-SUM($M44:$R44),2)&amp;".",IF(SUM($M44:$R44)&gt;$D44+0.005,"Die Aufteilung übersteigt die Ausgabe um "&amp;ROUND(SUM($M44:$R44)-$D44,2)&amp;".","Geprüft")))),"Trage die vereinbarten Beträge so ein, dass ihre Summe der Ausgabe entspricht."))))))</f>
      </c>
    </row>
    <row r="45">
      <c r="A45" s="83"/>
      <c r="B45" s="57"/>
      <c r="C45" s="57"/>
      <c r="D45" s="85"/>
      <c r="E45" s="57"/>
      <c r="F45" s="57"/>
      <c r="G45" s="57"/>
      <c r="H45" s="57"/>
      <c r="I45" s="57"/>
      <c r="J45" s="57"/>
      <c r="K45" s="57"/>
      <c r="L45" s="57"/>
      <c r="M45" s="85"/>
      <c r="N45" s="85"/>
      <c r="O45" s="85"/>
      <c r="P45" s="85"/>
      <c r="Q45" s="85"/>
      <c r="R45" s="85"/>
      <c r="S45" s="57"/>
      <c r="T45" s="87" t="str">
        <f>IF(COUNTIF($A45:$S45,"&lt;&gt;")=0,"",IF($F45="Gleichmäßig unter Beteiligten",IF(G45&lt;&gt;"Ja",0,IF(COUNTIF($H45:$L45,"Ja")=0,$D45-0,ROUND($D45/COUNTIF($G45:$L45,"Ja"),2))),IF($F45="Vereinbarte Beträge",IF(G45="Ja",M45,0),"")))</f>
      </c>
      <c r="U45" s="87" t="str">
        <f>IF(COUNTIF($A45:$S45,"&lt;&gt;")=0,"",IF($F45="Gleichmäßig unter Beteiligten",IF(H45&lt;&gt;"Ja",0,IF(COUNTIF($I45:$L45,"Ja")=0,$D45-SUM($T45:T45),ROUND($D45/COUNTIF($G45:$L45,"Ja"),2))),IF($F45="Vereinbarte Beträge",IF(H45="Ja",N45,0),"")))</f>
      </c>
      <c r="V45" s="87" t="str">
        <f>IF(COUNTIF($A45:$S45,"&lt;&gt;")=0,"",IF($F45="Gleichmäßig unter Beteiligten",IF(I45&lt;&gt;"Ja",0,IF(COUNTIF($J45:$L45,"Ja")=0,$D45-SUM($T45:U45),ROUND($D45/COUNTIF($G45:$L45,"Ja"),2))),IF($F45="Vereinbarte Beträge",IF(I45="Ja",O45,0),"")))</f>
      </c>
      <c r="W45" s="87" t="str">
        <f>IF(COUNTIF($A45:$S45,"&lt;&gt;")=0,"",IF($F45="Gleichmäßig unter Beteiligten",IF(J45&lt;&gt;"Ja",0,IF(COUNTIF($K45:$L45,"Ja")=0,$D45-SUM($T45:V45),ROUND($D45/COUNTIF($G45:$L45,"Ja"),2))),IF($F45="Vereinbarte Beträge",IF(J45="Ja",P45,0),"")))</f>
      </c>
      <c r="X45" s="87" t="str">
        <f>IF(COUNTIF($A45:$S45,"&lt;&gt;")=0,"",IF($F45="Gleichmäßig unter Beteiligten",IF(K45&lt;&gt;"Ja",0,IF(COUNTIF($L45:$L45,"Ja")=0,$D45-SUM($T45:W45),ROUND($D45/COUNTIF($G45:$L45,"Ja"),2))),IF($F45="Vereinbarte Beträge",IF(K45="Ja",Q45,0),"")))</f>
      </c>
      <c r="Y45" s="87" t="str">
        <f>IF(COUNTIF($A45:$S45,"&lt;&gt;")=0,"",IF($F45="Gleichmäßig unter Beteiligten",IF(L45&lt;&gt;"Ja",0,IF(0=0,$D45-SUM($T45:X45),ROUND($D45/COUNTIF($G45:$L45,"Ja"),2))),IF($F45="Vereinbarte Beträge",IF(L45="Ja",R45,0),"")))</f>
      </c>
      <c r="Z45" s="81" t="str">
        <f>IF(COUNTIF($A45:$S45,"&lt;&gt;")=0,"",IF(OR($D45="",$D45&lt;=0),"Trage einen Betrag größer als null ein.",IF($E45="","Wähle aus, wer bezahlt hat.",IF(COUNTIF($G45:$L45,"Ja")=0,"Wähle mindestens eine beteiligte Person aus.",IF($F45="Gleichmäßig unter Beteiligten","Geprüft",IF($F45="Vereinbarte Beträge",IF(OR(AND(G45="Ja",M45=""),AND(H45="Ja",N45=""),AND(I45="Ja",O45=""),AND(J45="Ja",P45=""),AND(K45="Ja",Q45=""),AND(L45="Ja",R45="")),"Trage die vereinbarten Beträge so ein, dass ihre Summe der Ausgabe entspricht.",IF(ABS(SUM($M45:$R45))&lt;0.005,"Trage die vereinbarten Beträge so ein, dass ihre Summe der Ausgabe entspricht.",IF(SUM($M45:$R45)&lt;$D45-0.005,"Bei der Aufteilung fehlen "&amp;ROUND($D45-SUM($M45:$R45),2)&amp;".",IF(SUM($M45:$R45)&gt;$D45+0.005,"Die Aufteilung übersteigt die Ausgabe um "&amp;ROUND(SUM($M45:$R45)-$D45,2)&amp;".","Geprüft")))),"Trage die vereinbarten Beträge so ein, dass ihre Summe der Ausgabe entspricht."))))))</f>
      </c>
    </row>
    <row r="46">
      <c r="A46" s="83"/>
      <c r="B46" s="57"/>
      <c r="C46" s="57"/>
      <c r="D46" s="85"/>
      <c r="E46" s="57"/>
      <c r="F46" s="57"/>
      <c r="G46" s="57"/>
      <c r="H46" s="57"/>
      <c r="I46" s="57"/>
      <c r="J46" s="57"/>
      <c r="K46" s="57"/>
      <c r="L46" s="57"/>
      <c r="M46" s="85"/>
      <c r="N46" s="85"/>
      <c r="O46" s="85"/>
      <c r="P46" s="85"/>
      <c r="Q46" s="85"/>
      <c r="R46" s="85"/>
      <c r="S46" s="57"/>
      <c r="T46" s="87" t="str">
        <f>IF(COUNTIF($A46:$S46,"&lt;&gt;")=0,"",IF($F46="Gleichmäßig unter Beteiligten",IF(G46&lt;&gt;"Ja",0,IF(COUNTIF($H46:$L46,"Ja")=0,$D46-0,ROUND($D46/COUNTIF($G46:$L46,"Ja"),2))),IF($F46="Vereinbarte Beträge",IF(G46="Ja",M46,0),"")))</f>
      </c>
      <c r="U46" s="87" t="str">
        <f>IF(COUNTIF($A46:$S46,"&lt;&gt;")=0,"",IF($F46="Gleichmäßig unter Beteiligten",IF(H46&lt;&gt;"Ja",0,IF(COUNTIF($I46:$L46,"Ja")=0,$D46-SUM($T46:T46),ROUND($D46/COUNTIF($G46:$L46,"Ja"),2))),IF($F46="Vereinbarte Beträge",IF(H46="Ja",N46,0),"")))</f>
      </c>
      <c r="V46" s="87" t="str">
        <f>IF(COUNTIF($A46:$S46,"&lt;&gt;")=0,"",IF($F46="Gleichmäßig unter Beteiligten",IF(I46&lt;&gt;"Ja",0,IF(COUNTIF($J46:$L46,"Ja")=0,$D46-SUM($T46:U46),ROUND($D46/COUNTIF($G46:$L46,"Ja"),2))),IF($F46="Vereinbarte Beträge",IF(I46="Ja",O46,0),"")))</f>
      </c>
      <c r="W46" s="87" t="str">
        <f>IF(COUNTIF($A46:$S46,"&lt;&gt;")=0,"",IF($F46="Gleichmäßig unter Beteiligten",IF(J46&lt;&gt;"Ja",0,IF(COUNTIF($K46:$L46,"Ja")=0,$D46-SUM($T46:V46),ROUND($D46/COUNTIF($G46:$L46,"Ja"),2))),IF($F46="Vereinbarte Beträge",IF(J46="Ja",P46,0),"")))</f>
      </c>
      <c r="X46" s="87" t="str">
        <f>IF(COUNTIF($A46:$S46,"&lt;&gt;")=0,"",IF($F46="Gleichmäßig unter Beteiligten",IF(K46&lt;&gt;"Ja",0,IF(COUNTIF($L46:$L46,"Ja")=0,$D46-SUM($T46:W46),ROUND($D46/COUNTIF($G46:$L46,"Ja"),2))),IF($F46="Vereinbarte Beträge",IF(K46="Ja",Q46,0),"")))</f>
      </c>
      <c r="Y46" s="87" t="str">
        <f>IF(COUNTIF($A46:$S46,"&lt;&gt;")=0,"",IF($F46="Gleichmäßig unter Beteiligten",IF(L46&lt;&gt;"Ja",0,IF(0=0,$D46-SUM($T46:X46),ROUND($D46/COUNTIF($G46:$L46,"Ja"),2))),IF($F46="Vereinbarte Beträge",IF(L46="Ja",R46,0),"")))</f>
      </c>
      <c r="Z46" s="81" t="str">
        <f>IF(COUNTIF($A46:$S46,"&lt;&gt;")=0,"",IF(OR($D46="",$D46&lt;=0),"Trage einen Betrag größer als null ein.",IF($E46="","Wähle aus, wer bezahlt hat.",IF(COUNTIF($G46:$L46,"Ja")=0,"Wähle mindestens eine beteiligte Person aus.",IF($F46="Gleichmäßig unter Beteiligten","Geprüft",IF($F46="Vereinbarte Beträge",IF(OR(AND(G46="Ja",M46=""),AND(H46="Ja",N46=""),AND(I46="Ja",O46=""),AND(J46="Ja",P46=""),AND(K46="Ja",Q46=""),AND(L46="Ja",R46="")),"Trage die vereinbarten Beträge so ein, dass ihre Summe der Ausgabe entspricht.",IF(ABS(SUM($M46:$R46))&lt;0.005,"Trage die vereinbarten Beträge so ein, dass ihre Summe der Ausgabe entspricht.",IF(SUM($M46:$R46)&lt;$D46-0.005,"Bei der Aufteilung fehlen "&amp;ROUND($D46-SUM($M46:$R46),2)&amp;".",IF(SUM($M46:$R46)&gt;$D46+0.005,"Die Aufteilung übersteigt die Ausgabe um "&amp;ROUND(SUM($M46:$R46)-$D46,2)&amp;".","Geprüft")))),"Trage die vereinbarten Beträge so ein, dass ihre Summe der Ausgabe entspricht."))))))</f>
      </c>
    </row>
    <row r="47">
      <c r="A47" s="83"/>
      <c r="B47" s="57"/>
      <c r="C47" s="57"/>
      <c r="D47" s="85"/>
      <c r="E47" s="57"/>
      <c r="F47" s="57"/>
      <c r="G47" s="57"/>
      <c r="H47" s="57"/>
      <c r="I47" s="57"/>
      <c r="J47" s="57"/>
      <c r="K47" s="57"/>
      <c r="L47" s="57"/>
      <c r="M47" s="85"/>
      <c r="N47" s="85"/>
      <c r="O47" s="85"/>
      <c r="P47" s="85"/>
      <c r="Q47" s="85"/>
      <c r="R47" s="85"/>
      <c r="S47" s="57"/>
      <c r="T47" s="87" t="str">
        <f>IF(COUNTIF($A47:$S47,"&lt;&gt;")=0,"",IF($F47="Gleichmäßig unter Beteiligten",IF(G47&lt;&gt;"Ja",0,IF(COUNTIF($H47:$L47,"Ja")=0,$D47-0,ROUND($D47/COUNTIF($G47:$L47,"Ja"),2))),IF($F47="Vereinbarte Beträge",IF(G47="Ja",M47,0),"")))</f>
      </c>
      <c r="U47" s="87" t="str">
        <f>IF(COUNTIF($A47:$S47,"&lt;&gt;")=0,"",IF($F47="Gleichmäßig unter Beteiligten",IF(H47&lt;&gt;"Ja",0,IF(COUNTIF($I47:$L47,"Ja")=0,$D47-SUM($T47:T47),ROUND($D47/COUNTIF($G47:$L47,"Ja"),2))),IF($F47="Vereinbarte Beträge",IF(H47="Ja",N47,0),"")))</f>
      </c>
      <c r="V47" s="87" t="str">
        <f>IF(COUNTIF($A47:$S47,"&lt;&gt;")=0,"",IF($F47="Gleichmäßig unter Beteiligten",IF(I47&lt;&gt;"Ja",0,IF(COUNTIF($J47:$L47,"Ja")=0,$D47-SUM($T47:U47),ROUND($D47/COUNTIF($G47:$L47,"Ja"),2))),IF($F47="Vereinbarte Beträge",IF(I47="Ja",O47,0),"")))</f>
      </c>
      <c r="W47" s="87" t="str">
        <f>IF(COUNTIF($A47:$S47,"&lt;&gt;")=0,"",IF($F47="Gleichmäßig unter Beteiligten",IF(J47&lt;&gt;"Ja",0,IF(COUNTIF($K47:$L47,"Ja")=0,$D47-SUM($T47:V47),ROUND($D47/COUNTIF($G47:$L47,"Ja"),2))),IF($F47="Vereinbarte Beträge",IF(J47="Ja",P47,0),"")))</f>
      </c>
      <c r="X47" s="87" t="str">
        <f>IF(COUNTIF($A47:$S47,"&lt;&gt;")=0,"",IF($F47="Gleichmäßig unter Beteiligten",IF(K47&lt;&gt;"Ja",0,IF(COUNTIF($L47:$L47,"Ja")=0,$D47-SUM($T47:W47),ROUND($D47/COUNTIF($G47:$L47,"Ja"),2))),IF($F47="Vereinbarte Beträge",IF(K47="Ja",Q47,0),"")))</f>
      </c>
      <c r="Y47" s="87" t="str">
        <f>IF(COUNTIF($A47:$S47,"&lt;&gt;")=0,"",IF($F47="Gleichmäßig unter Beteiligten",IF(L47&lt;&gt;"Ja",0,IF(0=0,$D47-SUM($T47:X47),ROUND($D47/COUNTIF($G47:$L47,"Ja"),2))),IF($F47="Vereinbarte Beträge",IF(L47="Ja",R47,0),"")))</f>
      </c>
      <c r="Z47" s="81" t="str">
        <f>IF(COUNTIF($A47:$S47,"&lt;&gt;")=0,"",IF(OR($D47="",$D47&lt;=0),"Trage einen Betrag größer als null ein.",IF($E47="","Wähle aus, wer bezahlt hat.",IF(COUNTIF($G47:$L47,"Ja")=0,"Wähle mindestens eine beteiligte Person aus.",IF($F47="Gleichmäßig unter Beteiligten","Geprüft",IF($F47="Vereinbarte Beträge",IF(OR(AND(G47="Ja",M47=""),AND(H47="Ja",N47=""),AND(I47="Ja",O47=""),AND(J47="Ja",P47=""),AND(K47="Ja",Q47=""),AND(L47="Ja",R47="")),"Trage die vereinbarten Beträge so ein, dass ihre Summe der Ausgabe entspricht.",IF(ABS(SUM($M47:$R47))&lt;0.005,"Trage die vereinbarten Beträge so ein, dass ihre Summe der Ausgabe entspricht.",IF(SUM($M47:$R47)&lt;$D47-0.005,"Bei der Aufteilung fehlen "&amp;ROUND($D47-SUM($M47:$R47),2)&amp;".",IF(SUM($M47:$R47)&gt;$D47+0.005,"Die Aufteilung übersteigt die Ausgabe um "&amp;ROUND(SUM($M47:$R47)-$D47,2)&amp;".","Geprüft")))),"Trage die vereinbarten Beträge so ein, dass ihre Summe der Ausgabe entspricht."))))))</f>
      </c>
    </row>
    <row r="48">
      <c r="A48" s="83"/>
      <c r="B48" s="57"/>
      <c r="C48" s="57"/>
      <c r="D48" s="85"/>
      <c r="E48" s="57"/>
      <c r="F48" s="57"/>
      <c r="G48" s="57"/>
      <c r="H48" s="57"/>
      <c r="I48" s="57"/>
      <c r="J48" s="57"/>
      <c r="K48" s="57"/>
      <c r="L48" s="57"/>
      <c r="M48" s="85"/>
      <c r="N48" s="85"/>
      <c r="O48" s="85"/>
      <c r="P48" s="85"/>
      <c r="Q48" s="85"/>
      <c r="R48" s="85"/>
      <c r="S48" s="57"/>
      <c r="T48" s="87" t="str">
        <f>IF(COUNTIF($A48:$S48,"&lt;&gt;")=0,"",IF($F48="Gleichmäßig unter Beteiligten",IF(G48&lt;&gt;"Ja",0,IF(COUNTIF($H48:$L48,"Ja")=0,$D48-0,ROUND($D48/COUNTIF($G48:$L48,"Ja"),2))),IF($F48="Vereinbarte Beträge",IF(G48="Ja",M48,0),"")))</f>
      </c>
      <c r="U48" s="87" t="str">
        <f>IF(COUNTIF($A48:$S48,"&lt;&gt;")=0,"",IF($F48="Gleichmäßig unter Beteiligten",IF(H48&lt;&gt;"Ja",0,IF(COUNTIF($I48:$L48,"Ja")=0,$D48-SUM($T48:T48),ROUND($D48/COUNTIF($G48:$L48,"Ja"),2))),IF($F48="Vereinbarte Beträge",IF(H48="Ja",N48,0),"")))</f>
      </c>
      <c r="V48" s="87" t="str">
        <f>IF(COUNTIF($A48:$S48,"&lt;&gt;")=0,"",IF($F48="Gleichmäßig unter Beteiligten",IF(I48&lt;&gt;"Ja",0,IF(COUNTIF($J48:$L48,"Ja")=0,$D48-SUM($T48:U48),ROUND($D48/COUNTIF($G48:$L48,"Ja"),2))),IF($F48="Vereinbarte Beträge",IF(I48="Ja",O48,0),"")))</f>
      </c>
      <c r="W48" s="87" t="str">
        <f>IF(COUNTIF($A48:$S48,"&lt;&gt;")=0,"",IF($F48="Gleichmäßig unter Beteiligten",IF(J48&lt;&gt;"Ja",0,IF(COUNTIF($K48:$L48,"Ja")=0,$D48-SUM($T48:V48),ROUND($D48/COUNTIF($G48:$L48,"Ja"),2))),IF($F48="Vereinbarte Beträge",IF(J48="Ja",P48,0),"")))</f>
      </c>
      <c r="X48" s="87" t="str">
        <f>IF(COUNTIF($A48:$S48,"&lt;&gt;")=0,"",IF($F48="Gleichmäßig unter Beteiligten",IF(K48&lt;&gt;"Ja",0,IF(COUNTIF($L48:$L48,"Ja")=0,$D48-SUM($T48:W48),ROUND($D48/COUNTIF($G48:$L48,"Ja"),2))),IF($F48="Vereinbarte Beträge",IF(K48="Ja",Q48,0),"")))</f>
      </c>
      <c r="Y48" s="87" t="str">
        <f>IF(COUNTIF($A48:$S48,"&lt;&gt;")=0,"",IF($F48="Gleichmäßig unter Beteiligten",IF(L48&lt;&gt;"Ja",0,IF(0=0,$D48-SUM($T48:X48),ROUND($D48/COUNTIF($G48:$L48,"Ja"),2))),IF($F48="Vereinbarte Beträge",IF(L48="Ja",R48,0),"")))</f>
      </c>
      <c r="Z48" s="81" t="str">
        <f>IF(COUNTIF($A48:$S48,"&lt;&gt;")=0,"",IF(OR($D48="",$D48&lt;=0),"Trage einen Betrag größer als null ein.",IF($E48="","Wähle aus, wer bezahlt hat.",IF(COUNTIF($G48:$L48,"Ja")=0,"Wähle mindestens eine beteiligte Person aus.",IF($F48="Gleichmäßig unter Beteiligten","Geprüft",IF($F48="Vereinbarte Beträge",IF(OR(AND(G48="Ja",M48=""),AND(H48="Ja",N48=""),AND(I48="Ja",O48=""),AND(J48="Ja",P48=""),AND(K48="Ja",Q48=""),AND(L48="Ja",R48="")),"Trage die vereinbarten Beträge so ein, dass ihre Summe der Ausgabe entspricht.",IF(ABS(SUM($M48:$R48))&lt;0.005,"Trage die vereinbarten Beträge so ein, dass ihre Summe der Ausgabe entspricht.",IF(SUM($M48:$R48)&lt;$D48-0.005,"Bei der Aufteilung fehlen "&amp;ROUND($D48-SUM($M48:$R48),2)&amp;".",IF(SUM($M48:$R48)&gt;$D48+0.005,"Die Aufteilung übersteigt die Ausgabe um "&amp;ROUND(SUM($M48:$R48)-$D48,2)&amp;".","Geprüft")))),"Trage die vereinbarten Beträge so ein, dass ihre Summe der Ausgabe entspricht."))))))</f>
      </c>
    </row>
    <row r="49">
      <c r="A49" s="83"/>
      <c r="B49" s="57"/>
      <c r="C49" s="57"/>
      <c r="D49" s="85"/>
      <c r="E49" s="57"/>
      <c r="F49" s="57"/>
      <c r="G49" s="57"/>
      <c r="H49" s="57"/>
      <c r="I49" s="57"/>
      <c r="J49" s="57"/>
      <c r="K49" s="57"/>
      <c r="L49" s="57"/>
      <c r="M49" s="85"/>
      <c r="N49" s="85"/>
      <c r="O49" s="85"/>
      <c r="P49" s="85"/>
      <c r="Q49" s="85"/>
      <c r="R49" s="85"/>
      <c r="S49" s="57"/>
      <c r="T49" s="87" t="str">
        <f>IF(COUNTIF($A49:$S49,"&lt;&gt;")=0,"",IF($F49="Gleichmäßig unter Beteiligten",IF(G49&lt;&gt;"Ja",0,IF(COUNTIF($H49:$L49,"Ja")=0,$D49-0,ROUND($D49/COUNTIF($G49:$L49,"Ja"),2))),IF($F49="Vereinbarte Beträge",IF(G49="Ja",M49,0),"")))</f>
      </c>
      <c r="U49" s="87" t="str">
        <f>IF(COUNTIF($A49:$S49,"&lt;&gt;")=0,"",IF($F49="Gleichmäßig unter Beteiligten",IF(H49&lt;&gt;"Ja",0,IF(COUNTIF($I49:$L49,"Ja")=0,$D49-SUM($T49:T49),ROUND($D49/COUNTIF($G49:$L49,"Ja"),2))),IF($F49="Vereinbarte Beträge",IF(H49="Ja",N49,0),"")))</f>
      </c>
      <c r="V49" s="87" t="str">
        <f>IF(COUNTIF($A49:$S49,"&lt;&gt;")=0,"",IF($F49="Gleichmäßig unter Beteiligten",IF(I49&lt;&gt;"Ja",0,IF(COUNTIF($J49:$L49,"Ja")=0,$D49-SUM($T49:U49),ROUND($D49/COUNTIF($G49:$L49,"Ja"),2))),IF($F49="Vereinbarte Beträge",IF(I49="Ja",O49,0),"")))</f>
      </c>
      <c r="W49" s="87" t="str">
        <f>IF(COUNTIF($A49:$S49,"&lt;&gt;")=0,"",IF($F49="Gleichmäßig unter Beteiligten",IF(J49&lt;&gt;"Ja",0,IF(COUNTIF($K49:$L49,"Ja")=0,$D49-SUM($T49:V49),ROUND($D49/COUNTIF($G49:$L49,"Ja"),2))),IF($F49="Vereinbarte Beträge",IF(J49="Ja",P49,0),"")))</f>
      </c>
      <c r="X49" s="87" t="str">
        <f>IF(COUNTIF($A49:$S49,"&lt;&gt;")=0,"",IF($F49="Gleichmäßig unter Beteiligten",IF(K49&lt;&gt;"Ja",0,IF(COUNTIF($L49:$L49,"Ja")=0,$D49-SUM($T49:W49),ROUND($D49/COUNTIF($G49:$L49,"Ja"),2))),IF($F49="Vereinbarte Beträge",IF(K49="Ja",Q49,0),"")))</f>
      </c>
      <c r="Y49" s="87" t="str">
        <f>IF(COUNTIF($A49:$S49,"&lt;&gt;")=0,"",IF($F49="Gleichmäßig unter Beteiligten",IF(L49&lt;&gt;"Ja",0,IF(0=0,$D49-SUM($T49:X49),ROUND($D49/COUNTIF($G49:$L49,"Ja"),2))),IF($F49="Vereinbarte Beträge",IF(L49="Ja",R49,0),"")))</f>
      </c>
      <c r="Z49" s="81" t="str">
        <f>IF(COUNTIF($A49:$S49,"&lt;&gt;")=0,"",IF(OR($D49="",$D49&lt;=0),"Trage einen Betrag größer als null ein.",IF($E49="","Wähle aus, wer bezahlt hat.",IF(COUNTIF($G49:$L49,"Ja")=0,"Wähle mindestens eine beteiligte Person aus.",IF($F49="Gleichmäßig unter Beteiligten","Geprüft",IF($F49="Vereinbarte Beträge",IF(OR(AND(G49="Ja",M49=""),AND(H49="Ja",N49=""),AND(I49="Ja",O49=""),AND(J49="Ja",P49=""),AND(K49="Ja",Q49=""),AND(L49="Ja",R49="")),"Trage die vereinbarten Beträge so ein, dass ihre Summe der Ausgabe entspricht.",IF(ABS(SUM($M49:$R49))&lt;0.005,"Trage die vereinbarten Beträge so ein, dass ihre Summe der Ausgabe entspricht.",IF(SUM($M49:$R49)&lt;$D49-0.005,"Bei der Aufteilung fehlen "&amp;ROUND($D49-SUM($M49:$R49),2)&amp;".",IF(SUM($M49:$R49)&gt;$D49+0.005,"Die Aufteilung übersteigt die Ausgabe um "&amp;ROUND(SUM($M49:$R49)-$D49,2)&amp;".","Geprüft")))),"Trage die vereinbarten Beträge so ein, dass ihre Summe der Ausgabe entspricht."))))))</f>
      </c>
    </row>
    <row r="50">
      <c r="A50" s="83"/>
      <c r="B50" s="57"/>
      <c r="C50" s="57"/>
      <c r="D50" s="85"/>
      <c r="E50" s="57"/>
      <c r="F50" s="57"/>
      <c r="G50" s="57"/>
      <c r="H50" s="57"/>
      <c r="I50" s="57"/>
      <c r="J50" s="57"/>
      <c r="K50" s="57"/>
      <c r="L50" s="57"/>
      <c r="M50" s="85"/>
      <c r="N50" s="85"/>
      <c r="O50" s="85"/>
      <c r="P50" s="85"/>
      <c r="Q50" s="85"/>
      <c r="R50" s="85"/>
      <c r="S50" s="57"/>
      <c r="T50" s="87" t="str">
        <f>IF(COUNTIF($A50:$S50,"&lt;&gt;")=0,"",IF($F50="Gleichmäßig unter Beteiligten",IF(G50&lt;&gt;"Ja",0,IF(COUNTIF($H50:$L50,"Ja")=0,$D50-0,ROUND($D50/COUNTIF($G50:$L50,"Ja"),2))),IF($F50="Vereinbarte Beträge",IF(G50="Ja",M50,0),"")))</f>
      </c>
      <c r="U50" s="87" t="str">
        <f>IF(COUNTIF($A50:$S50,"&lt;&gt;")=0,"",IF($F50="Gleichmäßig unter Beteiligten",IF(H50&lt;&gt;"Ja",0,IF(COUNTIF($I50:$L50,"Ja")=0,$D50-SUM($T50:T50),ROUND($D50/COUNTIF($G50:$L50,"Ja"),2))),IF($F50="Vereinbarte Beträge",IF(H50="Ja",N50,0),"")))</f>
      </c>
      <c r="V50" s="87" t="str">
        <f>IF(COUNTIF($A50:$S50,"&lt;&gt;")=0,"",IF($F50="Gleichmäßig unter Beteiligten",IF(I50&lt;&gt;"Ja",0,IF(COUNTIF($J50:$L50,"Ja")=0,$D50-SUM($T50:U50),ROUND($D50/COUNTIF($G50:$L50,"Ja"),2))),IF($F50="Vereinbarte Beträge",IF(I50="Ja",O50,0),"")))</f>
      </c>
      <c r="W50" s="87" t="str">
        <f>IF(COUNTIF($A50:$S50,"&lt;&gt;")=0,"",IF($F50="Gleichmäßig unter Beteiligten",IF(J50&lt;&gt;"Ja",0,IF(COUNTIF($K50:$L50,"Ja")=0,$D50-SUM($T50:V50),ROUND($D50/COUNTIF($G50:$L50,"Ja"),2))),IF($F50="Vereinbarte Beträge",IF(J50="Ja",P50,0),"")))</f>
      </c>
      <c r="X50" s="87" t="str">
        <f>IF(COUNTIF($A50:$S50,"&lt;&gt;")=0,"",IF($F50="Gleichmäßig unter Beteiligten",IF(K50&lt;&gt;"Ja",0,IF(COUNTIF($L50:$L50,"Ja")=0,$D50-SUM($T50:W50),ROUND($D50/COUNTIF($G50:$L50,"Ja"),2))),IF($F50="Vereinbarte Beträge",IF(K50="Ja",Q50,0),"")))</f>
      </c>
      <c r="Y50" s="87" t="str">
        <f>IF(COUNTIF($A50:$S50,"&lt;&gt;")=0,"",IF($F50="Gleichmäßig unter Beteiligten",IF(L50&lt;&gt;"Ja",0,IF(0=0,$D50-SUM($T50:X50),ROUND($D50/COUNTIF($G50:$L50,"Ja"),2))),IF($F50="Vereinbarte Beträge",IF(L50="Ja",R50,0),"")))</f>
      </c>
      <c r="Z50" s="81" t="str">
        <f>IF(COUNTIF($A50:$S50,"&lt;&gt;")=0,"",IF(OR($D50="",$D50&lt;=0),"Trage einen Betrag größer als null ein.",IF($E50="","Wähle aus, wer bezahlt hat.",IF(COUNTIF($G50:$L50,"Ja")=0,"Wähle mindestens eine beteiligte Person aus.",IF($F50="Gleichmäßig unter Beteiligten","Geprüft",IF($F50="Vereinbarte Beträge",IF(OR(AND(G50="Ja",M50=""),AND(H50="Ja",N50=""),AND(I50="Ja",O50=""),AND(J50="Ja",P50=""),AND(K50="Ja",Q50=""),AND(L50="Ja",R50="")),"Trage die vereinbarten Beträge so ein, dass ihre Summe der Ausgabe entspricht.",IF(ABS(SUM($M50:$R50))&lt;0.005,"Trage die vereinbarten Beträge so ein, dass ihre Summe der Ausgabe entspricht.",IF(SUM($M50:$R50)&lt;$D50-0.005,"Bei der Aufteilung fehlen "&amp;ROUND($D50-SUM($M50:$R50),2)&amp;".",IF(SUM($M50:$R50)&gt;$D50+0.005,"Die Aufteilung übersteigt die Ausgabe um "&amp;ROUND(SUM($M50:$R50)-$D50,2)&amp;".","Geprüft")))),"Trage die vereinbarten Beträge so ein, dass ihre Summe der Ausgabe entspricht."))))))</f>
      </c>
    </row>
    <row r="51">
      <c r="A51" s="83"/>
      <c r="B51" s="57"/>
      <c r="C51" s="57"/>
      <c r="D51" s="85"/>
      <c r="E51" s="57"/>
      <c r="F51" s="57"/>
      <c r="G51" s="57"/>
      <c r="H51" s="57"/>
      <c r="I51" s="57"/>
      <c r="J51" s="57"/>
      <c r="K51" s="57"/>
      <c r="L51" s="57"/>
      <c r="M51" s="85"/>
      <c r="N51" s="85"/>
      <c r="O51" s="85"/>
      <c r="P51" s="85"/>
      <c r="Q51" s="85"/>
      <c r="R51" s="85"/>
      <c r="S51" s="57"/>
      <c r="T51" s="87" t="str">
        <f>IF(COUNTIF($A51:$S51,"&lt;&gt;")=0,"",IF($F51="Gleichmäßig unter Beteiligten",IF(G51&lt;&gt;"Ja",0,IF(COUNTIF($H51:$L51,"Ja")=0,$D51-0,ROUND($D51/COUNTIF($G51:$L51,"Ja"),2))),IF($F51="Vereinbarte Beträge",IF(G51="Ja",M51,0),"")))</f>
      </c>
      <c r="U51" s="87" t="str">
        <f>IF(COUNTIF($A51:$S51,"&lt;&gt;")=0,"",IF($F51="Gleichmäßig unter Beteiligten",IF(H51&lt;&gt;"Ja",0,IF(COUNTIF($I51:$L51,"Ja")=0,$D51-SUM($T51:T51),ROUND($D51/COUNTIF($G51:$L51,"Ja"),2))),IF($F51="Vereinbarte Beträge",IF(H51="Ja",N51,0),"")))</f>
      </c>
      <c r="V51" s="87" t="str">
        <f>IF(COUNTIF($A51:$S51,"&lt;&gt;")=0,"",IF($F51="Gleichmäßig unter Beteiligten",IF(I51&lt;&gt;"Ja",0,IF(COUNTIF($J51:$L51,"Ja")=0,$D51-SUM($T51:U51),ROUND($D51/COUNTIF($G51:$L51,"Ja"),2))),IF($F51="Vereinbarte Beträge",IF(I51="Ja",O51,0),"")))</f>
      </c>
      <c r="W51" s="87" t="str">
        <f>IF(COUNTIF($A51:$S51,"&lt;&gt;")=0,"",IF($F51="Gleichmäßig unter Beteiligten",IF(J51&lt;&gt;"Ja",0,IF(COUNTIF($K51:$L51,"Ja")=0,$D51-SUM($T51:V51),ROUND($D51/COUNTIF($G51:$L51,"Ja"),2))),IF($F51="Vereinbarte Beträge",IF(J51="Ja",P51,0),"")))</f>
      </c>
      <c r="X51" s="87" t="str">
        <f>IF(COUNTIF($A51:$S51,"&lt;&gt;")=0,"",IF($F51="Gleichmäßig unter Beteiligten",IF(K51&lt;&gt;"Ja",0,IF(COUNTIF($L51:$L51,"Ja")=0,$D51-SUM($T51:W51),ROUND($D51/COUNTIF($G51:$L51,"Ja"),2))),IF($F51="Vereinbarte Beträge",IF(K51="Ja",Q51,0),"")))</f>
      </c>
      <c r="Y51" s="87" t="str">
        <f>IF(COUNTIF($A51:$S51,"&lt;&gt;")=0,"",IF($F51="Gleichmäßig unter Beteiligten",IF(L51&lt;&gt;"Ja",0,IF(0=0,$D51-SUM($T51:X51),ROUND($D51/COUNTIF($G51:$L51,"Ja"),2))),IF($F51="Vereinbarte Beträge",IF(L51="Ja",R51,0),"")))</f>
      </c>
      <c r="Z51" s="81" t="str">
        <f>IF(COUNTIF($A51:$S51,"&lt;&gt;")=0,"",IF(OR($D51="",$D51&lt;=0),"Trage einen Betrag größer als null ein.",IF($E51="","Wähle aus, wer bezahlt hat.",IF(COUNTIF($G51:$L51,"Ja")=0,"Wähle mindestens eine beteiligte Person aus.",IF($F51="Gleichmäßig unter Beteiligten","Geprüft",IF($F51="Vereinbarte Beträge",IF(OR(AND(G51="Ja",M51=""),AND(H51="Ja",N51=""),AND(I51="Ja",O51=""),AND(J51="Ja",P51=""),AND(K51="Ja",Q51=""),AND(L51="Ja",R51="")),"Trage die vereinbarten Beträge so ein, dass ihre Summe der Ausgabe entspricht.",IF(ABS(SUM($M51:$R51))&lt;0.005,"Trage die vereinbarten Beträge so ein, dass ihre Summe der Ausgabe entspricht.",IF(SUM($M51:$R51)&lt;$D51-0.005,"Bei der Aufteilung fehlen "&amp;ROUND($D51-SUM($M51:$R51),2)&amp;".",IF(SUM($M51:$R51)&gt;$D51+0.005,"Die Aufteilung übersteigt die Ausgabe um "&amp;ROUND(SUM($M51:$R51)-$D51,2)&amp;".","Geprüft")))),"Trage die vereinbarten Beträge so ein, dass ihre Summe der Ausgabe entspricht."))))))</f>
      </c>
    </row>
    <row r="52">
      <c r="A52" s="83"/>
      <c r="B52" s="57"/>
      <c r="C52" s="57"/>
      <c r="D52" s="85"/>
      <c r="E52" s="57"/>
      <c r="F52" s="57"/>
      <c r="G52" s="57"/>
      <c r="H52" s="57"/>
      <c r="I52" s="57"/>
      <c r="J52" s="57"/>
      <c r="K52" s="57"/>
      <c r="L52" s="57"/>
      <c r="M52" s="85"/>
      <c r="N52" s="85"/>
      <c r="O52" s="85"/>
      <c r="P52" s="85"/>
      <c r="Q52" s="85"/>
      <c r="R52" s="85"/>
      <c r="S52" s="57"/>
      <c r="T52" s="87" t="str">
        <f>IF(COUNTIF($A52:$S52,"&lt;&gt;")=0,"",IF($F52="Gleichmäßig unter Beteiligten",IF(G52&lt;&gt;"Ja",0,IF(COUNTIF($H52:$L52,"Ja")=0,$D52-0,ROUND($D52/COUNTIF($G52:$L52,"Ja"),2))),IF($F52="Vereinbarte Beträge",IF(G52="Ja",M52,0),"")))</f>
      </c>
      <c r="U52" s="87" t="str">
        <f>IF(COUNTIF($A52:$S52,"&lt;&gt;")=0,"",IF($F52="Gleichmäßig unter Beteiligten",IF(H52&lt;&gt;"Ja",0,IF(COUNTIF($I52:$L52,"Ja")=0,$D52-SUM($T52:T52),ROUND($D52/COUNTIF($G52:$L52,"Ja"),2))),IF($F52="Vereinbarte Beträge",IF(H52="Ja",N52,0),"")))</f>
      </c>
      <c r="V52" s="87" t="str">
        <f>IF(COUNTIF($A52:$S52,"&lt;&gt;")=0,"",IF($F52="Gleichmäßig unter Beteiligten",IF(I52&lt;&gt;"Ja",0,IF(COUNTIF($J52:$L52,"Ja")=0,$D52-SUM($T52:U52),ROUND($D52/COUNTIF($G52:$L52,"Ja"),2))),IF($F52="Vereinbarte Beträge",IF(I52="Ja",O52,0),"")))</f>
      </c>
      <c r="W52" s="87" t="str">
        <f>IF(COUNTIF($A52:$S52,"&lt;&gt;")=0,"",IF($F52="Gleichmäßig unter Beteiligten",IF(J52&lt;&gt;"Ja",0,IF(COUNTIF($K52:$L52,"Ja")=0,$D52-SUM($T52:V52),ROUND($D52/COUNTIF($G52:$L52,"Ja"),2))),IF($F52="Vereinbarte Beträge",IF(J52="Ja",P52,0),"")))</f>
      </c>
      <c r="X52" s="87" t="str">
        <f>IF(COUNTIF($A52:$S52,"&lt;&gt;")=0,"",IF($F52="Gleichmäßig unter Beteiligten",IF(K52&lt;&gt;"Ja",0,IF(COUNTIF($L52:$L52,"Ja")=0,$D52-SUM($T52:W52),ROUND($D52/COUNTIF($G52:$L52,"Ja"),2))),IF($F52="Vereinbarte Beträge",IF(K52="Ja",Q52,0),"")))</f>
      </c>
      <c r="Y52" s="87" t="str">
        <f>IF(COUNTIF($A52:$S52,"&lt;&gt;")=0,"",IF($F52="Gleichmäßig unter Beteiligten",IF(L52&lt;&gt;"Ja",0,IF(0=0,$D52-SUM($T52:X52),ROUND($D52/COUNTIF($G52:$L52,"Ja"),2))),IF($F52="Vereinbarte Beträge",IF(L52="Ja",R52,0),"")))</f>
      </c>
      <c r="Z52" s="81" t="str">
        <f>IF(COUNTIF($A52:$S52,"&lt;&gt;")=0,"",IF(OR($D52="",$D52&lt;=0),"Trage einen Betrag größer als null ein.",IF($E52="","Wähle aus, wer bezahlt hat.",IF(COUNTIF($G52:$L52,"Ja")=0,"Wähle mindestens eine beteiligte Person aus.",IF($F52="Gleichmäßig unter Beteiligten","Geprüft",IF($F52="Vereinbarte Beträge",IF(OR(AND(G52="Ja",M52=""),AND(H52="Ja",N52=""),AND(I52="Ja",O52=""),AND(J52="Ja",P52=""),AND(K52="Ja",Q52=""),AND(L52="Ja",R52="")),"Trage die vereinbarten Beträge so ein, dass ihre Summe der Ausgabe entspricht.",IF(ABS(SUM($M52:$R52))&lt;0.005,"Trage die vereinbarten Beträge so ein, dass ihre Summe der Ausgabe entspricht.",IF(SUM($M52:$R52)&lt;$D52-0.005,"Bei der Aufteilung fehlen "&amp;ROUND($D52-SUM($M52:$R52),2)&amp;".",IF(SUM($M52:$R52)&gt;$D52+0.005,"Die Aufteilung übersteigt die Ausgabe um "&amp;ROUND(SUM($M52:$R52)-$D52,2)&amp;".","Geprüft")))),"Trage die vereinbarten Beträge so ein, dass ihre Summe der Ausgabe entspricht."))))))</f>
      </c>
    </row>
    <row r="53">
      <c r="A53" s="83"/>
      <c r="B53" s="57"/>
      <c r="C53" s="57"/>
      <c r="D53" s="85"/>
      <c r="E53" s="57"/>
      <c r="F53" s="57"/>
      <c r="G53" s="57"/>
      <c r="H53" s="57"/>
      <c r="I53" s="57"/>
      <c r="J53" s="57"/>
      <c r="K53" s="57"/>
      <c r="L53" s="57"/>
      <c r="M53" s="85"/>
      <c r="N53" s="85"/>
      <c r="O53" s="85"/>
      <c r="P53" s="85"/>
      <c r="Q53" s="85"/>
      <c r="R53" s="85"/>
      <c r="S53" s="57"/>
      <c r="T53" s="87" t="str">
        <f>IF(COUNTIF($A53:$S53,"&lt;&gt;")=0,"",IF($F53="Gleichmäßig unter Beteiligten",IF(G53&lt;&gt;"Ja",0,IF(COUNTIF($H53:$L53,"Ja")=0,$D53-0,ROUND($D53/COUNTIF($G53:$L53,"Ja"),2))),IF($F53="Vereinbarte Beträge",IF(G53="Ja",M53,0),"")))</f>
      </c>
      <c r="U53" s="87" t="str">
        <f>IF(COUNTIF($A53:$S53,"&lt;&gt;")=0,"",IF($F53="Gleichmäßig unter Beteiligten",IF(H53&lt;&gt;"Ja",0,IF(COUNTIF($I53:$L53,"Ja")=0,$D53-SUM($T53:T53),ROUND($D53/COUNTIF($G53:$L53,"Ja"),2))),IF($F53="Vereinbarte Beträge",IF(H53="Ja",N53,0),"")))</f>
      </c>
      <c r="V53" s="87" t="str">
        <f>IF(COUNTIF($A53:$S53,"&lt;&gt;")=0,"",IF($F53="Gleichmäßig unter Beteiligten",IF(I53&lt;&gt;"Ja",0,IF(COUNTIF($J53:$L53,"Ja")=0,$D53-SUM($T53:U53),ROUND($D53/COUNTIF($G53:$L53,"Ja"),2))),IF($F53="Vereinbarte Beträge",IF(I53="Ja",O53,0),"")))</f>
      </c>
      <c r="W53" s="87" t="str">
        <f>IF(COUNTIF($A53:$S53,"&lt;&gt;")=0,"",IF($F53="Gleichmäßig unter Beteiligten",IF(J53&lt;&gt;"Ja",0,IF(COUNTIF($K53:$L53,"Ja")=0,$D53-SUM($T53:V53),ROUND($D53/COUNTIF($G53:$L53,"Ja"),2))),IF($F53="Vereinbarte Beträge",IF(J53="Ja",P53,0),"")))</f>
      </c>
      <c r="X53" s="87" t="str">
        <f>IF(COUNTIF($A53:$S53,"&lt;&gt;")=0,"",IF($F53="Gleichmäßig unter Beteiligten",IF(K53&lt;&gt;"Ja",0,IF(COUNTIF($L53:$L53,"Ja")=0,$D53-SUM($T53:W53),ROUND($D53/COUNTIF($G53:$L53,"Ja"),2))),IF($F53="Vereinbarte Beträge",IF(K53="Ja",Q53,0),"")))</f>
      </c>
      <c r="Y53" s="87" t="str">
        <f>IF(COUNTIF($A53:$S53,"&lt;&gt;")=0,"",IF($F53="Gleichmäßig unter Beteiligten",IF(L53&lt;&gt;"Ja",0,IF(0=0,$D53-SUM($T53:X53),ROUND($D53/COUNTIF($G53:$L53,"Ja"),2))),IF($F53="Vereinbarte Beträge",IF(L53="Ja",R53,0),"")))</f>
      </c>
      <c r="Z53" s="81" t="str">
        <f>IF(COUNTIF($A53:$S53,"&lt;&gt;")=0,"",IF(OR($D53="",$D53&lt;=0),"Trage einen Betrag größer als null ein.",IF($E53="","Wähle aus, wer bezahlt hat.",IF(COUNTIF($G53:$L53,"Ja")=0,"Wähle mindestens eine beteiligte Person aus.",IF($F53="Gleichmäßig unter Beteiligten","Geprüft",IF($F53="Vereinbarte Beträge",IF(OR(AND(G53="Ja",M53=""),AND(H53="Ja",N53=""),AND(I53="Ja",O53=""),AND(J53="Ja",P53=""),AND(K53="Ja",Q53=""),AND(L53="Ja",R53="")),"Trage die vereinbarten Beträge so ein, dass ihre Summe der Ausgabe entspricht.",IF(ABS(SUM($M53:$R53))&lt;0.005,"Trage die vereinbarten Beträge so ein, dass ihre Summe der Ausgabe entspricht.",IF(SUM($M53:$R53)&lt;$D53-0.005,"Bei der Aufteilung fehlen "&amp;ROUND($D53-SUM($M53:$R53),2)&amp;".",IF(SUM($M53:$R53)&gt;$D53+0.005,"Die Aufteilung übersteigt die Ausgabe um "&amp;ROUND(SUM($M53:$R53)-$D53,2)&amp;".","Geprüft")))),"Trage die vereinbarten Beträge so ein, dass ihre Summe der Ausgabe entspricht."))))))</f>
      </c>
    </row>
    <row r="54">
      <c r="A54" s="83"/>
      <c r="B54" s="57"/>
      <c r="C54" s="57"/>
      <c r="D54" s="85"/>
      <c r="E54" s="57"/>
      <c r="F54" s="57"/>
      <c r="G54" s="57"/>
      <c r="H54" s="57"/>
      <c r="I54" s="57"/>
      <c r="J54" s="57"/>
      <c r="K54" s="57"/>
      <c r="L54" s="57"/>
      <c r="M54" s="85"/>
      <c r="N54" s="85"/>
      <c r="O54" s="85"/>
      <c r="P54" s="85"/>
      <c r="Q54" s="85"/>
      <c r="R54" s="85"/>
      <c r="S54" s="57"/>
      <c r="T54" s="87" t="str">
        <f>IF(COUNTIF($A54:$S54,"&lt;&gt;")=0,"",IF($F54="Gleichmäßig unter Beteiligten",IF(G54&lt;&gt;"Ja",0,IF(COUNTIF($H54:$L54,"Ja")=0,$D54-0,ROUND($D54/COUNTIF($G54:$L54,"Ja"),2))),IF($F54="Vereinbarte Beträge",IF(G54="Ja",M54,0),"")))</f>
      </c>
      <c r="U54" s="87" t="str">
        <f>IF(COUNTIF($A54:$S54,"&lt;&gt;")=0,"",IF($F54="Gleichmäßig unter Beteiligten",IF(H54&lt;&gt;"Ja",0,IF(COUNTIF($I54:$L54,"Ja")=0,$D54-SUM($T54:T54),ROUND($D54/COUNTIF($G54:$L54,"Ja"),2))),IF($F54="Vereinbarte Beträge",IF(H54="Ja",N54,0),"")))</f>
      </c>
      <c r="V54" s="87" t="str">
        <f>IF(COUNTIF($A54:$S54,"&lt;&gt;")=0,"",IF($F54="Gleichmäßig unter Beteiligten",IF(I54&lt;&gt;"Ja",0,IF(COUNTIF($J54:$L54,"Ja")=0,$D54-SUM($T54:U54),ROUND($D54/COUNTIF($G54:$L54,"Ja"),2))),IF($F54="Vereinbarte Beträge",IF(I54="Ja",O54,0),"")))</f>
      </c>
      <c r="W54" s="87" t="str">
        <f>IF(COUNTIF($A54:$S54,"&lt;&gt;")=0,"",IF($F54="Gleichmäßig unter Beteiligten",IF(J54&lt;&gt;"Ja",0,IF(COUNTIF($K54:$L54,"Ja")=0,$D54-SUM($T54:V54),ROUND($D54/COUNTIF($G54:$L54,"Ja"),2))),IF($F54="Vereinbarte Beträge",IF(J54="Ja",P54,0),"")))</f>
      </c>
      <c r="X54" s="87" t="str">
        <f>IF(COUNTIF($A54:$S54,"&lt;&gt;")=0,"",IF($F54="Gleichmäßig unter Beteiligten",IF(K54&lt;&gt;"Ja",0,IF(COUNTIF($L54:$L54,"Ja")=0,$D54-SUM($T54:W54),ROUND($D54/COUNTIF($G54:$L54,"Ja"),2))),IF($F54="Vereinbarte Beträge",IF(K54="Ja",Q54,0),"")))</f>
      </c>
      <c r="Y54" s="87" t="str">
        <f>IF(COUNTIF($A54:$S54,"&lt;&gt;")=0,"",IF($F54="Gleichmäßig unter Beteiligten",IF(L54&lt;&gt;"Ja",0,IF(0=0,$D54-SUM($T54:X54),ROUND($D54/COUNTIF($G54:$L54,"Ja"),2))),IF($F54="Vereinbarte Beträge",IF(L54="Ja",R54,0),"")))</f>
      </c>
      <c r="Z54" s="81" t="str">
        <f>IF(COUNTIF($A54:$S54,"&lt;&gt;")=0,"",IF(OR($D54="",$D54&lt;=0),"Trage einen Betrag größer als null ein.",IF($E54="","Wähle aus, wer bezahlt hat.",IF(COUNTIF($G54:$L54,"Ja")=0,"Wähle mindestens eine beteiligte Person aus.",IF($F54="Gleichmäßig unter Beteiligten","Geprüft",IF($F54="Vereinbarte Beträge",IF(OR(AND(G54="Ja",M54=""),AND(H54="Ja",N54=""),AND(I54="Ja",O54=""),AND(J54="Ja",P54=""),AND(K54="Ja",Q54=""),AND(L54="Ja",R54="")),"Trage die vereinbarten Beträge so ein, dass ihre Summe der Ausgabe entspricht.",IF(ABS(SUM($M54:$R54))&lt;0.005,"Trage die vereinbarten Beträge so ein, dass ihre Summe der Ausgabe entspricht.",IF(SUM($M54:$R54)&lt;$D54-0.005,"Bei der Aufteilung fehlen "&amp;ROUND($D54-SUM($M54:$R54),2)&amp;".",IF(SUM($M54:$R54)&gt;$D54+0.005,"Die Aufteilung übersteigt die Ausgabe um "&amp;ROUND(SUM($M54:$R54)-$D54,2)&amp;".","Geprüft")))),"Trage die vereinbarten Beträge so ein, dass ihre Summe der Ausgabe entspricht."))))))</f>
      </c>
    </row>
    <row r="55">
      <c r="A55" s="83"/>
      <c r="B55" s="57"/>
      <c r="C55" s="57"/>
      <c r="D55" s="85"/>
      <c r="E55" s="57"/>
      <c r="F55" s="57"/>
      <c r="G55" s="57"/>
      <c r="H55" s="57"/>
      <c r="I55" s="57"/>
      <c r="J55" s="57"/>
      <c r="K55" s="57"/>
      <c r="L55" s="57"/>
      <c r="M55" s="85"/>
      <c r="N55" s="85"/>
      <c r="O55" s="85"/>
      <c r="P55" s="85"/>
      <c r="Q55" s="85"/>
      <c r="R55" s="85"/>
      <c r="S55" s="57"/>
      <c r="T55" s="87" t="str">
        <f>IF(COUNTIF($A55:$S55,"&lt;&gt;")=0,"",IF($F55="Gleichmäßig unter Beteiligten",IF(G55&lt;&gt;"Ja",0,IF(COUNTIF($H55:$L55,"Ja")=0,$D55-0,ROUND($D55/COUNTIF($G55:$L55,"Ja"),2))),IF($F55="Vereinbarte Beträge",IF(G55="Ja",M55,0),"")))</f>
      </c>
      <c r="U55" s="87" t="str">
        <f>IF(COUNTIF($A55:$S55,"&lt;&gt;")=0,"",IF($F55="Gleichmäßig unter Beteiligten",IF(H55&lt;&gt;"Ja",0,IF(COUNTIF($I55:$L55,"Ja")=0,$D55-SUM($T55:T55),ROUND($D55/COUNTIF($G55:$L55,"Ja"),2))),IF($F55="Vereinbarte Beträge",IF(H55="Ja",N55,0),"")))</f>
      </c>
      <c r="V55" s="87" t="str">
        <f>IF(COUNTIF($A55:$S55,"&lt;&gt;")=0,"",IF($F55="Gleichmäßig unter Beteiligten",IF(I55&lt;&gt;"Ja",0,IF(COUNTIF($J55:$L55,"Ja")=0,$D55-SUM($T55:U55),ROUND($D55/COUNTIF($G55:$L55,"Ja"),2))),IF($F55="Vereinbarte Beträge",IF(I55="Ja",O55,0),"")))</f>
      </c>
      <c r="W55" s="87" t="str">
        <f>IF(COUNTIF($A55:$S55,"&lt;&gt;")=0,"",IF($F55="Gleichmäßig unter Beteiligten",IF(J55&lt;&gt;"Ja",0,IF(COUNTIF($K55:$L55,"Ja")=0,$D55-SUM($T55:V55),ROUND($D55/COUNTIF($G55:$L55,"Ja"),2))),IF($F55="Vereinbarte Beträge",IF(J55="Ja",P55,0),"")))</f>
      </c>
      <c r="X55" s="87" t="str">
        <f>IF(COUNTIF($A55:$S55,"&lt;&gt;")=0,"",IF($F55="Gleichmäßig unter Beteiligten",IF(K55&lt;&gt;"Ja",0,IF(COUNTIF($L55:$L55,"Ja")=0,$D55-SUM($T55:W55),ROUND($D55/COUNTIF($G55:$L55,"Ja"),2))),IF($F55="Vereinbarte Beträge",IF(K55="Ja",Q55,0),"")))</f>
      </c>
      <c r="Y55" s="87" t="str">
        <f>IF(COUNTIF($A55:$S55,"&lt;&gt;")=0,"",IF($F55="Gleichmäßig unter Beteiligten",IF(L55&lt;&gt;"Ja",0,IF(0=0,$D55-SUM($T55:X55),ROUND($D55/COUNTIF($G55:$L55,"Ja"),2))),IF($F55="Vereinbarte Beträge",IF(L55="Ja",R55,0),"")))</f>
      </c>
      <c r="Z55" s="81" t="str">
        <f>IF(COUNTIF($A55:$S55,"&lt;&gt;")=0,"",IF(OR($D55="",$D55&lt;=0),"Trage einen Betrag größer als null ein.",IF($E55="","Wähle aus, wer bezahlt hat.",IF(COUNTIF($G55:$L55,"Ja")=0,"Wähle mindestens eine beteiligte Person aus.",IF($F55="Gleichmäßig unter Beteiligten","Geprüft",IF($F55="Vereinbarte Beträge",IF(OR(AND(G55="Ja",M55=""),AND(H55="Ja",N55=""),AND(I55="Ja",O55=""),AND(J55="Ja",P55=""),AND(K55="Ja",Q55=""),AND(L55="Ja",R55="")),"Trage die vereinbarten Beträge so ein, dass ihre Summe der Ausgabe entspricht.",IF(ABS(SUM($M55:$R55))&lt;0.005,"Trage die vereinbarten Beträge so ein, dass ihre Summe der Ausgabe entspricht.",IF(SUM($M55:$R55)&lt;$D55-0.005,"Bei der Aufteilung fehlen "&amp;ROUND($D55-SUM($M55:$R55),2)&amp;".",IF(SUM($M55:$R55)&gt;$D55+0.005,"Die Aufteilung übersteigt die Ausgabe um "&amp;ROUND(SUM($M55:$R55)-$D55,2)&amp;".","Geprüft")))),"Trage die vereinbarten Beträge so ein, dass ihre Summe der Ausgabe entspricht."))))))</f>
      </c>
    </row>
    <row r="56">
      <c r="A56" s="83"/>
      <c r="B56" s="57"/>
      <c r="C56" s="57"/>
      <c r="D56" s="85"/>
      <c r="E56" s="57"/>
      <c r="F56" s="57"/>
      <c r="G56" s="57"/>
      <c r="H56" s="57"/>
      <c r="I56" s="57"/>
      <c r="J56" s="57"/>
      <c r="K56" s="57"/>
      <c r="L56" s="57"/>
      <c r="M56" s="85"/>
      <c r="N56" s="85"/>
      <c r="O56" s="85"/>
      <c r="P56" s="85"/>
      <c r="Q56" s="85"/>
      <c r="R56" s="85"/>
      <c r="S56" s="57"/>
      <c r="T56" s="87" t="str">
        <f>IF(COUNTIF($A56:$S56,"&lt;&gt;")=0,"",IF($F56="Gleichmäßig unter Beteiligten",IF(G56&lt;&gt;"Ja",0,IF(COUNTIF($H56:$L56,"Ja")=0,$D56-0,ROUND($D56/COUNTIF($G56:$L56,"Ja"),2))),IF($F56="Vereinbarte Beträge",IF(G56="Ja",M56,0),"")))</f>
      </c>
      <c r="U56" s="87" t="str">
        <f>IF(COUNTIF($A56:$S56,"&lt;&gt;")=0,"",IF($F56="Gleichmäßig unter Beteiligten",IF(H56&lt;&gt;"Ja",0,IF(COUNTIF($I56:$L56,"Ja")=0,$D56-SUM($T56:T56),ROUND($D56/COUNTIF($G56:$L56,"Ja"),2))),IF($F56="Vereinbarte Beträge",IF(H56="Ja",N56,0),"")))</f>
      </c>
      <c r="V56" s="87" t="str">
        <f>IF(COUNTIF($A56:$S56,"&lt;&gt;")=0,"",IF($F56="Gleichmäßig unter Beteiligten",IF(I56&lt;&gt;"Ja",0,IF(COUNTIF($J56:$L56,"Ja")=0,$D56-SUM($T56:U56),ROUND($D56/COUNTIF($G56:$L56,"Ja"),2))),IF($F56="Vereinbarte Beträge",IF(I56="Ja",O56,0),"")))</f>
      </c>
      <c r="W56" s="87" t="str">
        <f>IF(COUNTIF($A56:$S56,"&lt;&gt;")=0,"",IF($F56="Gleichmäßig unter Beteiligten",IF(J56&lt;&gt;"Ja",0,IF(COUNTIF($K56:$L56,"Ja")=0,$D56-SUM($T56:V56),ROUND($D56/COUNTIF($G56:$L56,"Ja"),2))),IF($F56="Vereinbarte Beträge",IF(J56="Ja",P56,0),"")))</f>
      </c>
      <c r="X56" s="87" t="str">
        <f>IF(COUNTIF($A56:$S56,"&lt;&gt;")=0,"",IF($F56="Gleichmäßig unter Beteiligten",IF(K56&lt;&gt;"Ja",0,IF(COUNTIF($L56:$L56,"Ja")=0,$D56-SUM($T56:W56),ROUND($D56/COUNTIF($G56:$L56,"Ja"),2))),IF($F56="Vereinbarte Beträge",IF(K56="Ja",Q56,0),"")))</f>
      </c>
      <c r="Y56" s="87" t="str">
        <f>IF(COUNTIF($A56:$S56,"&lt;&gt;")=0,"",IF($F56="Gleichmäßig unter Beteiligten",IF(L56&lt;&gt;"Ja",0,IF(0=0,$D56-SUM($T56:X56),ROUND($D56/COUNTIF($G56:$L56,"Ja"),2))),IF($F56="Vereinbarte Beträge",IF(L56="Ja",R56,0),"")))</f>
      </c>
      <c r="Z56" s="81" t="str">
        <f>IF(COUNTIF($A56:$S56,"&lt;&gt;")=0,"",IF(OR($D56="",$D56&lt;=0),"Trage einen Betrag größer als null ein.",IF($E56="","Wähle aus, wer bezahlt hat.",IF(COUNTIF($G56:$L56,"Ja")=0,"Wähle mindestens eine beteiligte Person aus.",IF($F56="Gleichmäßig unter Beteiligten","Geprüft",IF($F56="Vereinbarte Beträge",IF(OR(AND(G56="Ja",M56=""),AND(H56="Ja",N56=""),AND(I56="Ja",O56=""),AND(J56="Ja",P56=""),AND(K56="Ja",Q56=""),AND(L56="Ja",R56="")),"Trage die vereinbarten Beträge so ein, dass ihre Summe der Ausgabe entspricht.",IF(ABS(SUM($M56:$R56))&lt;0.005,"Trage die vereinbarten Beträge so ein, dass ihre Summe der Ausgabe entspricht.",IF(SUM($M56:$R56)&lt;$D56-0.005,"Bei der Aufteilung fehlen "&amp;ROUND($D56-SUM($M56:$R56),2)&amp;".",IF(SUM($M56:$R56)&gt;$D56+0.005,"Die Aufteilung übersteigt die Ausgabe um "&amp;ROUND(SUM($M56:$R56)-$D56,2)&amp;".","Geprüft")))),"Trage die vereinbarten Beträge so ein, dass ihre Summe der Ausgabe entspricht."))))))</f>
      </c>
    </row>
    <row r="57">
      <c r="A57" s="83"/>
      <c r="B57" s="57"/>
      <c r="C57" s="57"/>
      <c r="D57" s="85"/>
      <c r="E57" s="57"/>
      <c r="F57" s="57"/>
      <c r="G57" s="57"/>
      <c r="H57" s="57"/>
      <c r="I57" s="57"/>
      <c r="J57" s="57"/>
      <c r="K57" s="57"/>
      <c r="L57" s="57"/>
      <c r="M57" s="85"/>
      <c r="N57" s="85"/>
      <c r="O57" s="85"/>
      <c r="P57" s="85"/>
      <c r="Q57" s="85"/>
      <c r="R57" s="85"/>
      <c r="S57" s="57"/>
      <c r="T57" s="87" t="str">
        <f>IF(COUNTIF($A57:$S57,"&lt;&gt;")=0,"",IF($F57="Gleichmäßig unter Beteiligten",IF(G57&lt;&gt;"Ja",0,IF(COUNTIF($H57:$L57,"Ja")=0,$D57-0,ROUND($D57/COUNTIF($G57:$L57,"Ja"),2))),IF($F57="Vereinbarte Beträge",IF(G57="Ja",M57,0),"")))</f>
      </c>
      <c r="U57" s="87" t="str">
        <f>IF(COUNTIF($A57:$S57,"&lt;&gt;")=0,"",IF($F57="Gleichmäßig unter Beteiligten",IF(H57&lt;&gt;"Ja",0,IF(COUNTIF($I57:$L57,"Ja")=0,$D57-SUM($T57:T57),ROUND($D57/COUNTIF($G57:$L57,"Ja"),2))),IF($F57="Vereinbarte Beträge",IF(H57="Ja",N57,0),"")))</f>
      </c>
      <c r="V57" s="87" t="str">
        <f>IF(COUNTIF($A57:$S57,"&lt;&gt;")=0,"",IF($F57="Gleichmäßig unter Beteiligten",IF(I57&lt;&gt;"Ja",0,IF(COUNTIF($J57:$L57,"Ja")=0,$D57-SUM($T57:U57),ROUND($D57/COUNTIF($G57:$L57,"Ja"),2))),IF($F57="Vereinbarte Beträge",IF(I57="Ja",O57,0),"")))</f>
      </c>
      <c r="W57" s="87" t="str">
        <f>IF(COUNTIF($A57:$S57,"&lt;&gt;")=0,"",IF($F57="Gleichmäßig unter Beteiligten",IF(J57&lt;&gt;"Ja",0,IF(COUNTIF($K57:$L57,"Ja")=0,$D57-SUM($T57:V57),ROUND($D57/COUNTIF($G57:$L57,"Ja"),2))),IF($F57="Vereinbarte Beträge",IF(J57="Ja",P57,0),"")))</f>
      </c>
      <c r="X57" s="87" t="str">
        <f>IF(COUNTIF($A57:$S57,"&lt;&gt;")=0,"",IF($F57="Gleichmäßig unter Beteiligten",IF(K57&lt;&gt;"Ja",0,IF(COUNTIF($L57:$L57,"Ja")=0,$D57-SUM($T57:W57),ROUND($D57/COUNTIF($G57:$L57,"Ja"),2))),IF($F57="Vereinbarte Beträge",IF(K57="Ja",Q57,0),"")))</f>
      </c>
      <c r="Y57" s="87" t="str">
        <f>IF(COUNTIF($A57:$S57,"&lt;&gt;")=0,"",IF($F57="Gleichmäßig unter Beteiligten",IF(L57&lt;&gt;"Ja",0,IF(0=0,$D57-SUM($T57:X57),ROUND($D57/COUNTIF($G57:$L57,"Ja"),2))),IF($F57="Vereinbarte Beträge",IF(L57="Ja",R57,0),"")))</f>
      </c>
      <c r="Z57" s="81" t="str">
        <f>IF(COUNTIF($A57:$S57,"&lt;&gt;")=0,"",IF(OR($D57="",$D57&lt;=0),"Trage einen Betrag größer als null ein.",IF($E57="","Wähle aus, wer bezahlt hat.",IF(COUNTIF($G57:$L57,"Ja")=0,"Wähle mindestens eine beteiligte Person aus.",IF($F57="Gleichmäßig unter Beteiligten","Geprüft",IF($F57="Vereinbarte Beträge",IF(OR(AND(G57="Ja",M57=""),AND(H57="Ja",N57=""),AND(I57="Ja",O57=""),AND(J57="Ja",P57=""),AND(K57="Ja",Q57=""),AND(L57="Ja",R57="")),"Trage die vereinbarten Beträge so ein, dass ihre Summe der Ausgabe entspricht.",IF(ABS(SUM($M57:$R57))&lt;0.005,"Trage die vereinbarten Beträge so ein, dass ihre Summe der Ausgabe entspricht.",IF(SUM($M57:$R57)&lt;$D57-0.005,"Bei der Aufteilung fehlen "&amp;ROUND($D57-SUM($M57:$R57),2)&amp;".",IF(SUM($M57:$R57)&gt;$D57+0.005,"Die Aufteilung übersteigt die Ausgabe um "&amp;ROUND(SUM($M57:$R57)-$D57,2)&amp;".","Geprüft")))),"Trage die vereinbarten Beträge so ein, dass ihre Summe der Ausgabe entspricht."))))))</f>
      </c>
    </row>
    <row r="58">
      <c r="A58" s="83"/>
      <c r="B58" s="57"/>
      <c r="C58" s="57"/>
      <c r="D58" s="85"/>
      <c r="E58" s="57"/>
      <c r="F58" s="57"/>
      <c r="G58" s="57"/>
      <c r="H58" s="57"/>
      <c r="I58" s="57"/>
      <c r="J58" s="57"/>
      <c r="K58" s="57"/>
      <c r="L58" s="57"/>
      <c r="M58" s="85"/>
      <c r="N58" s="85"/>
      <c r="O58" s="85"/>
      <c r="P58" s="85"/>
      <c r="Q58" s="85"/>
      <c r="R58" s="85"/>
      <c r="S58" s="57"/>
      <c r="T58" s="87" t="str">
        <f>IF(COUNTIF($A58:$S58,"&lt;&gt;")=0,"",IF($F58="Gleichmäßig unter Beteiligten",IF(G58&lt;&gt;"Ja",0,IF(COUNTIF($H58:$L58,"Ja")=0,$D58-0,ROUND($D58/COUNTIF($G58:$L58,"Ja"),2))),IF($F58="Vereinbarte Beträge",IF(G58="Ja",M58,0),"")))</f>
      </c>
      <c r="U58" s="87" t="str">
        <f>IF(COUNTIF($A58:$S58,"&lt;&gt;")=0,"",IF($F58="Gleichmäßig unter Beteiligten",IF(H58&lt;&gt;"Ja",0,IF(COUNTIF($I58:$L58,"Ja")=0,$D58-SUM($T58:T58),ROUND($D58/COUNTIF($G58:$L58,"Ja"),2))),IF($F58="Vereinbarte Beträge",IF(H58="Ja",N58,0),"")))</f>
      </c>
      <c r="V58" s="87" t="str">
        <f>IF(COUNTIF($A58:$S58,"&lt;&gt;")=0,"",IF($F58="Gleichmäßig unter Beteiligten",IF(I58&lt;&gt;"Ja",0,IF(COUNTIF($J58:$L58,"Ja")=0,$D58-SUM($T58:U58),ROUND($D58/COUNTIF($G58:$L58,"Ja"),2))),IF($F58="Vereinbarte Beträge",IF(I58="Ja",O58,0),"")))</f>
      </c>
      <c r="W58" s="87" t="str">
        <f>IF(COUNTIF($A58:$S58,"&lt;&gt;")=0,"",IF($F58="Gleichmäßig unter Beteiligten",IF(J58&lt;&gt;"Ja",0,IF(COUNTIF($K58:$L58,"Ja")=0,$D58-SUM($T58:V58),ROUND($D58/COUNTIF($G58:$L58,"Ja"),2))),IF($F58="Vereinbarte Beträge",IF(J58="Ja",P58,0),"")))</f>
      </c>
      <c r="X58" s="87" t="str">
        <f>IF(COUNTIF($A58:$S58,"&lt;&gt;")=0,"",IF($F58="Gleichmäßig unter Beteiligten",IF(K58&lt;&gt;"Ja",0,IF(COUNTIF($L58:$L58,"Ja")=0,$D58-SUM($T58:W58),ROUND($D58/COUNTIF($G58:$L58,"Ja"),2))),IF($F58="Vereinbarte Beträge",IF(K58="Ja",Q58,0),"")))</f>
      </c>
      <c r="Y58" s="87" t="str">
        <f>IF(COUNTIF($A58:$S58,"&lt;&gt;")=0,"",IF($F58="Gleichmäßig unter Beteiligten",IF(L58&lt;&gt;"Ja",0,IF(0=0,$D58-SUM($T58:X58),ROUND($D58/COUNTIF($G58:$L58,"Ja"),2))),IF($F58="Vereinbarte Beträge",IF(L58="Ja",R58,0),"")))</f>
      </c>
      <c r="Z58" s="81" t="str">
        <f>IF(COUNTIF($A58:$S58,"&lt;&gt;")=0,"",IF(OR($D58="",$D58&lt;=0),"Trage einen Betrag größer als null ein.",IF($E58="","Wähle aus, wer bezahlt hat.",IF(COUNTIF($G58:$L58,"Ja")=0,"Wähle mindestens eine beteiligte Person aus.",IF($F58="Gleichmäßig unter Beteiligten","Geprüft",IF($F58="Vereinbarte Beträge",IF(OR(AND(G58="Ja",M58=""),AND(H58="Ja",N58=""),AND(I58="Ja",O58=""),AND(J58="Ja",P58=""),AND(K58="Ja",Q58=""),AND(L58="Ja",R58="")),"Trage die vereinbarten Beträge so ein, dass ihre Summe der Ausgabe entspricht.",IF(ABS(SUM($M58:$R58))&lt;0.005,"Trage die vereinbarten Beträge so ein, dass ihre Summe der Ausgabe entspricht.",IF(SUM($M58:$R58)&lt;$D58-0.005,"Bei der Aufteilung fehlen "&amp;ROUND($D58-SUM($M58:$R58),2)&amp;".",IF(SUM($M58:$R58)&gt;$D58+0.005,"Die Aufteilung übersteigt die Ausgabe um "&amp;ROUND(SUM($M58:$R58)-$D58,2)&amp;".","Geprüft")))),"Trage die vereinbarten Beträge so ein, dass ihre Summe der Ausgabe entspricht."))))))</f>
      </c>
    </row>
    <row r="59">
      <c r="A59" s="83"/>
      <c r="B59" s="57"/>
      <c r="C59" s="57"/>
      <c r="D59" s="85"/>
      <c r="E59" s="57"/>
      <c r="F59" s="57"/>
      <c r="G59" s="57"/>
      <c r="H59" s="57"/>
      <c r="I59" s="57"/>
      <c r="J59" s="57"/>
      <c r="K59" s="57"/>
      <c r="L59" s="57"/>
      <c r="M59" s="85"/>
      <c r="N59" s="85"/>
      <c r="O59" s="85"/>
      <c r="P59" s="85"/>
      <c r="Q59" s="85"/>
      <c r="R59" s="85"/>
      <c r="S59" s="57"/>
      <c r="T59" s="87" t="str">
        <f>IF(COUNTIF($A59:$S59,"&lt;&gt;")=0,"",IF($F59="Gleichmäßig unter Beteiligten",IF(G59&lt;&gt;"Ja",0,IF(COUNTIF($H59:$L59,"Ja")=0,$D59-0,ROUND($D59/COUNTIF($G59:$L59,"Ja"),2))),IF($F59="Vereinbarte Beträge",IF(G59="Ja",M59,0),"")))</f>
      </c>
      <c r="U59" s="87" t="str">
        <f>IF(COUNTIF($A59:$S59,"&lt;&gt;")=0,"",IF($F59="Gleichmäßig unter Beteiligten",IF(H59&lt;&gt;"Ja",0,IF(COUNTIF($I59:$L59,"Ja")=0,$D59-SUM($T59:T59),ROUND($D59/COUNTIF($G59:$L59,"Ja"),2))),IF($F59="Vereinbarte Beträge",IF(H59="Ja",N59,0),"")))</f>
      </c>
      <c r="V59" s="87" t="str">
        <f>IF(COUNTIF($A59:$S59,"&lt;&gt;")=0,"",IF($F59="Gleichmäßig unter Beteiligten",IF(I59&lt;&gt;"Ja",0,IF(COUNTIF($J59:$L59,"Ja")=0,$D59-SUM($T59:U59),ROUND($D59/COUNTIF($G59:$L59,"Ja"),2))),IF($F59="Vereinbarte Beträge",IF(I59="Ja",O59,0),"")))</f>
      </c>
      <c r="W59" s="87" t="str">
        <f>IF(COUNTIF($A59:$S59,"&lt;&gt;")=0,"",IF($F59="Gleichmäßig unter Beteiligten",IF(J59&lt;&gt;"Ja",0,IF(COUNTIF($K59:$L59,"Ja")=0,$D59-SUM($T59:V59),ROUND($D59/COUNTIF($G59:$L59,"Ja"),2))),IF($F59="Vereinbarte Beträge",IF(J59="Ja",P59,0),"")))</f>
      </c>
      <c r="X59" s="87" t="str">
        <f>IF(COUNTIF($A59:$S59,"&lt;&gt;")=0,"",IF($F59="Gleichmäßig unter Beteiligten",IF(K59&lt;&gt;"Ja",0,IF(COUNTIF($L59:$L59,"Ja")=0,$D59-SUM($T59:W59),ROUND($D59/COUNTIF($G59:$L59,"Ja"),2))),IF($F59="Vereinbarte Beträge",IF(K59="Ja",Q59,0),"")))</f>
      </c>
      <c r="Y59" s="87" t="str">
        <f>IF(COUNTIF($A59:$S59,"&lt;&gt;")=0,"",IF($F59="Gleichmäßig unter Beteiligten",IF(L59&lt;&gt;"Ja",0,IF(0=0,$D59-SUM($T59:X59),ROUND($D59/COUNTIF($G59:$L59,"Ja"),2))),IF($F59="Vereinbarte Beträge",IF(L59="Ja",R59,0),"")))</f>
      </c>
      <c r="Z59" s="81" t="str">
        <f>IF(COUNTIF($A59:$S59,"&lt;&gt;")=0,"",IF(OR($D59="",$D59&lt;=0),"Trage einen Betrag größer als null ein.",IF($E59="","Wähle aus, wer bezahlt hat.",IF(COUNTIF($G59:$L59,"Ja")=0,"Wähle mindestens eine beteiligte Person aus.",IF($F59="Gleichmäßig unter Beteiligten","Geprüft",IF($F59="Vereinbarte Beträge",IF(OR(AND(G59="Ja",M59=""),AND(H59="Ja",N59=""),AND(I59="Ja",O59=""),AND(J59="Ja",P59=""),AND(K59="Ja",Q59=""),AND(L59="Ja",R59="")),"Trage die vereinbarten Beträge so ein, dass ihre Summe der Ausgabe entspricht.",IF(ABS(SUM($M59:$R59))&lt;0.005,"Trage die vereinbarten Beträge so ein, dass ihre Summe der Ausgabe entspricht.",IF(SUM($M59:$R59)&lt;$D59-0.005,"Bei der Aufteilung fehlen "&amp;ROUND($D59-SUM($M59:$R59),2)&amp;".",IF(SUM($M59:$R59)&gt;$D59+0.005,"Die Aufteilung übersteigt die Ausgabe um "&amp;ROUND(SUM($M59:$R59)-$D59,2)&amp;".","Geprüft")))),"Trage die vereinbarten Beträge so ein, dass ihre Summe der Ausgabe entspricht."))))))</f>
      </c>
    </row>
    <row r="60">
      <c r="A60" s="83"/>
      <c r="B60" s="57"/>
      <c r="C60" s="57"/>
      <c r="D60" s="85"/>
      <c r="E60" s="57"/>
      <c r="F60" s="57"/>
      <c r="G60" s="57"/>
      <c r="H60" s="57"/>
      <c r="I60" s="57"/>
      <c r="J60" s="57"/>
      <c r="K60" s="57"/>
      <c r="L60" s="57"/>
      <c r="M60" s="85"/>
      <c r="N60" s="85"/>
      <c r="O60" s="85"/>
      <c r="P60" s="85"/>
      <c r="Q60" s="85"/>
      <c r="R60" s="85"/>
      <c r="S60" s="57"/>
      <c r="T60" s="87" t="str">
        <f>IF(COUNTIF($A60:$S60,"&lt;&gt;")=0,"",IF($F60="Gleichmäßig unter Beteiligten",IF(G60&lt;&gt;"Ja",0,IF(COUNTIF($H60:$L60,"Ja")=0,$D60-0,ROUND($D60/COUNTIF($G60:$L60,"Ja"),2))),IF($F60="Vereinbarte Beträge",IF(G60="Ja",M60,0),"")))</f>
      </c>
      <c r="U60" s="87" t="str">
        <f>IF(COUNTIF($A60:$S60,"&lt;&gt;")=0,"",IF($F60="Gleichmäßig unter Beteiligten",IF(H60&lt;&gt;"Ja",0,IF(COUNTIF($I60:$L60,"Ja")=0,$D60-SUM($T60:T60),ROUND($D60/COUNTIF($G60:$L60,"Ja"),2))),IF($F60="Vereinbarte Beträge",IF(H60="Ja",N60,0),"")))</f>
      </c>
      <c r="V60" s="87" t="str">
        <f>IF(COUNTIF($A60:$S60,"&lt;&gt;")=0,"",IF($F60="Gleichmäßig unter Beteiligten",IF(I60&lt;&gt;"Ja",0,IF(COUNTIF($J60:$L60,"Ja")=0,$D60-SUM($T60:U60),ROUND($D60/COUNTIF($G60:$L60,"Ja"),2))),IF($F60="Vereinbarte Beträge",IF(I60="Ja",O60,0),"")))</f>
      </c>
      <c r="W60" s="87" t="str">
        <f>IF(COUNTIF($A60:$S60,"&lt;&gt;")=0,"",IF($F60="Gleichmäßig unter Beteiligten",IF(J60&lt;&gt;"Ja",0,IF(COUNTIF($K60:$L60,"Ja")=0,$D60-SUM($T60:V60),ROUND($D60/COUNTIF($G60:$L60,"Ja"),2))),IF($F60="Vereinbarte Beträge",IF(J60="Ja",P60,0),"")))</f>
      </c>
      <c r="X60" s="87" t="str">
        <f>IF(COUNTIF($A60:$S60,"&lt;&gt;")=0,"",IF($F60="Gleichmäßig unter Beteiligten",IF(K60&lt;&gt;"Ja",0,IF(COUNTIF($L60:$L60,"Ja")=0,$D60-SUM($T60:W60),ROUND($D60/COUNTIF($G60:$L60,"Ja"),2))),IF($F60="Vereinbarte Beträge",IF(K60="Ja",Q60,0),"")))</f>
      </c>
      <c r="Y60" s="87" t="str">
        <f>IF(COUNTIF($A60:$S60,"&lt;&gt;")=0,"",IF($F60="Gleichmäßig unter Beteiligten",IF(L60&lt;&gt;"Ja",0,IF(0=0,$D60-SUM($T60:X60),ROUND($D60/COUNTIF($G60:$L60,"Ja"),2))),IF($F60="Vereinbarte Beträge",IF(L60="Ja",R60,0),"")))</f>
      </c>
      <c r="Z60" s="81" t="str">
        <f>IF(COUNTIF($A60:$S60,"&lt;&gt;")=0,"",IF(OR($D60="",$D60&lt;=0),"Trage einen Betrag größer als null ein.",IF($E60="","Wähle aus, wer bezahlt hat.",IF(COUNTIF($G60:$L60,"Ja")=0,"Wähle mindestens eine beteiligte Person aus.",IF($F60="Gleichmäßig unter Beteiligten","Geprüft",IF($F60="Vereinbarte Beträge",IF(OR(AND(G60="Ja",M60=""),AND(H60="Ja",N60=""),AND(I60="Ja",O60=""),AND(J60="Ja",P60=""),AND(K60="Ja",Q60=""),AND(L60="Ja",R60="")),"Trage die vereinbarten Beträge so ein, dass ihre Summe der Ausgabe entspricht.",IF(ABS(SUM($M60:$R60))&lt;0.005,"Trage die vereinbarten Beträge so ein, dass ihre Summe der Ausgabe entspricht.",IF(SUM($M60:$R60)&lt;$D60-0.005,"Bei der Aufteilung fehlen "&amp;ROUND($D60-SUM($M60:$R60),2)&amp;".",IF(SUM($M60:$R60)&gt;$D60+0.005,"Die Aufteilung übersteigt die Ausgabe um "&amp;ROUND(SUM($M60:$R60)-$D60,2)&amp;".","Geprüft")))),"Trage die vereinbarten Beträge so ein, dass ihre Summe der Ausgabe entspricht."))))))</f>
      </c>
    </row>
    <row r="61">
      <c r="A61" s="83"/>
      <c r="B61" s="57"/>
      <c r="C61" s="57"/>
      <c r="D61" s="85"/>
      <c r="E61" s="57"/>
      <c r="F61" s="57"/>
      <c r="G61" s="57"/>
      <c r="H61" s="57"/>
      <c r="I61" s="57"/>
      <c r="J61" s="57"/>
      <c r="K61" s="57"/>
      <c r="L61" s="57"/>
      <c r="M61" s="85"/>
      <c r="N61" s="85"/>
      <c r="O61" s="85"/>
      <c r="P61" s="85"/>
      <c r="Q61" s="85"/>
      <c r="R61" s="85"/>
      <c r="S61" s="57"/>
      <c r="T61" s="87" t="str">
        <f>IF(COUNTIF($A61:$S61,"&lt;&gt;")=0,"",IF($F61="Gleichmäßig unter Beteiligten",IF(G61&lt;&gt;"Ja",0,IF(COUNTIF($H61:$L61,"Ja")=0,$D61-0,ROUND($D61/COUNTIF($G61:$L61,"Ja"),2))),IF($F61="Vereinbarte Beträge",IF(G61="Ja",M61,0),"")))</f>
      </c>
      <c r="U61" s="87" t="str">
        <f>IF(COUNTIF($A61:$S61,"&lt;&gt;")=0,"",IF($F61="Gleichmäßig unter Beteiligten",IF(H61&lt;&gt;"Ja",0,IF(COUNTIF($I61:$L61,"Ja")=0,$D61-SUM($T61:T61),ROUND($D61/COUNTIF($G61:$L61,"Ja"),2))),IF($F61="Vereinbarte Beträge",IF(H61="Ja",N61,0),"")))</f>
      </c>
      <c r="V61" s="87" t="str">
        <f>IF(COUNTIF($A61:$S61,"&lt;&gt;")=0,"",IF($F61="Gleichmäßig unter Beteiligten",IF(I61&lt;&gt;"Ja",0,IF(COUNTIF($J61:$L61,"Ja")=0,$D61-SUM($T61:U61),ROUND($D61/COUNTIF($G61:$L61,"Ja"),2))),IF($F61="Vereinbarte Beträge",IF(I61="Ja",O61,0),"")))</f>
      </c>
      <c r="W61" s="87" t="str">
        <f>IF(COUNTIF($A61:$S61,"&lt;&gt;")=0,"",IF($F61="Gleichmäßig unter Beteiligten",IF(J61&lt;&gt;"Ja",0,IF(COUNTIF($K61:$L61,"Ja")=0,$D61-SUM($T61:V61),ROUND($D61/COUNTIF($G61:$L61,"Ja"),2))),IF($F61="Vereinbarte Beträge",IF(J61="Ja",P61,0),"")))</f>
      </c>
      <c r="X61" s="87" t="str">
        <f>IF(COUNTIF($A61:$S61,"&lt;&gt;")=0,"",IF($F61="Gleichmäßig unter Beteiligten",IF(K61&lt;&gt;"Ja",0,IF(COUNTIF($L61:$L61,"Ja")=0,$D61-SUM($T61:W61),ROUND($D61/COUNTIF($G61:$L61,"Ja"),2))),IF($F61="Vereinbarte Beträge",IF(K61="Ja",Q61,0),"")))</f>
      </c>
      <c r="Y61" s="87" t="str">
        <f>IF(COUNTIF($A61:$S61,"&lt;&gt;")=0,"",IF($F61="Gleichmäßig unter Beteiligten",IF(L61&lt;&gt;"Ja",0,IF(0=0,$D61-SUM($T61:X61),ROUND($D61/COUNTIF($G61:$L61,"Ja"),2))),IF($F61="Vereinbarte Beträge",IF(L61="Ja",R61,0),"")))</f>
      </c>
      <c r="Z61" s="81" t="str">
        <f>IF(COUNTIF($A61:$S61,"&lt;&gt;")=0,"",IF(OR($D61="",$D61&lt;=0),"Trage einen Betrag größer als null ein.",IF($E61="","Wähle aus, wer bezahlt hat.",IF(COUNTIF($G61:$L61,"Ja")=0,"Wähle mindestens eine beteiligte Person aus.",IF($F61="Gleichmäßig unter Beteiligten","Geprüft",IF($F61="Vereinbarte Beträge",IF(OR(AND(G61="Ja",M61=""),AND(H61="Ja",N61=""),AND(I61="Ja",O61=""),AND(J61="Ja",P61=""),AND(K61="Ja",Q61=""),AND(L61="Ja",R61="")),"Trage die vereinbarten Beträge so ein, dass ihre Summe der Ausgabe entspricht.",IF(ABS(SUM($M61:$R61))&lt;0.005,"Trage die vereinbarten Beträge so ein, dass ihre Summe der Ausgabe entspricht.",IF(SUM($M61:$R61)&lt;$D61-0.005,"Bei der Aufteilung fehlen "&amp;ROUND($D61-SUM($M61:$R61),2)&amp;".",IF(SUM($M61:$R61)&gt;$D61+0.005,"Die Aufteilung übersteigt die Ausgabe um "&amp;ROUND(SUM($M61:$R61)-$D61,2)&amp;".","Geprüft")))),"Trage die vereinbarten Beträge so ein, dass ihre Summe der Ausgabe entspricht."))))))</f>
      </c>
    </row>
    <row r="62">
      <c r="A62" s="83"/>
      <c r="B62" s="57"/>
      <c r="C62" s="57"/>
      <c r="D62" s="85"/>
      <c r="E62" s="57"/>
      <c r="F62" s="57"/>
      <c r="G62" s="57"/>
      <c r="H62" s="57"/>
      <c r="I62" s="57"/>
      <c r="J62" s="57"/>
      <c r="K62" s="57"/>
      <c r="L62" s="57"/>
      <c r="M62" s="85"/>
      <c r="N62" s="85"/>
      <c r="O62" s="85"/>
      <c r="P62" s="85"/>
      <c r="Q62" s="85"/>
      <c r="R62" s="85"/>
      <c r="S62" s="57"/>
      <c r="T62" s="87" t="str">
        <f>IF(COUNTIF($A62:$S62,"&lt;&gt;")=0,"",IF($F62="Gleichmäßig unter Beteiligten",IF(G62&lt;&gt;"Ja",0,IF(COUNTIF($H62:$L62,"Ja")=0,$D62-0,ROUND($D62/COUNTIF($G62:$L62,"Ja"),2))),IF($F62="Vereinbarte Beträge",IF(G62="Ja",M62,0),"")))</f>
      </c>
      <c r="U62" s="87" t="str">
        <f>IF(COUNTIF($A62:$S62,"&lt;&gt;")=0,"",IF($F62="Gleichmäßig unter Beteiligten",IF(H62&lt;&gt;"Ja",0,IF(COUNTIF($I62:$L62,"Ja")=0,$D62-SUM($T62:T62),ROUND($D62/COUNTIF($G62:$L62,"Ja"),2))),IF($F62="Vereinbarte Beträge",IF(H62="Ja",N62,0),"")))</f>
      </c>
      <c r="V62" s="87" t="str">
        <f>IF(COUNTIF($A62:$S62,"&lt;&gt;")=0,"",IF($F62="Gleichmäßig unter Beteiligten",IF(I62&lt;&gt;"Ja",0,IF(COUNTIF($J62:$L62,"Ja")=0,$D62-SUM($T62:U62),ROUND($D62/COUNTIF($G62:$L62,"Ja"),2))),IF($F62="Vereinbarte Beträge",IF(I62="Ja",O62,0),"")))</f>
      </c>
      <c r="W62" s="87" t="str">
        <f>IF(COUNTIF($A62:$S62,"&lt;&gt;")=0,"",IF($F62="Gleichmäßig unter Beteiligten",IF(J62&lt;&gt;"Ja",0,IF(COUNTIF($K62:$L62,"Ja")=0,$D62-SUM($T62:V62),ROUND($D62/COUNTIF($G62:$L62,"Ja"),2))),IF($F62="Vereinbarte Beträge",IF(J62="Ja",P62,0),"")))</f>
      </c>
      <c r="X62" s="87" t="str">
        <f>IF(COUNTIF($A62:$S62,"&lt;&gt;")=0,"",IF($F62="Gleichmäßig unter Beteiligten",IF(K62&lt;&gt;"Ja",0,IF(COUNTIF($L62:$L62,"Ja")=0,$D62-SUM($T62:W62),ROUND($D62/COUNTIF($G62:$L62,"Ja"),2))),IF($F62="Vereinbarte Beträge",IF(K62="Ja",Q62,0),"")))</f>
      </c>
      <c r="Y62" s="87" t="str">
        <f>IF(COUNTIF($A62:$S62,"&lt;&gt;")=0,"",IF($F62="Gleichmäßig unter Beteiligten",IF(L62&lt;&gt;"Ja",0,IF(0=0,$D62-SUM($T62:X62),ROUND($D62/COUNTIF($G62:$L62,"Ja"),2))),IF($F62="Vereinbarte Beträge",IF(L62="Ja",R62,0),"")))</f>
      </c>
      <c r="Z62" s="81" t="str">
        <f>IF(COUNTIF($A62:$S62,"&lt;&gt;")=0,"",IF(OR($D62="",$D62&lt;=0),"Trage einen Betrag größer als null ein.",IF($E62="","Wähle aus, wer bezahlt hat.",IF(COUNTIF($G62:$L62,"Ja")=0,"Wähle mindestens eine beteiligte Person aus.",IF($F62="Gleichmäßig unter Beteiligten","Geprüft",IF($F62="Vereinbarte Beträge",IF(OR(AND(G62="Ja",M62=""),AND(H62="Ja",N62=""),AND(I62="Ja",O62=""),AND(J62="Ja",P62=""),AND(K62="Ja",Q62=""),AND(L62="Ja",R62="")),"Trage die vereinbarten Beträge so ein, dass ihre Summe der Ausgabe entspricht.",IF(ABS(SUM($M62:$R62))&lt;0.005,"Trage die vereinbarten Beträge so ein, dass ihre Summe der Ausgabe entspricht.",IF(SUM($M62:$R62)&lt;$D62-0.005,"Bei der Aufteilung fehlen "&amp;ROUND($D62-SUM($M62:$R62),2)&amp;".",IF(SUM($M62:$R62)&gt;$D62+0.005,"Die Aufteilung übersteigt die Ausgabe um "&amp;ROUND(SUM($M62:$R62)-$D62,2)&amp;".","Geprüft")))),"Trage die vereinbarten Beträge so ein, dass ihre Summe der Ausgabe entspricht."))))))</f>
      </c>
    </row>
    <row r="63">
      <c r="A63" s="83"/>
      <c r="B63" s="57"/>
      <c r="C63" s="57"/>
      <c r="D63" s="85"/>
      <c r="E63" s="57"/>
      <c r="F63" s="57"/>
      <c r="G63" s="57"/>
      <c r="H63" s="57"/>
      <c r="I63" s="57"/>
      <c r="J63" s="57"/>
      <c r="K63" s="57"/>
      <c r="L63" s="57"/>
      <c r="M63" s="85"/>
      <c r="N63" s="85"/>
      <c r="O63" s="85"/>
      <c r="P63" s="85"/>
      <c r="Q63" s="85"/>
      <c r="R63" s="85"/>
      <c r="S63" s="57"/>
      <c r="T63" s="87" t="str">
        <f>IF(COUNTIF($A63:$S63,"&lt;&gt;")=0,"",IF($F63="Gleichmäßig unter Beteiligten",IF(G63&lt;&gt;"Ja",0,IF(COUNTIF($H63:$L63,"Ja")=0,$D63-0,ROUND($D63/COUNTIF($G63:$L63,"Ja"),2))),IF($F63="Vereinbarte Beträge",IF(G63="Ja",M63,0),"")))</f>
      </c>
      <c r="U63" s="87" t="str">
        <f>IF(COUNTIF($A63:$S63,"&lt;&gt;")=0,"",IF($F63="Gleichmäßig unter Beteiligten",IF(H63&lt;&gt;"Ja",0,IF(COUNTIF($I63:$L63,"Ja")=0,$D63-SUM($T63:T63),ROUND($D63/COUNTIF($G63:$L63,"Ja"),2))),IF($F63="Vereinbarte Beträge",IF(H63="Ja",N63,0),"")))</f>
      </c>
      <c r="V63" s="87" t="str">
        <f>IF(COUNTIF($A63:$S63,"&lt;&gt;")=0,"",IF($F63="Gleichmäßig unter Beteiligten",IF(I63&lt;&gt;"Ja",0,IF(COUNTIF($J63:$L63,"Ja")=0,$D63-SUM($T63:U63),ROUND($D63/COUNTIF($G63:$L63,"Ja"),2))),IF($F63="Vereinbarte Beträge",IF(I63="Ja",O63,0),"")))</f>
      </c>
      <c r="W63" s="87" t="str">
        <f>IF(COUNTIF($A63:$S63,"&lt;&gt;")=0,"",IF($F63="Gleichmäßig unter Beteiligten",IF(J63&lt;&gt;"Ja",0,IF(COUNTIF($K63:$L63,"Ja")=0,$D63-SUM($T63:V63),ROUND($D63/COUNTIF($G63:$L63,"Ja"),2))),IF($F63="Vereinbarte Beträge",IF(J63="Ja",P63,0),"")))</f>
      </c>
      <c r="X63" s="87" t="str">
        <f>IF(COUNTIF($A63:$S63,"&lt;&gt;")=0,"",IF($F63="Gleichmäßig unter Beteiligten",IF(K63&lt;&gt;"Ja",0,IF(COUNTIF($L63:$L63,"Ja")=0,$D63-SUM($T63:W63),ROUND($D63/COUNTIF($G63:$L63,"Ja"),2))),IF($F63="Vereinbarte Beträge",IF(K63="Ja",Q63,0),"")))</f>
      </c>
      <c r="Y63" s="87" t="str">
        <f>IF(COUNTIF($A63:$S63,"&lt;&gt;")=0,"",IF($F63="Gleichmäßig unter Beteiligten",IF(L63&lt;&gt;"Ja",0,IF(0=0,$D63-SUM($T63:X63),ROUND($D63/COUNTIF($G63:$L63,"Ja"),2))),IF($F63="Vereinbarte Beträge",IF(L63="Ja",R63,0),"")))</f>
      </c>
      <c r="Z63" s="81" t="str">
        <f>IF(COUNTIF($A63:$S63,"&lt;&gt;")=0,"",IF(OR($D63="",$D63&lt;=0),"Trage einen Betrag größer als null ein.",IF($E63="","Wähle aus, wer bezahlt hat.",IF(COUNTIF($G63:$L63,"Ja")=0,"Wähle mindestens eine beteiligte Person aus.",IF($F63="Gleichmäßig unter Beteiligten","Geprüft",IF($F63="Vereinbarte Beträge",IF(OR(AND(G63="Ja",M63=""),AND(H63="Ja",N63=""),AND(I63="Ja",O63=""),AND(J63="Ja",P63=""),AND(K63="Ja",Q63=""),AND(L63="Ja",R63="")),"Trage die vereinbarten Beträge so ein, dass ihre Summe der Ausgabe entspricht.",IF(ABS(SUM($M63:$R63))&lt;0.005,"Trage die vereinbarten Beträge so ein, dass ihre Summe der Ausgabe entspricht.",IF(SUM($M63:$R63)&lt;$D63-0.005,"Bei der Aufteilung fehlen "&amp;ROUND($D63-SUM($M63:$R63),2)&amp;".",IF(SUM($M63:$R63)&gt;$D63+0.005,"Die Aufteilung übersteigt die Ausgabe um "&amp;ROUND(SUM($M63:$R63)-$D63,2)&amp;".","Geprüft")))),"Trage die vereinbarten Beträge so ein, dass ihre Summe der Ausgabe entspricht."))))))</f>
      </c>
    </row>
    <row r="64">
      <c r="A64" s="83"/>
      <c r="B64" s="57"/>
      <c r="C64" s="57"/>
      <c r="D64" s="85"/>
      <c r="E64" s="57"/>
      <c r="F64" s="57"/>
      <c r="G64" s="57"/>
      <c r="H64" s="57"/>
      <c r="I64" s="57"/>
      <c r="J64" s="57"/>
      <c r="K64" s="57"/>
      <c r="L64" s="57"/>
      <c r="M64" s="85"/>
      <c r="N64" s="85"/>
      <c r="O64" s="85"/>
      <c r="P64" s="85"/>
      <c r="Q64" s="85"/>
      <c r="R64" s="85"/>
      <c r="S64" s="57"/>
      <c r="T64" s="87" t="str">
        <f>IF(COUNTIF($A64:$S64,"&lt;&gt;")=0,"",IF($F64="Gleichmäßig unter Beteiligten",IF(G64&lt;&gt;"Ja",0,IF(COUNTIF($H64:$L64,"Ja")=0,$D64-0,ROUND($D64/COUNTIF($G64:$L64,"Ja"),2))),IF($F64="Vereinbarte Beträge",IF(G64="Ja",M64,0),"")))</f>
      </c>
      <c r="U64" s="87" t="str">
        <f>IF(COUNTIF($A64:$S64,"&lt;&gt;")=0,"",IF($F64="Gleichmäßig unter Beteiligten",IF(H64&lt;&gt;"Ja",0,IF(COUNTIF($I64:$L64,"Ja")=0,$D64-SUM($T64:T64),ROUND($D64/COUNTIF($G64:$L64,"Ja"),2))),IF($F64="Vereinbarte Beträge",IF(H64="Ja",N64,0),"")))</f>
      </c>
      <c r="V64" s="87" t="str">
        <f>IF(COUNTIF($A64:$S64,"&lt;&gt;")=0,"",IF($F64="Gleichmäßig unter Beteiligten",IF(I64&lt;&gt;"Ja",0,IF(COUNTIF($J64:$L64,"Ja")=0,$D64-SUM($T64:U64),ROUND($D64/COUNTIF($G64:$L64,"Ja"),2))),IF($F64="Vereinbarte Beträge",IF(I64="Ja",O64,0),"")))</f>
      </c>
      <c r="W64" s="87" t="str">
        <f>IF(COUNTIF($A64:$S64,"&lt;&gt;")=0,"",IF($F64="Gleichmäßig unter Beteiligten",IF(J64&lt;&gt;"Ja",0,IF(COUNTIF($K64:$L64,"Ja")=0,$D64-SUM($T64:V64),ROUND($D64/COUNTIF($G64:$L64,"Ja"),2))),IF($F64="Vereinbarte Beträge",IF(J64="Ja",P64,0),"")))</f>
      </c>
      <c r="X64" s="87" t="str">
        <f>IF(COUNTIF($A64:$S64,"&lt;&gt;")=0,"",IF($F64="Gleichmäßig unter Beteiligten",IF(K64&lt;&gt;"Ja",0,IF(COUNTIF($L64:$L64,"Ja")=0,$D64-SUM($T64:W64),ROUND($D64/COUNTIF($G64:$L64,"Ja"),2))),IF($F64="Vereinbarte Beträge",IF(K64="Ja",Q64,0),"")))</f>
      </c>
      <c r="Y64" s="87" t="str">
        <f>IF(COUNTIF($A64:$S64,"&lt;&gt;")=0,"",IF($F64="Gleichmäßig unter Beteiligten",IF(L64&lt;&gt;"Ja",0,IF(0=0,$D64-SUM($T64:X64),ROUND($D64/COUNTIF($G64:$L64,"Ja"),2))),IF($F64="Vereinbarte Beträge",IF(L64="Ja",R64,0),"")))</f>
      </c>
      <c r="Z64" s="81" t="str">
        <f>IF(COUNTIF($A64:$S64,"&lt;&gt;")=0,"",IF(OR($D64="",$D64&lt;=0),"Trage einen Betrag größer als null ein.",IF($E64="","Wähle aus, wer bezahlt hat.",IF(COUNTIF($G64:$L64,"Ja")=0,"Wähle mindestens eine beteiligte Person aus.",IF($F64="Gleichmäßig unter Beteiligten","Geprüft",IF($F64="Vereinbarte Beträge",IF(OR(AND(G64="Ja",M64=""),AND(H64="Ja",N64=""),AND(I64="Ja",O64=""),AND(J64="Ja",P64=""),AND(K64="Ja",Q64=""),AND(L64="Ja",R64="")),"Trage die vereinbarten Beträge so ein, dass ihre Summe der Ausgabe entspricht.",IF(ABS(SUM($M64:$R64))&lt;0.005,"Trage die vereinbarten Beträge so ein, dass ihre Summe der Ausgabe entspricht.",IF(SUM($M64:$R64)&lt;$D64-0.005,"Bei der Aufteilung fehlen "&amp;ROUND($D64-SUM($M64:$R64),2)&amp;".",IF(SUM($M64:$R64)&gt;$D64+0.005,"Die Aufteilung übersteigt die Ausgabe um "&amp;ROUND(SUM($M64:$R64)-$D64,2)&amp;".","Geprüft")))),"Trage die vereinbarten Beträge so ein, dass ihre Summe der Ausgabe entspricht."))))))</f>
      </c>
    </row>
    <row r="65">
      <c r="A65" s="83"/>
      <c r="B65" s="57"/>
      <c r="C65" s="57"/>
      <c r="D65" s="85"/>
      <c r="E65" s="57"/>
      <c r="F65" s="57"/>
      <c r="G65" s="57"/>
      <c r="H65" s="57"/>
      <c r="I65" s="57"/>
      <c r="J65" s="57"/>
      <c r="K65" s="57"/>
      <c r="L65" s="57"/>
      <c r="M65" s="85"/>
      <c r="N65" s="85"/>
      <c r="O65" s="85"/>
      <c r="P65" s="85"/>
      <c r="Q65" s="85"/>
      <c r="R65" s="85"/>
      <c r="S65" s="57"/>
      <c r="T65" s="87" t="str">
        <f>IF(COUNTIF($A65:$S65,"&lt;&gt;")=0,"",IF($F65="Gleichmäßig unter Beteiligten",IF(G65&lt;&gt;"Ja",0,IF(COUNTIF($H65:$L65,"Ja")=0,$D65-0,ROUND($D65/COUNTIF($G65:$L65,"Ja"),2))),IF($F65="Vereinbarte Beträge",IF(G65="Ja",M65,0),"")))</f>
      </c>
      <c r="U65" s="87" t="str">
        <f>IF(COUNTIF($A65:$S65,"&lt;&gt;")=0,"",IF($F65="Gleichmäßig unter Beteiligten",IF(H65&lt;&gt;"Ja",0,IF(COUNTIF($I65:$L65,"Ja")=0,$D65-SUM($T65:T65),ROUND($D65/COUNTIF($G65:$L65,"Ja"),2))),IF($F65="Vereinbarte Beträge",IF(H65="Ja",N65,0),"")))</f>
      </c>
      <c r="V65" s="87" t="str">
        <f>IF(COUNTIF($A65:$S65,"&lt;&gt;")=0,"",IF($F65="Gleichmäßig unter Beteiligten",IF(I65&lt;&gt;"Ja",0,IF(COUNTIF($J65:$L65,"Ja")=0,$D65-SUM($T65:U65),ROUND($D65/COUNTIF($G65:$L65,"Ja"),2))),IF($F65="Vereinbarte Beträge",IF(I65="Ja",O65,0),"")))</f>
      </c>
      <c r="W65" s="87" t="str">
        <f>IF(COUNTIF($A65:$S65,"&lt;&gt;")=0,"",IF($F65="Gleichmäßig unter Beteiligten",IF(J65&lt;&gt;"Ja",0,IF(COUNTIF($K65:$L65,"Ja")=0,$D65-SUM($T65:V65),ROUND($D65/COUNTIF($G65:$L65,"Ja"),2))),IF($F65="Vereinbarte Beträge",IF(J65="Ja",P65,0),"")))</f>
      </c>
      <c r="X65" s="87" t="str">
        <f>IF(COUNTIF($A65:$S65,"&lt;&gt;")=0,"",IF($F65="Gleichmäßig unter Beteiligten",IF(K65&lt;&gt;"Ja",0,IF(COUNTIF($L65:$L65,"Ja")=0,$D65-SUM($T65:W65),ROUND($D65/COUNTIF($G65:$L65,"Ja"),2))),IF($F65="Vereinbarte Beträge",IF(K65="Ja",Q65,0),"")))</f>
      </c>
      <c r="Y65" s="87" t="str">
        <f>IF(COUNTIF($A65:$S65,"&lt;&gt;")=0,"",IF($F65="Gleichmäßig unter Beteiligten",IF(L65&lt;&gt;"Ja",0,IF(0=0,$D65-SUM($T65:X65),ROUND($D65/COUNTIF($G65:$L65,"Ja"),2))),IF($F65="Vereinbarte Beträge",IF(L65="Ja",R65,0),"")))</f>
      </c>
      <c r="Z65" s="81" t="str">
        <f>IF(COUNTIF($A65:$S65,"&lt;&gt;")=0,"",IF(OR($D65="",$D65&lt;=0),"Trage einen Betrag größer als null ein.",IF($E65="","Wähle aus, wer bezahlt hat.",IF(COUNTIF($G65:$L65,"Ja")=0,"Wähle mindestens eine beteiligte Person aus.",IF($F65="Gleichmäßig unter Beteiligten","Geprüft",IF($F65="Vereinbarte Beträge",IF(OR(AND(G65="Ja",M65=""),AND(H65="Ja",N65=""),AND(I65="Ja",O65=""),AND(J65="Ja",P65=""),AND(K65="Ja",Q65=""),AND(L65="Ja",R65="")),"Trage die vereinbarten Beträge so ein, dass ihre Summe der Ausgabe entspricht.",IF(ABS(SUM($M65:$R65))&lt;0.005,"Trage die vereinbarten Beträge so ein, dass ihre Summe der Ausgabe entspricht.",IF(SUM($M65:$R65)&lt;$D65-0.005,"Bei der Aufteilung fehlen "&amp;ROUND($D65-SUM($M65:$R65),2)&amp;".",IF(SUM($M65:$R65)&gt;$D65+0.005,"Die Aufteilung übersteigt die Ausgabe um "&amp;ROUND(SUM($M65:$R65)-$D65,2)&amp;".","Geprüft")))),"Trage die vereinbarten Beträge so ein, dass ihre Summe der Ausgabe entspricht."))))))</f>
      </c>
    </row>
    <row r="66">
      <c r="A66" s="83"/>
      <c r="B66" s="57"/>
      <c r="C66" s="57"/>
      <c r="D66" s="85"/>
      <c r="E66" s="57"/>
      <c r="F66" s="57"/>
      <c r="G66" s="57"/>
      <c r="H66" s="57"/>
      <c r="I66" s="57"/>
      <c r="J66" s="57"/>
      <c r="K66" s="57"/>
      <c r="L66" s="57"/>
      <c r="M66" s="85"/>
      <c r="N66" s="85"/>
      <c r="O66" s="85"/>
      <c r="P66" s="85"/>
      <c r="Q66" s="85"/>
      <c r="R66" s="85"/>
      <c r="S66" s="57"/>
      <c r="T66" s="87" t="str">
        <f>IF(COUNTIF($A66:$S66,"&lt;&gt;")=0,"",IF($F66="Gleichmäßig unter Beteiligten",IF(G66&lt;&gt;"Ja",0,IF(COUNTIF($H66:$L66,"Ja")=0,$D66-0,ROUND($D66/COUNTIF($G66:$L66,"Ja"),2))),IF($F66="Vereinbarte Beträge",IF(G66="Ja",M66,0),"")))</f>
      </c>
      <c r="U66" s="87" t="str">
        <f>IF(COUNTIF($A66:$S66,"&lt;&gt;")=0,"",IF($F66="Gleichmäßig unter Beteiligten",IF(H66&lt;&gt;"Ja",0,IF(COUNTIF($I66:$L66,"Ja")=0,$D66-SUM($T66:T66),ROUND($D66/COUNTIF($G66:$L66,"Ja"),2))),IF($F66="Vereinbarte Beträge",IF(H66="Ja",N66,0),"")))</f>
      </c>
      <c r="V66" s="87" t="str">
        <f>IF(COUNTIF($A66:$S66,"&lt;&gt;")=0,"",IF($F66="Gleichmäßig unter Beteiligten",IF(I66&lt;&gt;"Ja",0,IF(COUNTIF($J66:$L66,"Ja")=0,$D66-SUM($T66:U66),ROUND($D66/COUNTIF($G66:$L66,"Ja"),2))),IF($F66="Vereinbarte Beträge",IF(I66="Ja",O66,0),"")))</f>
      </c>
      <c r="W66" s="87" t="str">
        <f>IF(COUNTIF($A66:$S66,"&lt;&gt;")=0,"",IF($F66="Gleichmäßig unter Beteiligten",IF(J66&lt;&gt;"Ja",0,IF(COUNTIF($K66:$L66,"Ja")=0,$D66-SUM($T66:V66),ROUND($D66/COUNTIF($G66:$L66,"Ja"),2))),IF($F66="Vereinbarte Beträge",IF(J66="Ja",P66,0),"")))</f>
      </c>
      <c r="X66" s="87" t="str">
        <f>IF(COUNTIF($A66:$S66,"&lt;&gt;")=0,"",IF($F66="Gleichmäßig unter Beteiligten",IF(K66&lt;&gt;"Ja",0,IF(COUNTIF($L66:$L66,"Ja")=0,$D66-SUM($T66:W66),ROUND($D66/COUNTIF($G66:$L66,"Ja"),2))),IF($F66="Vereinbarte Beträge",IF(K66="Ja",Q66,0),"")))</f>
      </c>
      <c r="Y66" s="87" t="str">
        <f>IF(COUNTIF($A66:$S66,"&lt;&gt;")=0,"",IF($F66="Gleichmäßig unter Beteiligten",IF(L66&lt;&gt;"Ja",0,IF(0=0,$D66-SUM($T66:X66),ROUND($D66/COUNTIF($G66:$L66,"Ja"),2))),IF($F66="Vereinbarte Beträge",IF(L66="Ja",R66,0),"")))</f>
      </c>
      <c r="Z66" s="81" t="str">
        <f>IF(COUNTIF($A66:$S66,"&lt;&gt;")=0,"",IF(OR($D66="",$D66&lt;=0),"Trage einen Betrag größer als null ein.",IF($E66="","Wähle aus, wer bezahlt hat.",IF(COUNTIF($G66:$L66,"Ja")=0,"Wähle mindestens eine beteiligte Person aus.",IF($F66="Gleichmäßig unter Beteiligten","Geprüft",IF($F66="Vereinbarte Beträge",IF(OR(AND(G66="Ja",M66=""),AND(H66="Ja",N66=""),AND(I66="Ja",O66=""),AND(J66="Ja",P66=""),AND(K66="Ja",Q66=""),AND(L66="Ja",R66="")),"Trage die vereinbarten Beträge so ein, dass ihre Summe der Ausgabe entspricht.",IF(ABS(SUM($M66:$R66))&lt;0.005,"Trage die vereinbarten Beträge so ein, dass ihre Summe der Ausgabe entspricht.",IF(SUM($M66:$R66)&lt;$D66-0.005,"Bei der Aufteilung fehlen "&amp;ROUND($D66-SUM($M66:$R66),2)&amp;".",IF(SUM($M66:$R66)&gt;$D66+0.005,"Die Aufteilung übersteigt die Ausgabe um "&amp;ROUND(SUM($M66:$R66)-$D66,2)&amp;".","Geprüft")))),"Trage die vereinbarten Beträge so ein, dass ihre Summe der Ausgabe entspricht."))))))</f>
      </c>
    </row>
    <row r="67">
      <c r="A67" s="83"/>
      <c r="B67" s="57"/>
      <c r="C67" s="57"/>
      <c r="D67" s="85"/>
      <c r="E67" s="57"/>
      <c r="F67" s="57"/>
      <c r="G67" s="57"/>
      <c r="H67" s="57"/>
      <c r="I67" s="57"/>
      <c r="J67" s="57"/>
      <c r="K67" s="57"/>
      <c r="L67" s="57"/>
      <c r="M67" s="85"/>
      <c r="N67" s="85"/>
      <c r="O67" s="85"/>
      <c r="P67" s="85"/>
      <c r="Q67" s="85"/>
      <c r="R67" s="85"/>
      <c r="S67" s="57"/>
      <c r="T67" s="87" t="str">
        <f>IF(COUNTIF($A67:$S67,"&lt;&gt;")=0,"",IF($F67="Gleichmäßig unter Beteiligten",IF(G67&lt;&gt;"Ja",0,IF(COUNTIF($H67:$L67,"Ja")=0,$D67-0,ROUND($D67/COUNTIF($G67:$L67,"Ja"),2))),IF($F67="Vereinbarte Beträge",IF(G67="Ja",M67,0),"")))</f>
      </c>
      <c r="U67" s="87" t="str">
        <f>IF(COUNTIF($A67:$S67,"&lt;&gt;")=0,"",IF($F67="Gleichmäßig unter Beteiligten",IF(H67&lt;&gt;"Ja",0,IF(COUNTIF($I67:$L67,"Ja")=0,$D67-SUM($T67:T67),ROUND($D67/COUNTIF($G67:$L67,"Ja"),2))),IF($F67="Vereinbarte Beträge",IF(H67="Ja",N67,0),"")))</f>
      </c>
      <c r="V67" s="87" t="str">
        <f>IF(COUNTIF($A67:$S67,"&lt;&gt;")=0,"",IF($F67="Gleichmäßig unter Beteiligten",IF(I67&lt;&gt;"Ja",0,IF(COUNTIF($J67:$L67,"Ja")=0,$D67-SUM($T67:U67),ROUND($D67/COUNTIF($G67:$L67,"Ja"),2))),IF($F67="Vereinbarte Beträge",IF(I67="Ja",O67,0),"")))</f>
      </c>
      <c r="W67" s="87" t="str">
        <f>IF(COUNTIF($A67:$S67,"&lt;&gt;")=0,"",IF($F67="Gleichmäßig unter Beteiligten",IF(J67&lt;&gt;"Ja",0,IF(COUNTIF($K67:$L67,"Ja")=0,$D67-SUM($T67:V67),ROUND($D67/COUNTIF($G67:$L67,"Ja"),2))),IF($F67="Vereinbarte Beträge",IF(J67="Ja",P67,0),"")))</f>
      </c>
      <c r="X67" s="87" t="str">
        <f>IF(COUNTIF($A67:$S67,"&lt;&gt;")=0,"",IF($F67="Gleichmäßig unter Beteiligten",IF(K67&lt;&gt;"Ja",0,IF(COUNTIF($L67:$L67,"Ja")=0,$D67-SUM($T67:W67),ROUND($D67/COUNTIF($G67:$L67,"Ja"),2))),IF($F67="Vereinbarte Beträge",IF(K67="Ja",Q67,0),"")))</f>
      </c>
      <c r="Y67" s="87" t="str">
        <f>IF(COUNTIF($A67:$S67,"&lt;&gt;")=0,"",IF($F67="Gleichmäßig unter Beteiligten",IF(L67&lt;&gt;"Ja",0,IF(0=0,$D67-SUM($T67:X67),ROUND($D67/COUNTIF($G67:$L67,"Ja"),2))),IF($F67="Vereinbarte Beträge",IF(L67="Ja",R67,0),"")))</f>
      </c>
      <c r="Z67" s="81" t="str">
        <f>IF(COUNTIF($A67:$S67,"&lt;&gt;")=0,"",IF(OR($D67="",$D67&lt;=0),"Trage einen Betrag größer als null ein.",IF($E67="","Wähle aus, wer bezahlt hat.",IF(COUNTIF($G67:$L67,"Ja")=0,"Wähle mindestens eine beteiligte Person aus.",IF($F67="Gleichmäßig unter Beteiligten","Geprüft",IF($F67="Vereinbarte Beträge",IF(OR(AND(G67="Ja",M67=""),AND(H67="Ja",N67=""),AND(I67="Ja",O67=""),AND(J67="Ja",P67=""),AND(K67="Ja",Q67=""),AND(L67="Ja",R67="")),"Trage die vereinbarten Beträge so ein, dass ihre Summe der Ausgabe entspricht.",IF(ABS(SUM($M67:$R67))&lt;0.005,"Trage die vereinbarten Beträge so ein, dass ihre Summe der Ausgabe entspricht.",IF(SUM($M67:$R67)&lt;$D67-0.005,"Bei der Aufteilung fehlen "&amp;ROUND($D67-SUM($M67:$R67),2)&amp;".",IF(SUM($M67:$R67)&gt;$D67+0.005,"Die Aufteilung übersteigt die Ausgabe um "&amp;ROUND(SUM($M67:$R67)-$D67,2)&amp;".","Geprüft")))),"Trage die vereinbarten Beträge so ein, dass ihre Summe der Ausgabe entspricht."))))))</f>
      </c>
    </row>
    <row r="68">
      <c r="A68" s="83"/>
      <c r="B68" s="57"/>
      <c r="C68" s="57"/>
      <c r="D68" s="85"/>
      <c r="E68" s="57"/>
      <c r="F68" s="57"/>
      <c r="G68" s="57"/>
      <c r="H68" s="57"/>
      <c r="I68" s="57"/>
      <c r="J68" s="57"/>
      <c r="K68" s="57"/>
      <c r="L68" s="57"/>
      <c r="M68" s="85"/>
      <c r="N68" s="85"/>
      <c r="O68" s="85"/>
      <c r="P68" s="85"/>
      <c r="Q68" s="85"/>
      <c r="R68" s="85"/>
      <c r="S68" s="57"/>
      <c r="T68" s="87" t="str">
        <f>IF(COUNTIF($A68:$S68,"&lt;&gt;")=0,"",IF($F68="Gleichmäßig unter Beteiligten",IF(G68&lt;&gt;"Ja",0,IF(COUNTIF($H68:$L68,"Ja")=0,$D68-0,ROUND($D68/COUNTIF($G68:$L68,"Ja"),2))),IF($F68="Vereinbarte Beträge",IF(G68="Ja",M68,0),"")))</f>
      </c>
      <c r="U68" s="87" t="str">
        <f>IF(COUNTIF($A68:$S68,"&lt;&gt;")=0,"",IF($F68="Gleichmäßig unter Beteiligten",IF(H68&lt;&gt;"Ja",0,IF(COUNTIF($I68:$L68,"Ja")=0,$D68-SUM($T68:T68),ROUND($D68/COUNTIF($G68:$L68,"Ja"),2))),IF($F68="Vereinbarte Beträge",IF(H68="Ja",N68,0),"")))</f>
      </c>
      <c r="V68" s="87" t="str">
        <f>IF(COUNTIF($A68:$S68,"&lt;&gt;")=0,"",IF($F68="Gleichmäßig unter Beteiligten",IF(I68&lt;&gt;"Ja",0,IF(COUNTIF($J68:$L68,"Ja")=0,$D68-SUM($T68:U68),ROUND($D68/COUNTIF($G68:$L68,"Ja"),2))),IF($F68="Vereinbarte Beträge",IF(I68="Ja",O68,0),"")))</f>
      </c>
      <c r="W68" s="87" t="str">
        <f>IF(COUNTIF($A68:$S68,"&lt;&gt;")=0,"",IF($F68="Gleichmäßig unter Beteiligten",IF(J68&lt;&gt;"Ja",0,IF(COUNTIF($K68:$L68,"Ja")=0,$D68-SUM($T68:V68),ROUND($D68/COUNTIF($G68:$L68,"Ja"),2))),IF($F68="Vereinbarte Beträge",IF(J68="Ja",P68,0),"")))</f>
      </c>
      <c r="X68" s="87" t="str">
        <f>IF(COUNTIF($A68:$S68,"&lt;&gt;")=0,"",IF($F68="Gleichmäßig unter Beteiligten",IF(K68&lt;&gt;"Ja",0,IF(COUNTIF($L68:$L68,"Ja")=0,$D68-SUM($T68:W68),ROUND($D68/COUNTIF($G68:$L68,"Ja"),2))),IF($F68="Vereinbarte Beträge",IF(K68="Ja",Q68,0),"")))</f>
      </c>
      <c r="Y68" s="87" t="str">
        <f>IF(COUNTIF($A68:$S68,"&lt;&gt;")=0,"",IF($F68="Gleichmäßig unter Beteiligten",IF(L68&lt;&gt;"Ja",0,IF(0=0,$D68-SUM($T68:X68),ROUND($D68/COUNTIF($G68:$L68,"Ja"),2))),IF($F68="Vereinbarte Beträge",IF(L68="Ja",R68,0),"")))</f>
      </c>
      <c r="Z68" s="81" t="str">
        <f>IF(COUNTIF($A68:$S68,"&lt;&gt;")=0,"",IF(OR($D68="",$D68&lt;=0),"Trage einen Betrag größer als null ein.",IF($E68="","Wähle aus, wer bezahlt hat.",IF(COUNTIF($G68:$L68,"Ja")=0,"Wähle mindestens eine beteiligte Person aus.",IF($F68="Gleichmäßig unter Beteiligten","Geprüft",IF($F68="Vereinbarte Beträge",IF(OR(AND(G68="Ja",M68=""),AND(H68="Ja",N68=""),AND(I68="Ja",O68=""),AND(J68="Ja",P68=""),AND(K68="Ja",Q68=""),AND(L68="Ja",R68="")),"Trage die vereinbarten Beträge so ein, dass ihre Summe der Ausgabe entspricht.",IF(ABS(SUM($M68:$R68))&lt;0.005,"Trage die vereinbarten Beträge so ein, dass ihre Summe der Ausgabe entspricht.",IF(SUM($M68:$R68)&lt;$D68-0.005,"Bei der Aufteilung fehlen "&amp;ROUND($D68-SUM($M68:$R68),2)&amp;".",IF(SUM($M68:$R68)&gt;$D68+0.005,"Die Aufteilung übersteigt die Ausgabe um "&amp;ROUND(SUM($M68:$R68)-$D68,2)&amp;".","Geprüft")))),"Trage die vereinbarten Beträge so ein, dass ihre Summe der Ausgabe entspricht."))))))</f>
      </c>
    </row>
    <row r="69">
      <c r="A69" s="83"/>
      <c r="B69" s="57"/>
      <c r="C69" s="57"/>
      <c r="D69" s="85"/>
      <c r="E69" s="57"/>
      <c r="F69" s="57"/>
      <c r="G69" s="57"/>
      <c r="H69" s="57"/>
      <c r="I69" s="57"/>
      <c r="J69" s="57"/>
      <c r="K69" s="57"/>
      <c r="L69" s="57"/>
      <c r="M69" s="85"/>
      <c r="N69" s="85"/>
      <c r="O69" s="85"/>
      <c r="P69" s="85"/>
      <c r="Q69" s="85"/>
      <c r="R69" s="85"/>
      <c r="S69" s="57"/>
      <c r="T69" s="87" t="str">
        <f>IF(COUNTIF($A69:$S69,"&lt;&gt;")=0,"",IF($F69="Gleichmäßig unter Beteiligten",IF(G69&lt;&gt;"Ja",0,IF(COUNTIF($H69:$L69,"Ja")=0,$D69-0,ROUND($D69/COUNTIF($G69:$L69,"Ja"),2))),IF($F69="Vereinbarte Beträge",IF(G69="Ja",M69,0),"")))</f>
      </c>
      <c r="U69" s="87" t="str">
        <f>IF(COUNTIF($A69:$S69,"&lt;&gt;")=0,"",IF($F69="Gleichmäßig unter Beteiligten",IF(H69&lt;&gt;"Ja",0,IF(COUNTIF($I69:$L69,"Ja")=0,$D69-SUM($T69:T69),ROUND($D69/COUNTIF($G69:$L69,"Ja"),2))),IF($F69="Vereinbarte Beträge",IF(H69="Ja",N69,0),"")))</f>
      </c>
      <c r="V69" s="87" t="str">
        <f>IF(COUNTIF($A69:$S69,"&lt;&gt;")=0,"",IF($F69="Gleichmäßig unter Beteiligten",IF(I69&lt;&gt;"Ja",0,IF(COUNTIF($J69:$L69,"Ja")=0,$D69-SUM($T69:U69),ROUND($D69/COUNTIF($G69:$L69,"Ja"),2))),IF($F69="Vereinbarte Beträge",IF(I69="Ja",O69,0),"")))</f>
      </c>
      <c r="W69" s="87" t="str">
        <f>IF(COUNTIF($A69:$S69,"&lt;&gt;")=0,"",IF($F69="Gleichmäßig unter Beteiligten",IF(J69&lt;&gt;"Ja",0,IF(COUNTIF($K69:$L69,"Ja")=0,$D69-SUM($T69:V69),ROUND($D69/COUNTIF($G69:$L69,"Ja"),2))),IF($F69="Vereinbarte Beträge",IF(J69="Ja",P69,0),"")))</f>
      </c>
      <c r="X69" s="87" t="str">
        <f>IF(COUNTIF($A69:$S69,"&lt;&gt;")=0,"",IF($F69="Gleichmäßig unter Beteiligten",IF(K69&lt;&gt;"Ja",0,IF(COUNTIF($L69:$L69,"Ja")=0,$D69-SUM($T69:W69),ROUND($D69/COUNTIF($G69:$L69,"Ja"),2))),IF($F69="Vereinbarte Beträge",IF(K69="Ja",Q69,0),"")))</f>
      </c>
      <c r="Y69" s="87" t="str">
        <f>IF(COUNTIF($A69:$S69,"&lt;&gt;")=0,"",IF($F69="Gleichmäßig unter Beteiligten",IF(L69&lt;&gt;"Ja",0,IF(0=0,$D69-SUM($T69:X69),ROUND($D69/COUNTIF($G69:$L69,"Ja"),2))),IF($F69="Vereinbarte Beträge",IF(L69="Ja",R69,0),"")))</f>
      </c>
      <c r="Z69" s="81" t="str">
        <f>IF(COUNTIF($A69:$S69,"&lt;&gt;")=0,"",IF(OR($D69="",$D69&lt;=0),"Trage einen Betrag größer als null ein.",IF($E69="","Wähle aus, wer bezahlt hat.",IF(COUNTIF($G69:$L69,"Ja")=0,"Wähle mindestens eine beteiligte Person aus.",IF($F69="Gleichmäßig unter Beteiligten","Geprüft",IF($F69="Vereinbarte Beträge",IF(OR(AND(G69="Ja",M69=""),AND(H69="Ja",N69=""),AND(I69="Ja",O69=""),AND(J69="Ja",P69=""),AND(K69="Ja",Q69=""),AND(L69="Ja",R69="")),"Trage die vereinbarten Beträge so ein, dass ihre Summe der Ausgabe entspricht.",IF(ABS(SUM($M69:$R69))&lt;0.005,"Trage die vereinbarten Beträge so ein, dass ihre Summe der Ausgabe entspricht.",IF(SUM($M69:$R69)&lt;$D69-0.005,"Bei der Aufteilung fehlen "&amp;ROUND($D69-SUM($M69:$R69),2)&amp;".",IF(SUM($M69:$R69)&gt;$D69+0.005,"Die Aufteilung übersteigt die Ausgabe um "&amp;ROUND(SUM($M69:$R69)-$D69,2)&amp;".","Geprüft")))),"Trage die vereinbarten Beträge so ein, dass ihre Summe der Ausgabe entspricht."))))))</f>
      </c>
    </row>
    <row r="70">
      <c r="A70" s="83"/>
      <c r="B70" s="57"/>
      <c r="C70" s="57"/>
      <c r="D70" s="85"/>
      <c r="E70" s="57"/>
      <c r="F70" s="57"/>
      <c r="G70" s="57"/>
      <c r="H70" s="57"/>
      <c r="I70" s="57"/>
      <c r="J70" s="57"/>
      <c r="K70" s="57"/>
      <c r="L70" s="57"/>
      <c r="M70" s="85"/>
      <c r="N70" s="85"/>
      <c r="O70" s="85"/>
      <c r="P70" s="85"/>
      <c r="Q70" s="85"/>
      <c r="R70" s="85"/>
      <c r="S70" s="57"/>
      <c r="T70" s="87" t="str">
        <f>IF(COUNTIF($A70:$S70,"&lt;&gt;")=0,"",IF($F70="Gleichmäßig unter Beteiligten",IF(G70&lt;&gt;"Ja",0,IF(COUNTIF($H70:$L70,"Ja")=0,$D70-0,ROUND($D70/COUNTIF($G70:$L70,"Ja"),2))),IF($F70="Vereinbarte Beträge",IF(G70="Ja",M70,0),"")))</f>
      </c>
      <c r="U70" s="87" t="str">
        <f>IF(COUNTIF($A70:$S70,"&lt;&gt;")=0,"",IF($F70="Gleichmäßig unter Beteiligten",IF(H70&lt;&gt;"Ja",0,IF(COUNTIF($I70:$L70,"Ja")=0,$D70-SUM($T70:T70),ROUND($D70/COUNTIF($G70:$L70,"Ja"),2))),IF($F70="Vereinbarte Beträge",IF(H70="Ja",N70,0),"")))</f>
      </c>
      <c r="V70" s="87" t="str">
        <f>IF(COUNTIF($A70:$S70,"&lt;&gt;")=0,"",IF($F70="Gleichmäßig unter Beteiligten",IF(I70&lt;&gt;"Ja",0,IF(COUNTIF($J70:$L70,"Ja")=0,$D70-SUM($T70:U70),ROUND($D70/COUNTIF($G70:$L70,"Ja"),2))),IF($F70="Vereinbarte Beträge",IF(I70="Ja",O70,0),"")))</f>
      </c>
      <c r="W70" s="87" t="str">
        <f>IF(COUNTIF($A70:$S70,"&lt;&gt;")=0,"",IF($F70="Gleichmäßig unter Beteiligten",IF(J70&lt;&gt;"Ja",0,IF(COUNTIF($K70:$L70,"Ja")=0,$D70-SUM($T70:V70),ROUND($D70/COUNTIF($G70:$L70,"Ja"),2))),IF($F70="Vereinbarte Beträge",IF(J70="Ja",P70,0),"")))</f>
      </c>
      <c r="X70" s="87" t="str">
        <f>IF(COUNTIF($A70:$S70,"&lt;&gt;")=0,"",IF($F70="Gleichmäßig unter Beteiligten",IF(K70&lt;&gt;"Ja",0,IF(COUNTIF($L70:$L70,"Ja")=0,$D70-SUM($T70:W70),ROUND($D70/COUNTIF($G70:$L70,"Ja"),2))),IF($F70="Vereinbarte Beträge",IF(K70="Ja",Q70,0),"")))</f>
      </c>
      <c r="Y70" s="87" t="str">
        <f>IF(COUNTIF($A70:$S70,"&lt;&gt;")=0,"",IF($F70="Gleichmäßig unter Beteiligten",IF(L70&lt;&gt;"Ja",0,IF(0=0,$D70-SUM($T70:X70),ROUND($D70/COUNTIF($G70:$L70,"Ja"),2))),IF($F70="Vereinbarte Beträge",IF(L70="Ja",R70,0),"")))</f>
      </c>
      <c r="Z70" s="81" t="str">
        <f>IF(COUNTIF($A70:$S70,"&lt;&gt;")=0,"",IF(OR($D70="",$D70&lt;=0),"Trage einen Betrag größer als null ein.",IF($E70="","Wähle aus, wer bezahlt hat.",IF(COUNTIF($G70:$L70,"Ja")=0,"Wähle mindestens eine beteiligte Person aus.",IF($F70="Gleichmäßig unter Beteiligten","Geprüft",IF($F70="Vereinbarte Beträge",IF(OR(AND(G70="Ja",M70=""),AND(H70="Ja",N70=""),AND(I70="Ja",O70=""),AND(J70="Ja",P70=""),AND(K70="Ja",Q70=""),AND(L70="Ja",R70="")),"Trage die vereinbarten Beträge so ein, dass ihre Summe der Ausgabe entspricht.",IF(ABS(SUM($M70:$R70))&lt;0.005,"Trage die vereinbarten Beträge so ein, dass ihre Summe der Ausgabe entspricht.",IF(SUM($M70:$R70)&lt;$D70-0.005,"Bei der Aufteilung fehlen "&amp;ROUND($D70-SUM($M70:$R70),2)&amp;".",IF(SUM($M70:$R70)&gt;$D70+0.005,"Die Aufteilung übersteigt die Ausgabe um "&amp;ROUND(SUM($M70:$R70)-$D70,2)&amp;".","Geprüft")))),"Trage die vereinbarten Beträge so ein, dass ihre Summe der Ausgabe entspricht."))))))</f>
      </c>
    </row>
    <row r="71">
      <c r="A71" s="83"/>
      <c r="B71" s="57"/>
      <c r="C71" s="57"/>
      <c r="D71" s="85"/>
      <c r="E71" s="57"/>
      <c r="F71" s="57"/>
      <c r="G71" s="57"/>
      <c r="H71" s="57"/>
      <c r="I71" s="57"/>
      <c r="J71" s="57"/>
      <c r="K71" s="57"/>
      <c r="L71" s="57"/>
      <c r="M71" s="85"/>
      <c r="N71" s="85"/>
      <c r="O71" s="85"/>
      <c r="P71" s="85"/>
      <c r="Q71" s="85"/>
      <c r="R71" s="85"/>
      <c r="S71" s="57"/>
      <c r="T71" s="87" t="str">
        <f>IF(COUNTIF($A71:$S71,"&lt;&gt;")=0,"",IF($F71="Gleichmäßig unter Beteiligten",IF(G71&lt;&gt;"Ja",0,IF(COUNTIF($H71:$L71,"Ja")=0,$D71-0,ROUND($D71/COUNTIF($G71:$L71,"Ja"),2))),IF($F71="Vereinbarte Beträge",IF(G71="Ja",M71,0),"")))</f>
      </c>
      <c r="U71" s="87" t="str">
        <f>IF(COUNTIF($A71:$S71,"&lt;&gt;")=0,"",IF($F71="Gleichmäßig unter Beteiligten",IF(H71&lt;&gt;"Ja",0,IF(COUNTIF($I71:$L71,"Ja")=0,$D71-SUM($T71:T71),ROUND($D71/COUNTIF($G71:$L71,"Ja"),2))),IF($F71="Vereinbarte Beträge",IF(H71="Ja",N71,0),"")))</f>
      </c>
      <c r="V71" s="87" t="str">
        <f>IF(COUNTIF($A71:$S71,"&lt;&gt;")=0,"",IF($F71="Gleichmäßig unter Beteiligten",IF(I71&lt;&gt;"Ja",0,IF(COUNTIF($J71:$L71,"Ja")=0,$D71-SUM($T71:U71),ROUND($D71/COUNTIF($G71:$L71,"Ja"),2))),IF($F71="Vereinbarte Beträge",IF(I71="Ja",O71,0),"")))</f>
      </c>
      <c r="W71" s="87" t="str">
        <f>IF(COUNTIF($A71:$S71,"&lt;&gt;")=0,"",IF($F71="Gleichmäßig unter Beteiligten",IF(J71&lt;&gt;"Ja",0,IF(COUNTIF($K71:$L71,"Ja")=0,$D71-SUM($T71:V71),ROUND($D71/COUNTIF($G71:$L71,"Ja"),2))),IF($F71="Vereinbarte Beträge",IF(J71="Ja",P71,0),"")))</f>
      </c>
      <c r="X71" s="87" t="str">
        <f>IF(COUNTIF($A71:$S71,"&lt;&gt;")=0,"",IF($F71="Gleichmäßig unter Beteiligten",IF(K71&lt;&gt;"Ja",0,IF(COUNTIF($L71:$L71,"Ja")=0,$D71-SUM($T71:W71),ROUND($D71/COUNTIF($G71:$L71,"Ja"),2))),IF($F71="Vereinbarte Beträge",IF(K71="Ja",Q71,0),"")))</f>
      </c>
      <c r="Y71" s="87" t="str">
        <f>IF(COUNTIF($A71:$S71,"&lt;&gt;")=0,"",IF($F71="Gleichmäßig unter Beteiligten",IF(L71&lt;&gt;"Ja",0,IF(0=0,$D71-SUM($T71:X71),ROUND($D71/COUNTIF($G71:$L71,"Ja"),2))),IF($F71="Vereinbarte Beträge",IF(L71="Ja",R71,0),"")))</f>
      </c>
      <c r="Z71" s="81" t="str">
        <f>IF(COUNTIF($A71:$S71,"&lt;&gt;")=0,"",IF(OR($D71="",$D71&lt;=0),"Trage einen Betrag größer als null ein.",IF($E71="","Wähle aus, wer bezahlt hat.",IF(COUNTIF($G71:$L71,"Ja")=0,"Wähle mindestens eine beteiligte Person aus.",IF($F71="Gleichmäßig unter Beteiligten","Geprüft",IF($F71="Vereinbarte Beträge",IF(OR(AND(G71="Ja",M71=""),AND(H71="Ja",N71=""),AND(I71="Ja",O71=""),AND(J71="Ja",P71=""),AND(K71="Ja",Q71=""),AND(L71="Ja",R71="")),"Trage die vereinbarten Beträge so ein, dass ihre Summe der Ausgabe entspricht.",IF(ABS(SUM($M71:$R71))&lt;0.005,"Trage die vereinbarten Beträge so ein, dass ihre Summe der Ausgabe entspricht.",IF(SUM($M71:$R71)&lt;$D71-0.005,"Bei der Aufteilung fehlen "&amp;ROUND($D71-SUM($M71:$R71),2)&amp;".",IF(SUM($M71:$R71)&gt;$D71+0.005,"Die Aufteilung übersteigt die Ausgabe um "&amp;ROUND(SUM($M71:$R71)-$D71,2)&amp;".","Geprüft")))),"Trage die vereinbarten Beträge so ein, dass ihre Summe der Ausgabe entspricht."))))))</f>
      </c>
    </row>
    <row r="72">
      <c r="A72" s="83"/>
      <c r="B72" s="57"/>
      <c r="C72" s="57"/>
      <c r="D72" s="85"/>
      <c r="E72" s="57"/>
      <c r="F72" s="57"/>
      <c r="G72" s="57"/>
      <c r="H72" s="57"/>
      <c r="I72" s="57"/>
      <c r="J72" s="57"/>
      <c r="K72" s="57"/>
      <c r="L72" s="57"/>
      <c r="M72" s="85"/>
      <c r="N72" s="85"/>
      <c r="O72" s="85"/>
      <c r="P72" s="85"/>
      <c r="Q72" s="85"/>
      <c r="R72" s="85"/>
      <c r="S72" s="57"/>
      <c r="T72" s="87" t="str">
        <f>IF(COUNTIF($A72:$S72,"&lt;&gt;")=0,"",IF($F72="Gleichmäßig unter Beteiligten",IF(G72&lt;&gt;"Ja",0,IF(COUNTIF($H72:$L72,"Ja")=0,$D72-0,ROUND($D72/COUNTIF($G72:$L72,"Ja"),2))),IF($F72="Vereinbarte Beträge",IF(G72="Ja",M72,0),"")))</f>
      </c>
      <c r="U72" s="87" t="str">
        <f>IF(COUNTIF($A72:$S72,"&lt;&gt;")=0,"",IF($F72="Gleichmäßig unter Beteiligten",IF(H72&lt;&gt;"Ja",0,IF(COUNTIF($I72:$L72,"Ja")=0,$D72-SUM($T72:T72),ROUND($D72/COUNTIF($G72:$L72,"Ja"),2))),IF($F72="Vereinbarte Beträge",IF(H72="Ja",N72,0),"")))</f>
      </c>
      <c r="V72" s="87" t="str">
        <f>IF(COUNTIF($A72:$S72,"&lt;&gt;")=0,"",IF($F72="Gleichmäßig unter Beteiligten",IF(I72&lt;&gt;"Ja",0,IF(COUNTIF($J72:$L72,"Ja")=0,$D72-SUM($T72:U72),ROUND($D72/COUNTIF($G72:$L72,"Ja"),2))),IF($F72="Vereinbarte Beträge",IF(I72="Ja",O72,0),"")))</f>
      </c>
      <c r="W72" s="87" t="str">
        <f>IF(COUNTIF($A72:$S72,"&lt;&gt;")=0,"",IF($F72="Gleichmäßig unter Beteiligten",IF(J72&lt;&gt;"Ja",0,IF(COUNTIF($K72:$L72,"Ja")=0,$D72-SUM($T72:V72),ROUND($D72/COUNTIF($G72:$L72,"Ja"),2))),IF($F72="Vereinbarte Beträge",IF(J72="Ja",P72,0),"")))</f>
      </c>
      <c r="X72" s="87" t="str">
        <f>IF(COUNTIF($A72:$S72,"&lt;&gt;")=0,"",IF($F72="Gleichmäßig unter Beteiligten",IF(K72&lt;&gt;"Ja",0,IF(COUNTIF($L72:$L72,"Ja")=0,$D72-SUM($T72:W72),ROUND($D72/COUNTIF($G72:$L72,"Ja"),2))),IF($F72="Vereinbarte Beträge",IF(K72="Ja",Q72,0),"")))</f>
      </c>
      <c r="Y72" s="87" t="str">
        <f>IF(COUNTIF($A72:$S72,"&lt;&gt;")=0,"",IF($F72="Gleichmäßig unter Beteiligten",IF(L72&lt;&gt;"Ja",0,IF(0=0,$D72-SUM($T72:X72),ROUND($D72/COUNTIF($G72:$L72,"Ja"),2))),IF($F72="Vereinbarte Beträge",IF(L72="Ja",R72,0),"")))</f>
      </c>
      <c r="Z72" s="81" t="str">
        <f>IF(COUNTIF($A72:$S72,"&lt;&gt;")=0,"",IF(OR($D72="",$D72&lt;=0),"Trage einen Betrag größer als null ein.",IF($E72="","Wähle aus, wer bezahlt hat.",IF(COUNTIF($G72:$L72,"Ja")=0,"Wähle mindestens eine beteiligte Person aus.",IF($F72="Gleichmäßig unter Beteiligten","Geprüft",IF($F72="Vereinbarte Beträge",IF(OR(AND(G72="Ja",M72=""),AND(H72="Ja",N72=""),AND(I72="Ja",O72=""),AND(J72="Ja",P72=""),AND(K72="Ja",Q72=""),AND(L72="Ja",R72="")),"Trage die vereinbarten Beträge so ein, dass ihre Summe der Ausgabe entspricht.",IF(ABS(SUM($M72:$R72))&lt;0.005,"Trage die vereinbarten Beträge so ein, dass ihre Summe der Ausgabe entspricht.",IF(SUM($M72:$R72)&lt;$D72-0.005,"Bei der Aufteilung fehlen "&amp;ROUND($D72-SUM($M72:$R72),2)&amp;".",IF(SUM($M72:$R72)&gt;$D72+0.005,"Die Aufteilung übersteigt die Ausgabe um "&amp;ROUND(SUM($M72:$R72)-$D72,2)&amp;".","Geprüft")))),"Trage die vereinbarten Beträge so ein, dass ihre Summe der Ausgabe entspricht."))))))</f>
      </c>
    </row>
    <row r="73">
      <c r="A73" s="83"/>
      <c r="B73" s="57"/>
      <c r="C73" s="57"/>
      <c r="D73" s="85"/>
      <c r="E73" s="57"/>
      <c r="F73" s="57"/>
      <c r="G73" s="57"/>
      <c r="H73" s="57"/>
      <c r="I73" s="57"/>
      <c r="J73" s="57"/>
      <c r="K73" s="57"/>
      <c r="L73" s="57"/>
      <c r="M73" s="85"/>
      <c r="N73" s="85"/>
      <c r="O73" s="85"/>
      <c r="P73" s="85"/>
      <c r="Q73" s="85"/>
      <c r="R73" s="85"/>
      <c r="S73" s="57"/>
      <c r="T73" s="87" t="str">
        <f>IF(COUNTIF($A73:$S73,"&lt;&gt;")=0,"",IF($F73="Gleichmäßig unter Beteiligten",IF(G73&lt;&gt;"Ja",0,IF(COUNTIF($H73:$L73,"Ja")=0,$D73-0,ROUND($D73/COUNTIF($G73:$L73,"Ja"),2))),IF($F73="Vereinbarte Beträge",IF(G73="Ja",M73,0),"")))</f>
      </c>
      <c r="U73" s="87" t="str">
        <f>IF(COUNTIF($A73:$S73,"&lt;&gt;")=0,"",IF($F73="Gleichmäßig unter Beteiligten",IF(H73&lt;&gt;"Ja",0,IF(COUNTIF($I73:$L73,"Ja")=0,$D73-SUM($T73:T73),ROUND($D73/COUNTIF($G73:$L73,"Ja"),2))),IF($F73="Vereinbarte Beträge",IF(H73="Ja",N73,0),"")))</f>
      </c>
      <c r="V73" s="87" t="str">
        <f>IF(COUNTIF($A73:$S73,"&lt;&gt;")=0,"",IF($F73="Gleichmäßig unter Beteiligten",IF(I73&lt;&gt;"Ja",0,IF(COUNTIF($J73:$L73,"Ja")=0,$D73-SUM($T73:U73),ROUND($D73/COUNTIF($G73:$L73,"Ja"),2))),IF($F73="Vereinbarte Beträge",IF(I73="Ja",O73,0),"")))</f>
      </c>
      <c r="W73" s="87" t="str">
        <f>IF(COUNTIF($A73:$S73,"&lt;&gt;")=0,"",IF($F73="Gleichmäßig unter Beteiligten",IF(J73&lt;&gt;"Ja",0,IF(COUNTIF($K73:$L73,"Ja")=0,$D73-SUM($T73:V73),ROUND($D73/COUNTIF($G73:$L73,"Ja"),2))),IF($F73="Vereinbarte Beträge",IF(J73="Ja",P73,0),"")))</f>
      </c>
      <c r="X73" s="87" t="str">
        <f>IF(COUNTIF($A73:$S73,"&lt;&gt;")=0,"",IF($F73="Gleichmäßig unter Beteiligten",IF(K73&lt;&gt;"Ja",0,IF(COUNTIF($L73:$L73,"Ja")=0,$D73-SUM($T73:W73),ROUND($D73/COUNTIF($G73:$L73,"Ja"),2))),IF($F73="Vereinbarte Beträge",IF(K73="Ja",Q73,0),"")))</f>
      </c>
      <c r="Y73" s="87" t="str">
        <f>IF(COUNTIF($A73:$S73,"&lt;&gt;")=0,"",IF($F73="Gleichmäßig unter Beteiligten",IF(L73&lt;&gt;"Ja",0,IF(0=0,$D73-SUM($T73:X73),ROUND($D73/COUNTIF($G73:$L73,"Ja"),2))),IF($F73="Vereinbarte Beträge",IF(L73="Ja",R73,0),"")))</f>
      </c>
      <c r="Z73" s="81" t="str">
        <f>IF(COUNTIF($A73:$S73,"&lt;&gt;")=0,"",IF(OR($D73="",$D73&lt;=0),"Trage einen Betrag größer als null ein.",IF($E73="","Wähle aus, wer bezahlt hat.",IF(COUNTIF($G73:$L73,"Ja")=0,"Wähle mindestens eine beteiligte Person aus.",IF($F73="Gleichmäßig unter Beteiligten","Geprüft",IF($F73="Vereinbarte Beträge",IF(OR(AND(G73="Ja",M73=""),AND(H73="Ja",N73=""),AND(I73="Ja",O73=""),AND(J73="Ja",P73=""),AND(K73="Ja",Q73=""),AND(L73="Ja",R73="")),"Trage die vereinbarten Beträge so ein, dass ihre Summe der Ausgabe entspricht.",IF(ABS(SUM($M73:$R73))&lt;0.005,"Trage die vereinbarten Beträge so ein, dass ihre Summe der Ausgabe entspricht.",IF(SUM($M73:$R73)&lt;$D73-0.005,"Bei der Aufteilung fehlen "&amp;ROUND($D73-SUM($M73:$R73),2)&amp;".",IF(SUM($M73:$R73)&gt;$D73+0.005,"Die Aufteilung übersteigt die Ausgabe um "&amp;ROUND(SUM($M73:$R73)-$D73,2)&amp;".","Geprüft")))),"Trage die vereinbarten Beträge so ein, dass ihre Summe der Ausgabe entspricht."))))))</f>
      </c>
    </row>
    <row r="74">
      <c r="A74" s="83"/>
      <c r="B74" s="57"/>
      <c r="C74" s="57"/>
      <c r="D74" s="85"/>
      <c r="E74" s="57"/>
      <c r="F74" s="57"/>
      <c r="G74" s="57"/>
      <c r="H74" s="57"/>
      <c r="I74" s="57"/>
      <c r="J74" s="57"/>
      <c r="K74" s="57"/>
      <c r="L74" s="57"/>
      <c r="M74" s="85"/>
      <c r="N74" s="85"/>
      <c r="O74" s="85"/>
      <c r="P74" s="85"/>
      <c r="Q74" s="85"/>
      <c r="R74" s="85"/>
      <c r="S74" s="57"/>
      <c r="T74" s="87" t="str">
        <f>IF(COUNTIF($A74:$S74,"&lt;&gt;")=0,"",IF($F74="Gleichmäßig unter Beteiligten",IF(G74&lt;&gt;"Ja",0,IF(COUNTIF($H74:$L74,"Ja")=0,$D74-0,ROUND($D74/COUNTIF($G74:$L74,"Ja"),2))),IF($F74="Vereinbarte Beträge",IF(G74="Ja",M74,0),"")))</f>
      </c>
      <c r="U74" s="87" t="str">
        <f>IF(COUNTIF($A74:$S74,"&lt;&gt;")=0,"",IF($F74="Gleichmäßig unter Beteiligten",IF(H74&lt;&gt;"Ja",0,IF(COUNTIF($I74:$L74,"Ja")=0,$D74-SUM($T74:T74),ROUND($D74/COUNTIF($G74:$L74,"Ja"),2))),IF($F74="Vereinbarte Beträge",IF(H74="Ja",N74,0),"")))</f>
      </c>
      <c r="V74" s="87" t="str">
        <f>IF(COUNTIF($A74:$S74,"&lt;&gt;")=0,"",IF($F74="Gleichmäßig unter Beteiligten",IF(I74&lt;&gt;"Ja",0,IF(COUNTIF($J74:$L74,"Ja")=0,$D74-SUM($T74:U74),ROUND($D74/COUNTIF($G74:$L74,"Ja"),2))),IF($F74="Vereinbarte Beträge",IF(I74="Ja",O74,0),"")))</f>
      </c>
      <c r="W74" s="87" t="str">
        <f>IF(COUNTIF($A74:$S74,"&lt;&gt;")=0,"",IF($F74="Gleichmäßig unter Beteiligten",IF(J74&lt;&gt;"Ja",0,IF(COUNTIF($K74:$L74,"Ja")=0,$D74-SUM($T74:V74),ROUND($D74/COUNTIF($G74:$L74,"Ja"),2))),IF($F74="Vereinbarte Beträge",IF(J74="Ja",P74,0),"")))</f>
      </c>
      <c r="X74" s="87" t="str">
        <f>IF(COUNTIF($A74:$S74,"&lt;&gt;")=0,"",IF($F74="Gleichmäßig unter Beteiligten",IF(K74&lt;&gt;"Ja",0,IF(COUNTIF($L74:$L74,"Ja")=0,$D74-SUM($T74:W74),ROUND($D74/COUNTIF($G74:$L74,"Ja"),2))),IF($F74="Vereinbarte Beträge",IF(K74="Ja",Q74,0),"")))</f>
      </c>
      <c r="Y74" s="87" t="str">
        <f>IF(COUNTIF($A74:$S74,"&lt;&gt;")=0,"",IF($F74="Gleichmäßig unter Beteiligten",IF(L74&lt;&gt;"Ja",0,IF(0=0,$D74-SUM($T74:X74),ROUND($D74/COUNTIF($G74:$L74,"Ja"),2))),IF($F74="Vereinbarte Beträge",IF(L74="Ja",R74,0),"")))</f>
      </c>
      <c r="Z74" s="81" t="str">
        <f>IF(COUNTIF($A74:$S74,"&lt;&gt;")=0,"",IF(OR($D74="",$D74&lt;=0),"Trage einen Betrag größer als null ein.",IF($E74="","Wähle aus, wer bezahlt hat.",IF(COUNTIF($G74:$L74,"Ja")=0,"Wähle mindestens eine beteiligte Person aus.",IF($F74="Gleichmäßig unter Beteiligten","Geprüft",IF($F74="Vereinbarte Beträge",IF(OR(AND(G74="Ja",M74=""),AND(H74="Ja",N74=""),AND(I74="Ja",O74=""),AND(J74="Ja",P74=""),AND(K74="Ja",Q74=""),AND(L74="Ja",R74="")),"Trage die vereinbarten Beträge so ein, dass ihre Summe der Ausgabe entspricht.",IF(ABS(SUM($M74:$R74))&lt;0.005,"Trage die vereinbarten Beträge so ein, dass ihre Summe der Ausgabe entspricht.",IF(SUM($M74:$R74)&lt;$D74-0.005,"Bei der Aufteilung fehlen "&amp;ROUND($D74-SUM($M74:$R74),2)&amp;".",IF(SUM($M74:$R74)&gt;$D74+0.005,"Die Aufteilung übersteigt die Ausgabe um "&amp;ROUND(SUM($M74:$R74)-$D74,2)&amp;".","Geprüft")))),"Trage die vereinbarten Beträge so ein, dass ihre Summe der Ausgabe entspricht."))))))</f>
      </c>
    </row>
    <row r="75">
      <c r="A75" s="83"/>
      <c r="B75" s="57"/>
      <c r="C75" s="57"/>
      <c r="D75" s="85"/>
      <c r="E75" s="57"/>
      <c r="F75" s="57"/>
      <c r="G75" s="57"/>
      <c r="H75" s="57"/>
      <c r="I75" s="57"/>
      <c r="J75" s="57"/>
      <c r="K75" s="57"/>
      <c r="L75" s="57"/>
      <c r="M75" s="85"/>
      <c r="N75" s="85"/>
      <c r="O75" s="85"/>
      <c r="P75" s="85"/>
      <c r="Q75" s="85"/>
      <c r="R75" s="85"/>
      <c r="S75" s="57"/>
      <c r="T75" s="87" t="str">
        <f>IF(COUNTIF($A75:$S75,"&lt;&gt;")=0,"",IF($F75="Gleichmäßig unter Beteiligten",IF(G75&lt;&gt;"Ja",0,IF(COUNTIF($H75:$L75,"Ja")=0,$D75-0,ROUND($D75/COUNTIF($G75:$L75,"Ja"),2))),IF($F75="Vereinbarte Beträge",IF(G75="Ja",M75,0),"")))</f>
      </c>
      <c r="U75" s="87" t="str">
        <f>IF(COUNTIF($A75:$S75,"&lt;&gt;")=0,"",IF($F75="Gleichmäßig unter Beteiligten",IF(H75&lt;&gt;"Ja",0,IF(COUNTIF($I75:$L75,"Ja")=0,$D75-SUM($T75:T75),ROUND($D75/COUNTIF($G75:$L75,"Ja"),2))),IF($F75="Vereinbarte Beträge",IF(H75="Ja",N75,0),"")))</f>
      </c>
      <c r="V75" s="87" t="str">
        <f>IF(COUNTIF($A75:$S75,"&lt;&gt;")=0,"",IF($F75="Gleichmäßig unter Beteiligten",IF(I75&lt;&gt;"Ja",0,IF(COUNTIF($J75:$L75,"Ja")=0,$D75-SUM($T75:U75),ROUND($D75/COUNTIF($G75:$L75,"Ja"),2))),IF($F75="Vereinbarte Beträge",IF(I75="Ja",O75,0),"")))</f>
      </c>
      <c r="W75" s="87" t="str">
        <f>IF(COUNTIF($A75:$S75,"&lt;&gt;")=0,"",IF($F75="Gleichmäßig unter Beteiligten",IF(J75&lt;&gt;"Ja",0,IF(COUNTIF($K75:$L75,"Ja")=0,$D75-SUM($T75:V75),ROUND($D75/COUNTIF($G75:$L75,"Ja"),2))),IF($F75="Vereinbarte Beträge",IF(J75="Ja",P75,0),"")))</f>
      </c>
      <c r="X75" s="87" t="str">
        <f>IF(COUNTIF($A75:$S75,"&lt;&gt;")=0,"",IF($F75="Gleichmäßig unter Beteiligten",IF(K75&lt;&gt;"Ja",0,IF(COUNTIF($L75:$L75,"Ja")=0,$D75-SUM($T75:W75),ROUND($D75/COUNTIF($G75:$L75,"Ja"),2))),IF($F75="Vereinbarte Beträge",IF(K75="Ja",Q75,0),"")))</f>
      </c>
      <c r="Y75" s="87" t="str">
        <f>IF(COUNTIF($A75:$S75,"&lt;&gt;")=0,"",IF($F75="Gleichmäßig unter Beteiligten",IF(L75&lt;&gt;"Ja",0,IF(0=0,$D75-SUM($T75:X75),ROUND($D75/COUNTIF($G75:$L75,"Ja"),2))),IF($F75="Vereinbarte Beträge",IF(L75="Ja",R75,0),"")))</f>
      </c>
      <c r="Z75" s="81" t="str">
        <f>IF(COUNTIF($A75:$S75,"&lt;&gt;")=0,"",IF(OR($D75="",$D75&lt;=0),"Trage einen Betrag größer als null ein.",IF($E75="","Wähle aus, wer bezahlt hat.",IF(COUNTIF($G75:$L75,"Ja")=0,"Wähle mindestens eine beteiligte Person aus.",IF($F75="Gleichmäßig unter Beteiligten","Geprüft",IF($F75="Vereinbarte Beträge",IF(OR(AND(G75="Ja",M75=""),AND(H75="Ja",N75=""),AND(I75="Ja",O75=""),AND(J75="Ja",P75=""),AND(K75="Ja",Q75=""),AND(L75="Ja",R75="")),"Trage die vereinbarten Beträge so ein, dass ihre Summe der Ausgabe entspricht.",IF(ABS(SUM($M75:$R75))&lt;0.005,"Trage die vereinbarten Beträge so ein, dass ihre Summe der Ausgabe entspricht.",IF(SUM($M75:$R75)&lt;$D75-0.005,"Bei der Aufteilung fehlen "&amp;ROUND($D75-SUM($M75:$R75),2)&amp;".",IF(SUM($M75:$R75)&gt;$D75+0.005,"Die Aufteilung übersteigt die Ausgabe um "&amp;ROUND(SUM($M75:$R75)-$D75,2)&amp;".","Geprüft")))),"Trage die vereinbarten Beträge so ein, dass ihre Summe der Ausgabe entspricht."))))))</f>
      </c>
    </row>
    <row r="76">
      <c r="A76" s="83"/>
      <c r="B76" s="57"/>
      <c r="C76" s="57"/>
      <c r="D76" s="85"/>
      <c r="E76" s="57"/>
      <c r="F76" s="57"/>
      <c r="G76" s="57"/>
      <c r="H76" s="57"/>
      <c r="I76" s="57"/>
      <c r="J76" s="57"/>
      <c r="K76" s="57"/>
      <c r="L76" s="57"/>
      <c r="M76" s="85"/>
      <c r="N76" s="85"/>
      <c r="O76" s="85"/>
      <c r="P76" s="85"/>
      <c r="Q76" s="85"/>
      <c r="R76" s="85"/>
      <c r="S76" s="57"/>
      <c r="T76" s="87" t="str">
        <f>IF(COUNTIF($A76:$S76,"&lt;&gt;")=0,"",IF($F76="Gleichmäßig unter Beteiligten",IF(G76&lt;&gt;"Ja",0,IF(COUNTIF($H76:$L76,"Ja")=0,$D76-0,ROUND($D76/COUNTIF($G76:$L76,"Ja"),2))),IF($F76="Vereinbarte Beträge",IF(G76="Ja",M76,0),"")))</f>
      </c>
      <c r="U76" s="87" t="str">
        <f>IF(COUNTIF($A76:$S76,"&lt;&gt;")=0,"",IF($F76="Gleichmäßig unter Beteiligten",IF(H76&lt;&gt;"Ja",0,IF(COUNTIF($I76:$L76,"Ja")=0,$D76-SUM($T76:T76),ROUND($D76/COUNTIF($G76:$L76,"Ja"),2))),IF($F76="Vereinbarte Beträge",IF(H76="Ja",N76,0),"")))</f>
      </c>
      <c r="V76" s="87" t="str">
        <f>IF(COUNTIF($A76:$S76,"&lt;&gt;")=0,"",IF($F76="Gleichmäßig unter Beteiligten",IF(I76&lt;&gt;"Ja",0,IF(COUNTIF($J76:$L76,"Ja")=0,$D76-SUM($T76:U76),ROUND($D76/COUNTIF($G76:$L76,"Ja"),2))),IF($F76="Vereinbarte Beträge",IF(I76="Ja",O76,0),"")))</f>
      </c>
      <c r="W76" s="87" t="str">
        <f>IF(COUNTIF($A76:$S76,"&lt;&gt;")=0,"",IF($F76="Gleichmäßig unter Beteiligten",IF(J76&lt;&gt;"Ja",0,IF(COUNTIF($K76:$L76,"Ja")=0,$D76-SUM($T76:V76),ROUND($D76/COUNTIF($G76:$L76,"Ja"),2))),IF($F76="Vereinbarte Beträge",IF(J76="Ja",P76,0),"")))</f>
      </c>
      <c r="X76" s="87" t="str">
        <f>IF(COUNTIF($A76:$S76,"&lt;&gt;")=0,"",IF($F76="Gleichmäßig unter Beteiligten",IF(K76&lt;&gt;"Ja",0,IF(COUNTIF($L76:$L76,"Ja")=0,$D76-SUM($T76:W76),ROUND($D76/COUNTIF($G76:$L76,"Ja"),2))),IF($F76="Vereinbarte Beträge",IF(K76="Ja",Q76,0),"")))</f>
      </c>
      <c r="Y76" s="87" t="str">
        <f>IF(COUNTIF($A76:$S76,"&lt;&gt;")=0,"",IF($F76="Gleichmäßig unter Beteiligten",IF(L76&lt;&gt;"Ja",0,IF(0=0,$D76-SUM($T76:X76),ROUND($D76/COUNTIF($G76:$L76,"Ja"),2))),IF($F76="Vereinbarte Beträge",IF(L76="Ja",R76,0),"")))</f>
      </c>
      <c r="Z76" s="81" t="str">
        <f>IF(COUNTIF($A76:$S76,"&lt;&gt;")=0,"",IF(OR($D76="",$D76&lt;=0),"Trage einen Betrag größer als null ein.",IF($E76="","Wähle aus, wer bezahlt hat.",IF(COUNTIF($G76:$L76,"Ja")=0,"Wähle mindestens eine beteiligte Person aus.",IF($F76="Gleichmäßig unter Beteiligten","Geprüft",IF($F76="Vereinbarte Beträge",IF(OR(AND(G76="Ja",M76=""),AND(H76="Ja",N76=""),AND(I76="Ja",O76=""),AND(J76="Ja",P76=""),AND(K76="Ja",Q76=""),AND(L76="Ja",R76="")),"Trage die vereinbarten Beträge so ein, dass ihre Summe der Ausgabe entspricht.",IF(ABS(SUM($M76:$R76))&lt;0.005,"Trage die vereinbarten Beträge so ein, dass ihre Summe der Ausgabe entspricht.",IF(SUM($M76:$R76)&lt;$D76-0.005,"Bei der Aufteilung fehlen "&amp;ROUND($D76-SUM($M76:$R76),2)&amp;".",IF(SUM($M76:$R76)&gt;$D76+0.005,"Die Aufteilung übersteigt die Ausgabe um "&amp;ROUND(SUM($M76:$R76)-$D76,2)&amp;".","Geprüft")))),"Trage die vereinbarten Beträge so ein, dass ihre Summe der Ausgabe entspricht."))))))</f>
      </c>
    </row>
    <row r="77">
      <c r="A77" s="83"/>
      <c r="B77" s="57"/>
      <c r="C77" s="57"/>
      <c r="D77" s="85"/>
      <c r="E77" s="57"/>
      <c r="F77" s="57"/>
      <c r="G77" s="57"/>
      <c r="H77" s="57"/>
      <c r="I77" s="57"/>
      <c r="J77" s="57"/>
      <c r="K77" s="57"/>
      <c r="L77" s="57"/>
      <c r="M77" s="85"/>
      <c r="N77" s="85"/>
      <c r="O77" s="85"/>
      <c r="P77" s="85"/>
      <c r="Q77" s="85"/>
      <c r="R77" s="85"/>
      <c r="S77" s="57"/>
      <c r="T77" s="87" t="str">
        <f>IF(COUNTIF($A77:$S77,"&lt;&gt;")=0,"",IF($F77="Gleichmäßig unter Beteiligten",IF(G77&lt;&gt;"Ja",0,IF(COUNTIF($H77:$L77,"Ja")=0,$D77-0,ROUND($D77/COUNTIF($G77:$L77,"Ja"),2))),IF($F77="Vereinbarte Beträge",IF(G77="Ja",M77,0),"")))</f>
      </c>
      <c r="U77" s="87" t="str">
        <f>IF(COUNTIF($A77:$S77,"&lt;&gt;")=0,"",IF($F77="Gleichmäßig unter Beteiligten",IF(H77&lt;&gt;"Ja",0,IF(COUNTIF($I77:$L77,"Ja")=0,$D77-SUM($T77:T77),ROUND($D77/COUNTIF($G77:$L77,"Ja"),2))),IF($F77="Vereinbarte Beträge",IF(H77="Ja",N77,0),"")))</f>
      </c>
      <c r="V77" s="87" t="str">
        <f>IF(COUNTIF($A77:$S77,"&lt;&gt;")=0,"",IF($F77="Gleichmäßig unter Beteiligten",IF(I77&lt;&gt;"Ja",0,IF(COUNTIF($J77:$L77,"Ja")=0,$D77-SUM($T77:U77),ROUND($D77/COUNTIF($G77:$L77,"Ja"),2))),IF($F77="Vereinbarte Beträge",IF(I77="Ja",O77,0),"")))</f>
      </c>
      <c r="W77" s="87" t="str">
        <f>IF(COUNTIF($A77:$S77,"&lt;&gt;")=0,"",IF($F77="Gleichmäßig unter Beteiligten",IF(J77&lt;&gt;"Ja",0,IF(COUNTIF($K77:$L77,"Ja")=0,$D77-SUM($T77:V77),ROUND($D77/COUNTIF($G77:$L77,"Ja"),2))),IF($F77="Vereinbarte Beträge",IF(J77="Ja",P77,0),"")))</f>
      </c>
      <c r="X77" s="87" t="str">
        <f>IF(COUNTIF($A77:$S77,"&lt;&gt;")=0,"",IF($F77="Gleichmäßig unter Beteiligten",IF(K77&lt;&gt;"Ja",0,IF(COUNTIF($L77:$L77,"Ja")=0,$D77-SUM($T77:W77),ROUND($D77/COUNTIF($G77:$L77,"Ja"),2))),IF($F77="Vereinbarte Beträge",IF(K77="Ja",Q77,0),"")))</f>
      </c>
      <c r="Y77" s="87" t="str">
        <f>IF(COUNTIF($A77:$S77,"&lt;&gt;")=0,"",IF($F77="Gleichmäßig unter Beteiligten",IF(L77&lt;&gt;"Ja",0,IF(0=0,$D77-SUM($T77:X77),ROUND($D77/COUNTIF($G77:$L77,"Ja"),2))),IF($F77="Vereinbarte Beträge",IF(L77="Ja",R77,0),"")))</f>
      </c>
      <c r="Z77" s="81" t="str">
        <f>IF(COUNTIF($A77:$S77,"&lt;&gt;")=0,"",IF(OR($D77="",$D77&lt;=0),"Trage einen Betrag größer als null ein.",IF($E77="","Wähle aus, wer bezahlt hat.",IF(COUNTIF($G77:$L77,"Ja")=0,"Wähle mindestens eine beteiligte Person aus.",IF($F77="Gleichmäßig unter Beteiligten","Geprüft",IF($F77="Vereinbarte Beträge",IF(OR(AND(G77="Ja",M77=""),AND(H77="Ja",N77=""),AND(I77="Ja",O77=""),AND(J77="Ja",P77=""),AND(K77="Ja",Q77=""),AND(L77="Ja",R77="")),"Trage die vereinbarten Beträge so ein, dass ihre Summe der Ausgabe entspricht.",IF(ABS(SUM($M77:$R77))&lt;0.005,"Trage die vereinbarten Beträge so ein, dass ihre Summe der Ausgabe entspricht.",IF(SUM($M77:$R77)&lt;$D77-0.005,"Bei der Aufteilung fehlen "&amp;ROUND($D77-SUM($M77:$R77),2)&amp;".",IF(SUM($M77:$R77)&gt;$D77+0.005,"Die Aufteilung übersteigt die Ausgabe um "&amp;ROUND(SUM($M77:$R77)-$D77,2)&amp;".","Geprüft")))),"Trage die vereinbarten Beträge so ein, dass ihre Summe der Ausgabe entspricht."))))))</f>
      </c>
    </row>
    <row r="78">
      <c r="A78" s="83"/>
      <c r="B78" s="57"/>
      <c r="C78" s="57"/>
      <c r="D78" s="85"/>
      <c r="E78" s="57"/>
      <c r="F78" s="57"/>
      <c r="G78" s="57"/>
      <c r="H78" s="57"/>
      <c r="I78" s="57"/>
      <c r="J78" s="57"/>
      <c r="K78" s="57"/>
      <c r="L78" s="57"/>
      <c r="M78" s="85"/>
      <c r="N78" s="85"/>
      <c r="O78" s="85"/>
      <c r="P78" s="85"/>
      <c r="Q78" s="85"/>
      <c r="R78" s="85"/>
      <c r="S78" s="57"/>
      <c r="T78" s="87" t="str">
        <f>IF(COUNTIF($A78:$S78,"&lt;&gt;")=0,"",IF($F78="Gleichmäßig unter Beteiligten",IF(G78&lt;&gt;"Ja",0,IF(COUNTIF($H78:$L78,"Ja")=0,$D78-0,ROUND($D78/COUNTIF($G78:$L78,"Ja"),2))),IF($F78="Vereinbarte Beträge",IF(G78="Ja",M78,0),"")))</f>
      </c>
      <c r="U78" s="87" t="str">
        <f>IF(COUNTIF($A78:$S78,"&lt;&gt;")=0,"",IF($F78="Gleichmäßig unter Beteiligten",IF(H78&lt;&gt;"Ja",0,IF(COUNTIF($I78:$L78,"Ja")=0,$D78-SUM($T78:T78),ROUND($D78/COUNTIF($G78:$L78,"Ja"),2))),IF($F78="Vereinbarte Beträge",IF(H78="Ja",N78,0),"")))</f>
      </c>
      <c r="V78" s="87" t="str">
        <f>IF(COUNTIF($A78:$S78,"&lt;&gt;")=0,"",IF($F78="Gleichmäßig unter Beteiligten",IF(I78&lt;&gt;"Ja",0,IF(COUNTIF($J78:$L78,"Ja")=0,$D78-SUM($T78:U78),ROUND($D78/COUNTIF($G78:$L78,"Ja"),2))),IF($F78="Vereinbarte Beträge",IF(I78="Ja",O78,0),"")))</f>
      </c>
      <c r="W78" s="87" t="str">
        <f>IF(COUNTIF($A78:$S78,"&lt;&gt;")=0,"",IF($F78="Gleichmäßig unter Beteiligten",IF(J78&lt;&gt;"Ja",0,IF(COUNTIF($K78:$L78,"Ja")=0,$D78-SUM($T78:V78),ROUND($D78/COUNTIF($G78:$L78,"Ja"),2))),IF($F78="Vereinbarte Beträge",IF(J78="Ja",P78,0),"")))</f>
      </c>
      <c r="X78" s="87" t="str">
        <f>IF(COUNTIF($A78:$S78,"&lt;&gt;")=0,"",IF($F78="Gleichmäßig unter Beteiligten",IF(K78&lt;&gt;"Ja",0,IF(COUNTIF($L78:$L78,"Ja")=0,$D78-SUM($T78:W78),ROUND($D78/COUNTIF($G78:$L78,"Ja"),2))),IF($F78="Vereinbarte Beträge",IF(K78="Ja",Q78,0),"")))</f>
      </c>
      <c r="Y78" s="87" t="str">
        <f>IF(COUNTIF($A78:$S78,"&lt;&gt;")=0,"",IF($F78="Gleichmäßig unter Beteiligten",IF(L78&lt;&gt;"Ja",0,IF(0=0,$D78-SUM($T78:X78),ROUND($D78/COUNTIF($G78:$L78,"Ja"),2))),IF($F78="Vereinbarte Beträge",IF(L78="Ja",R78,0),"")))</f>
      </c>
      <c r="Z78" s="81" t="str">
        <f>IF(COUNTIF($A78:$S78,"&lt;&gt;")=0,"",IF(OR($D78="",$D78&lt;=0),"Trage einen Betrag größer als null ein.",IF($E78="","Wähle aus, wer bezahlt hat.",IF(COUNTIF($G78:$L78,"Ja")=0,"Wähle mindestens eine beteiligte Person aus.",IF($F78="Gleichmäßig unter Beteiligten","Geprüft",IF($F78="Vereinbarte Beträge",IF(OR(AND(G78="Ja",M78=""),AND(H78="Ja",N78=""),AND(I78="Ja",O78=""),AND(J78="Ja",P78=""),AND(K78="Ja",Q78=""),AND(L78="Ja",R78="")),"Trage die vereinbarten Beträge so ein, dass ihre Summe der Ausgabe entspricht.",IF(ABS(SUM($M78:$R78))&lt;0.005,"Trage die vereinbarten Beträge so ein, dass ihre Summe der Ausgabe entspricht.",IF(SUM($M78:$R78)&lt;$D78-0.005,"Bei der Aufteilung fehlen "&amp;ROUND($D78-SUM($M78:$R78),2)&amp;".",IF(SUM($M78:$R78)&gt;$D78+0.005,"Die Aufteilung übersteigt die Ausgabe um "&amp;ROUND(SUM($M78:$R78)-$D78,2)&amp;".","Geprüft")))),"Trage die vereinbarten Beträge so ein, dass ihre Summe der Ausgabe entspricht."))))))</f>
      </c>
    </row>
    <row r="79">
      <c r="A79" s="83"/>
      <c r="B79" s="57"/>
      <c r="C79" s="57"/>
      <c r="D79" s="85"/>
      <c r="E79" s="57"/>
      <c r="F79" s="57"/>
      <c r="G79" s="57"/>
      <c r="H79" s="57"/>
      <c r="I79" s="57"/>
      <c r="J79" s="57"/>
      <c r="K79" s="57"/>
      <c r="L79" s="57"/>
      <c r="M79" s="85"/>
      <c r="N79" s="85"/>
      <c r="O79" s="85"/>
      <c r="P79" s="85"/>
      <c r="Q79" s="85"/>
      <c r="R79" s="85"/>
      <c r="S79" s="57"/>
      <c r="T79" s="87" t="str">
        <f>IF(COUNTIF($A79:$S79,"&lt;&gt;")=0,"",IF($F79="Gleichmäßig unter Beteiligten",IF(G79&lt;&gt;"Ja",0,IF(COUNTIF($H79:$L79,"Ja")=0,$D79-0,ROUND($D79/COUNTIF($G79:$L79,"Ja"),2))),IF($F79="Vereinbarte Beträge",IF(G79="Ja",M79,0),"")))</f>
      </c>
      <c r="U79" s="87" t="str">
        <f>IF(COUNTIF($A79:$S79,"&lt;&gt;")=0,"",IF($F79="Gleichmäßig unter Beteiligten",IF(H79&lt;&gt;"Ja",0,IF(COUNTIF($I79:$L79,"Ja")=0,$D79-SUM($T79:T79),ROUND($D79/COUNTIF($G79:$L79,"Ja"),2))),IF($F79="Vereinbarte Beträge",IF(H79="Ja",N79,0),"")))</f>
      </c>
      <c r="V79" s="87" t="str">
        <f>IF(COUNTIF($A79:$S79,"&lt;&gt;")=0,"",IF($F79="Gleichmäßig unter Beteiligten",IF(I79&lt;&gt;"Ja",0,IF(COUNTIF($J79:$L79,"Ja")=0,$D79-SUM($T79:U79),ROUND($D79/COUNTIF($G79:$L79,"Ja"),2))),IF($F79="Vereinbarte Beträge",IF(I79="Ja",O79,0),"")))</f>
      </c>
      <c r="W79" s="87" t="str">
        <f>IF(COUNTIF($A79:$S79,"&lt;&gt;")=0,"",IF($F79="Gleichmäßig unter Beteiligten",IF(J79&lt;&gt;"Ja",0,IF(COUNTIF($K79:$L79,"Ja")=0,$D79-SUM($T79:V79),ROUND($D79/COUNTIF($G79:$L79,"Ja"),2))),IF($F79="Vereinbarte Beträge",IF(J79="Ja",P79,0),"")))</f>
      </c>
      <c r="X79" s="87" t="str">
        <f>IF(COUNTIF($A79:$S79,"&lt;&gt;")=0,"",IF($F79="Gleichmäßig unter Beteiligten",IF(K79&lt;&gt;"Ja",0,IF(COUNTIF($L79:$L79,"Ja")=0,$D79-SUM($T79:W79),ROUND($D79/COUNTIF($G79:$L79,"Ja"),2))),IF($F79="Vereinbarte Beträge",IF(K79="Ja",Q79,0),"")))</f>
      </c>
      <c r="Y79" s="87" t="str">
        <f>IF(COUNTIF($A79:$S79,"&lt;&gt;")=0,"",IF($F79="Gleichmäßig unter Beteiligten",IF(L79&lt;&gt;"Ja",0,IF(0=0,$D79-SUM($T79:X79),ROUND($D79/COUNTIF($G79:$L79,"Ja"),2))),IF($F79="Vereinbarte Beträge",IF(L79="Ja",R79,0),"")))</f>
      </c>
      <c r="Z79" s="81" t="str">
        <f>IF(COUNTIF($A79:$S79,"&lt;&gt;")=0,"",IF(OR($D79="",$D79&lt;=0),"Trage einen Betrag größer als null ein.",IF($E79="","Wähle aus, wer bezahlt hat.",IF(COUNTIF($G79:$L79,"Ja")=0,"Wähle mindestens eine beteiligte Person aus.",IF($F79="Gleichmäßig unter Beteiligten","Geprüft",IF($F79="Vereinbarte Beträge",IF(OR(AND(G79="Ja",M79=""),AND(H79="Ja",N79=""),AND(I79="Ja",O79=""),AND(J79="Ja",P79=""),AND(K79="Ja",Q79=""),AND(L79="Ja",R79="")),"Trage die vereinbarten Beträge so ein, dass ihre Summe der Ausgabe entspricht.",IF(ABS(SUM($M79:$R79))&lt;0.005,"Trage die vereinbarten Beträge so ein, dass ihre Summe der Ausgabe entspricht.",IF(SUM($M79:$R79)&lt;$D79-0.005,"Bei der Aufteilung fehlen "&amp;ROUND($D79-SUM($M79:$R79),2)&amp;".",IF(SUM($M79:$R79)&gt;$D79+0.005,"Die Aufteilung übersteigt die Ausgabe um "&amp;ROUND(SUM($M79:$R79)-$D79,2)&amp;".","Geprüft")))),"Trage die vereinbarten Beträge so ein, dass ihre Summe der Ausgabe entspricht."))))))</f>
      </c>
    </row>
    <row r="80">
      <c r="A80" s="83"/>
      <c r="B80" s="57"/>
      <c r="C80" s="57"/>
      <c r="D80" s="85"/>
      <c r="E80" s="57"/>
      <c r="F80" s="57"/>
      <c r="G80" s="57"/>
      <c r="H80" s="57"/>
      <c r="I80" s="57"/>
      <c r="J80" s="57"/>
      <c r="K80" s="57"/>
      <c r="L80" s="57"/>
      <c r="M80" s="85"/>
      <c r="N80" s="85"/>
      <c r="O80" s="85"/>
      <c r="P80" s="85"/>
      <c r="Q80" s="85"/>
      <c r="R80" s="85"/>
      <c r="S80" s="57"/>
      <c r="T80" s="87" t="str">
        <f>IF(COUNTIF($A80:$S80,"&lt;&gt;")=0,"",IF($F80="Gleichmäßig unter Beteiligten",IF(G80&lt;&gt;"Ja",0,IF(COUNTIF($H80:$L80,"Ja")=0,$D80-0,ROUND($D80/COUNTIF($G80:$L80,"Ja"),2))),IF($F80="Vereinbarte Beträge",IF(G80="Ja",M80,0),"")))</f>
      </c>
      <c r="U80" s="87" t="str">
        <f>IF(COUNTIF($A80:$S80,"&lt;&gt;")=0,"",IF($F80="Gleichmäßig unter Beteiligten",IF(H80&lt;&gt;"Ja",0,IF(COUNTIF($I80:$L80,"Ja")=0,$D80-SUM($T80:T80),ROUND($D80/COUNTIF($G80:$L80,"Ja"),2))),IF($F80="Vereinbarte Beträge",IF(H80="Ja",N80,0),"")))</f>
      </c>
      <c r="V80" s="87" t="str">
        <f>IF(COUNTIF($A80:$S80,"&lt;&gt;")=0,"",IF($F80="Gleichmäßig unter Beteiligten",IF(I80&lt;&gt;"Ja",0,IF(COUNTIF($J80:$L80,"Ja")=0,$D80-SUM($T80:U80),ROUND($D80/COUNTIF($G80:$L80,"Ja"),2))),IF($F80="Vereinbarte Beträge",IF(I80="Ja",O80,0),"")))</f>
      </c>
      <c r="W80" s="87" t="str">
        <f>IF(COUNTIF($A80:$S80,"&lt;&gt;")=0,"",IF($F80="Gleichmäßig unter Beteiligten",IF(J80&lt;&gt;"Ja",0,IF(COUNTIF($K80:$L80,"Ja")=0,$D80-SUM($T80:V80),ROUND($D80/COUNTIF($G80:$L80,"Ja"),2))),IF($F80="Vereinbarte Beträge",IF(J80="Ja",P80,0),"")))</f>
      </c>
      <c r="X80" s="87" t="str">
        <f>IF(COUNTIF($A80:$S80,"&lt;&gt;")=0,"",IF($F80="Gleichmäßig unter Beteiligten",IF(K80&lt;&gt;"Ja",0,IF(COUNTIF($L80:$L80,"Ja")=0,$D80-SUM($T80:W80),ROUND($D80/COUNTIF($G80:$L80,"Ja"),2))),IF($F80="Vereinbarte Beträge",IF(K80="Ja",Q80,0),"")))</f>
      </c>
      <c r="Y80" s="87" t="str">
        <f>IF(COUNTIF($A80:$S80,"&lt;&gt;")=0,"",IF($F80="Gleichmäßig unter Beteiligten",IF(L80&lt;&gt;"Ja",0,IF(0=0,$D80-SUM($T80:X80),ROUND($D80/COUNTIF($G80:$L80,"Ja"),2))),IF($F80="Vereinbarte Beträge",IF(L80="Ja",R80,0),"")))</f>
      </c>
      <c r="Z80" s="81" t="str">
        <f>IF(COUNTIF($A80:$S80,"&lt;&gt;")=0,"",IF(OR($D80="",$D80&lt;=0),"Trage einen Betrag größer als null ein.",IF($E80="","Wähle aus, wer bezahlt hat.",IF(COUNTIF($G80:$L80,"Ja")=0,"Wähle mindestens eine beteiligte Person aus.",IF($F80="Gleichmäßig unter Beteiligten","Geprüft",IF($F80="Vereinbarte Beträge",IF(OR(AND(G80="Ja",M80=""),AND(H80="Ja",N80=""),AND(I80="Ja",O80=""),AND(J80="Ja",P80=""),AND(K80="Ja",Q80=""),AND(L80="Ja",R80="")),"Trage die vereinbarten Beträge so ein, dass ihre Summe der Ausgabe entspricht.",IF(ABS(SUM($M80:$R80))&lt;0.005,"Trage die vereinbarten Beträge so ein, dass ihre Summe der Ausgabe entspricht.",IF(SUM($M80:$R80)&lt;$D80-0.005,"Bei der Aufteilung fehlen "&amp;ROUND($D80-SUM($M80:$R80),2)&amp;".",IF(SUM($M80:$R80)&gt;$D80+0.005,"Die Aufteilung übersteigt die Ausgabe um "&amp;ROUND(SUM($M80:$R80)-$D80,2)&amp;".","Geprüft")))),"Trage die vereinbarten Beträge so ein, dass ihre Summe der Ausgabe entspricht."))))))</f>
      </c>
    </row>
    <row r="81">
      <c r="A81" s="83"/>
      <c r="B81" s="57"/>
      <c r="C81" s="57"/>
      <c r="D81" s="85"/>
      <c r="E81" s="57"/>
      <c r="F81" s="57"/>
      <c r="G81" s="57"/>
      <c r="H81" s="57"/>
      <c r="I81" s="57"/>
      <c r="J81" s="57"/>
      <c r="K81" s="57"/>
      <c r="L81" s="57"/>
      <c r="M81" s="85"/>
      <c r="N81" s="85"/>
      <c r="O81" s="85"/>
      <c r="P81" s="85"/>
      <c r="Q81" s="85"/>
      <c r="R81" s="85"/>
      <c r="S81" s="57"/>
      <c r="T81" s="87" t="str">
        <f>IF(COUNTIF($A81:$S81,"&lt;&gt;")=0,"",IF($F81="Gleichmäßig unter Beteiligten",IF(G81&lt;&gt;"Ja",0,IF(COUNTIF($H81:$L81,"Ja")=0,$D81-0,ROUND($D81/COUNTIF($G81:$L81,"Ja"),2))),IF($F81="Vereinbarte Beträge",IF(G81="Ja",M81,0),"")))</f>
      </c>
      <c r="U81" s="87" t="str">
        <f>IF(COUNTIF($A81:$S81,"&lt;&gt;")=0,"",IF($F81="Gleichmäßig unter Beteiligten",IF(H81&lt;&gt;"Ja",0,IF(COUNTIF($I81:$L81,"Ja")=0,$D81-SUM($T81:T81),ROUND($D81/COUNTIF($G81:$L81,"Ja"),2))),IF($F81="Vereinbarte Beträge",IF(H81="Ja",N81,0),"")))</f>
      </c>
      <c r="V81" s="87" t="str">
        <f>IF(COUNTIF($A81:$S81,"&lt;&gt;")=0,"",IF($F81="Gleichmäßig unter Beteiligten",IF(I81&lt;&gt;"Ja",0,IF(COUNTIF($J81:$L81,"Ja")=0,$D81-SUM($T81:U81),ROUND($D81/COUNTIF($G81:$L81,"Ja"),2))),IF($F81="Vereinbarte Beträge",IF(I81="Ja",O81,0),"")))</f>
      </c>
      <c r="W81" s="87" t="str">
        <f>IF(COUNTIF($A81:$S81,"&lt;&gt;")=0,"",IF($F81="Gleichmäßig unter Beteiligten",IF(J81&lt;&gt;"Ja",0,IF(COUNTIF($K81:$L81,"Ja")=0,$D81-SUM($T81:V81),ROUND($D81/COUNTIF($G81:$L81,"Ja"),2))),IF($F81="Vereinbarte Beträge",IF(J81="Ja",P81,0),"")))</f>
      </c>
      <c r="X81" s="87" t="str">
        <f>IF(COUNTIF($A81:$S81,"&lt;&gt;")=0,"",IF($F81="Gleichmäßig unter Beteiligten",IF(K81&lt;&gt;"Ja",0,IF(COUNTIF($L81:$L81,"Ja")=0,$D81-SUM($T81:W81),ROUND($D81/COUNTIF($G81:$L81,"Ja"),2))),IF($F81="Vereinbarte Beträge",IF(K81="Ja",Q81,0),"")))</f>
      </c>
      <c r="Y81" s="87" t="str">
        <f>IF(COUNTIF($A81:$S81,"&lt;&gt;")=0,"",IF($F81="Gleichmäßig unter Beteiligten",IF(L81&lt;&gt;"Ja",0,IF(0=0,$D81-SUM($T81:X81),ROUND($D81/COUNTIF($G81:$L81,"Ja"),2))),IF($F81="Vereinbarte Beträge",IF(L81="Ja",R81,0),"")))</f>
      </c>
      <c r="Z81" s="81" t="str">
        <f>IF(COUNTIF($A81:$S81,"&lt;&gt;")=0,"",IF(OR($D81="",$D81&lt;=0),"Trage einen Betrag größer als null ein.",IF($E81="","Wähle aus, wer bezahlt hat.",IF(COUNTIF($G81:$L81,"Ja")=0,"Wähle mindestens eine beteiligte Person aus.",IF($F81="Gleichmäßig unter Beteiligten","Geprüft",IF($F81="Vereinbarte Beträge",IF(OR(AND(G81="Ja",M81=""),AND(H81="Ja",N81=""),AND(I81="Ja",O81=""),AND(J81="Ja",P81=""),AND(K81="Ja",Q81=""),AND(L81="Ja",R81="")),"Trage die vereinbarten Beträge so ein, dass ihre Summe der Ausgabe entspricht.",IF(ABS(SUM($M81:$R81))&lt;0.005,"Trage die vereinbarten Beträge so ein, dass ihre Summe der Ausgabe entspricht.",IF(SUM($M81:$R81)&lt;$D81-0.005,"Bei der Aufteilung fehlen "&amp;ROUND($D81-SUM($M81:$R81),2)&amp;".",IF(SUM($M81:$R81)&gt;$D81+0.005,"Die Aufteilung übersteigt die Ausgabe um "&amp;ROUND(SUM($M81:$R81)-$D81,2)&amp;".","Geprüft")))),"Trage die vereinbarten Beträge so ein, dass ihre Summe der Ausgabe entspricht."))))))</f>
      </c>
    </row>
    <row r="82">
      <c r="A82" s="83"/>
      <c r="B82" s="57"/>
      <c r="C82" s="57"/>
      <c r="D82" s="85"/>
      <c r="E82" s="57"/>
      <c r="F82" s="57"/>
      <c r="G82" s="57"/>
      <c r="H82" s="57"/>
      <c r="I82" s="57"/>
      <c r="J82" s="57"/>
      <c r="K82" s="57"/>
      <c r="L82" s="57"/>
      <c r="M82" s="85"/>
      <c r="N82" s="85"/>
      <c r="O82" s="85"/>
      <c r="P82" s="85"/>
      <c r="Q82" s="85"/>
      <c r="R82" s="85"/>
      <c r="S82" s="57"/>
      <c r="T82" s="87" t="str">
        <f>IF(COUNTIF($A82:$S82,"&lt;&gt;")=0,"",IF($F82="Gleichmäßig unter Beteiligten",IF(G82&lt;&gt;"Ja",0,IF(COUNTIF($H82:$L82,"Ja")=0,$D82-0,ROUND($D82/COUNTIF($G82:$L82,"Ja"),2))),IF($F82="Vereinbarte Beträge",IF(G82="Ja",M82,0),"")))</f>
      </c>
      <c r="U82" s="87" t="str">
        <f>IF(COUNTIF($A82:$S82,"&lt;&gt;")=0,"",IF($F82="Gleichmäßig unter Beteiligten",IF(H82&lt;&gt;"Ja",0,IF(COUNTIF($I82:$L82,"Ja")=0,$D82-SUM($T82:T82),ROUND($D82/COUNTIF($G82:$L82,"Ja"),2))),IF($F82="Vereinbarte Beträge",IF(H82="Ja",N82,0),"")))</f>
      </c>
      <c r="V82" s="87" t="str">
        <f>IF(COUNTIF($A82:$S82,"&lt;&gt;")=0,"",IF($F82="Gleichmäßig unter Beteiligten",IF(I82&lt;&gt;"Ja",0,IF(COUNTIF($J82:$L82,"Ja")=0,$D82-SUM($T82:U82),ROUND($D82/COUNTIF($G82:$L82,"Ja"),2))),IF($F82="Vereinbarte Beträge",IF(I82="Ja",O82,0),"")))</f>
      </c>
      <c r="W82" s="87" t="str">
        <f>IF(COUNTIF($A82:$S82,"&lt;&gt;")=0,"",IF($F82="Gleichmäßig unter Beteiligten",IF(J82&lt;&gt;"Ja",0,IF(COUNTIF($K82:$L82,"Ja")=0,$D82-SUM($T82:V82),ROUND($D82/COUNTIF($G82:$L82,"Ja"),2))),IF($F82="Vereinbarte Beträge",IF(J82="Ja",P82,0),"")))</f>
      </c>
      <c r="X82" s="87" t="str">
        <f>IF(COUNTIF($A82:$S82,"&lt;&gt;")=0,"",IF($F82="Gleichmäßig unter Beteiligten",IF(K82&lt;&gt;"Ja",0,IF(COUNTIF($L82:$L82,"Ja")=0,$D82-SUM($T82:W82),ROUND($D82/COUNTIF($G82:$L82,"Ja"),2))),IF($F82="Vereinbarte Beträge",IF(K82="Ja",Q82,0),"")))</f>
      </c>
      <c r="Y82" s="87" t="str">
        <f>IF(COUNTIF($A82:$S82,"&lt;&gt;")=0,"",IF($F82="Gleichmäßig unter Beteiligten",IF(L82&lt;&gt;"Ja",0,IF(0=0,$D82-SUM($T82:X82),ROUND($D82/COUNTIF($G82:$L82,"Ja"),2))),IF($F82="Vereinbarte Beträge",IF(L82="Ja",R82,0),"")))</f>
      </c>
      <c r="Z82" s="81" t="str">
        <f>IF(COUNTIF($A82:$S82,"&lt;&gt;")=0,"",IF(OR($D82="",$D82&lt;=0),"Trage einen Betrag größer als null ein.",IF($E82="","Wähle aus, wer bezahlt hat.",IF(COUNTIF($G82:$L82,"Ja")=0,"Wähle mindestens eine beteiligte Person aus.",IF($F82="Gleichmäßig unter Beteiligten","Geprüft",IF($F82="Vereinbarte Beträge",IF(OR(AND(G82="Ja",M82=""),AND(H82="Ja",N82=""),AND(I82="Ja",O82=""),AND(J82="Ja",P82=""),AND(K82="Ja",Q82=""),AND(L82="Ja",R82="")),"Trage die vereinbarten Beträge so ein, dass ihre Summe der Ausgabe entspricht.",IF(ABS(SUM($M82:$R82))&lt;0.005,"Trage die vereinbarten Beträge so ein, dass ihre Summe der Ausgabe entspricht.",IF(SUM($M82:$R82)&lt;$D82-0.005,"Bei der Aufteilung fehlen "&amp;ROUND($D82-SUM($M82:$R82),2)&amp;".",IF(SUM($M82:$R82)&gt;$D82+0.005,"Die Aufteilung übersteigt die Ausgabe um "&amp;ROUND(SUM($M82:$R82)-$D82,2)&amp;".","Geprüft")))),"Trage die vereinbarten Beträge so ein, dass ihre Summe der Ausgabe entspricht."))))))</f>
      </c>
    </row>
    <row r="83">
      <c r="A83" s="83"/>
      <c r="B83" s="57"/>
      <c r="C83" s="57"/>
      <c r="D83" s="85"/>
      <c r="E83" s="57"/>
      <c r="F83" s="57"/>
      <c r="G83" s="57"/>
      <c r="H83" s="57"/>
      <c r="I83" s="57"/>
      <c r="J83" s="57"/>
      <c r="K83" s="57"/>
      <c r="L83" s="57"/>
      <c r="M83" s="85"/>
      <c r="N83" s="85"/>
      <c r="O83" s="85"/>
      <c r="P83" s="85"/>
      <c r="Q83" s="85"/>
      <c r="R83" s="85"/>
      <c r="S83" s="57"/>
      <c r="T83" s="87" t="str">
        <f>IF(COUNTIF($A83:$S83,"&lt;&gt;")=0,"",IF($F83="Gleichmäßig unter Beteiligten",IF(G83&lt;&gt;"Ja",0,IF(COUNTIF($H83:$L83,"Ja")=0,$D83-0,ROUND($D83/COUNTIF($G83:$L83,"Ja"),2))),IF($F83="Vereinbarte Beträge",IF(G83="Ja",M83,0),"")))</f>
      </c>
      <c r="U83" s="87" t="str">
        <f>IF(COUNTIF($A83:$S83,"&lt;&gt;")=0,"",IF($F83="Gleichmäßig unter Beteiligten",IF(H83&lt;&gt;"Ja",0,IF(COUNTIF($I83:$L83,"Ja")=0,$D83-SUM($T83:T83),ROUND($D83/COUNTIF($G83:$L83,"Ja"),2))),IF($F83="Vereinbarte Beträge",IF(H83="Ja",N83,0),"")))</f>
      </c>
      <c r="V83" s="87" t="str">
        <f>IF(COUNTIF($A83:$S83,"&lt;&gt;")=0,"",IF($F83="Gleichmäßig unter Beteiligten",IF(I83&lt;&gt;"Ja",0,IF(COUNTIF($J83:$L83,"Ja")=0,$D83-SUM($T83:U83),ROUND($D83/COUNTIF($G83:$L83,"Ja"),2))),IF($F83="Vereinbarte Beträge",IF(I83="Ja",O83,0),"")))</f>
      </c>
      <c r="W83" s="87" t="str">
        <f>IF(COUNTIF($A83:$S83,"&lt;&gt;")=0,"",IF($F83="Gleichmäßig unter Beteiligten",IF(J83&lt;&gt;"Ja",0,IF(COUNTIF($K83:$L83,"Ja")=0,$D83-SUM($T83:V83),ROUND($D83/COUNTIF($G83:$L83,"Ja"),2))),IF($F83="Vereinbarte Beträge",IF(J83="Ja",P83,0),"")))</f>
      </c>
      <c r="X83" s="87" t="str">
        <f>IF(COUNTIF($A83:$S83,"&lt;&gt;")=0,"",IF($F83="Gleichmäßig unter Beteiligten",IF(K83&lt;&gt;"Ja",0,IF(COUNTIF($L83:$L83,"Ja")=0,$D83-SUM($T83:W83),ROUND($D83/COUNTIF($G83:$L83,"Ja"),2))),IF($F83="Vereinbarte Beträge",IF(K83="Ja",Q83,0),"")))</f>
      </c>
      <c r="Y83" s="87" t="str">
        <f>IF(COUNTIF($A83:$S83,"&lt;&gt;")=0,"",IF($F83="Gleichmäßig unter Beteiligten",IF(L83&lt;&gt;"Ja",0,IF(0=0,$D83-SUM($T83:X83),ROUND($D83/COUNTIF($G83:$L83,"Ja"),2))),IF($F83="Vereinbarte Beträge",IF(L83="Ja",R83,0),"")))</f>
      </c>
      <c r="Z83" s="81" t="str">
        <f>IF(COUNTIF($A83:$S83,"&lt;&gt;")=0,"",IF(OR($D83="",$D83&lt;=0),"Trage einen Betrag größer als null ein.",IF($E83="","Wähle aus, wer bezahlt hat.",IF(COUNTIF($G83:$L83,"Ja")=0,"Wähle mindestens eine beteiligte Person aus.",IF($F83="Gleichmäßig unter Beteiligten","Geprüft",IF($F83="Vereinbarte Beträge",IF(OR(AND(G83="Ja",M83=""),AND(H83="Ja",N83=""),AND(I83="Ja",O83=""),AND(J83="Ja",P83=""),AND(K83="Ja",Q83=""),AND(L83="Ja",R83="")),"Trage die vereinbarten Beträge so ein, dass ihre Summe der Ausgabe entspricht.",IF(ABS(SUM($M83:$R83))&lt;0.005,"Trage die vereinbarten Beträge so ein, dass ihre Summe der Ausgabe entspricht.",IF(SUM($M83:$R83)&lt;$D83-0.005,"Bei der Aufteilung fehlen "&amp;ROUND($D83-SUM($M83:$R83),2)&amp;".",IF(SUM($M83:$R83)&gt;$D83+0.005,"Die Aufteilung übersteigt die Ausgabe um "&amp;ROUND(SUM($M83:$R83)-$D83,2)&amp;".","Geprüft")))),"Trage die vereinbarten Beträge so ein, dass ihre Summe der Ausgabe entspricht."))))))</f>
      </c>
    </row>
    <row r="84">
      <c r="A84" s="83"/>
      <c r="B84" s="57"/>
      <c r="C84" s="57"/>
      <c r="D84" s="85"/>
      <c r="E84" s="57"/>
      <c r="F84" s="57"/>
      <c r="G84" s="57"/>
      <c r="H84" s="57"/>
      <c r="I84" s="57"/>
      <c r="J84" s="57"/>
      <c r="K84" s="57"/>
      <c r="L84" s="57"/>
      <c r="M84" s="85"/>
      <c r="N84" s="85"/>
      <c r="O84" s="85"/>
      <c r="P84" s="85"/>
      <c r="Q84" s="85"/>
      <c r="R84" s="85"/>
      <c r="S84" s="57"/>
      <c r="T84" s="87" t="str">
        <f>IF(COUNTIF($A84:$S84,"&lt;&gt;")=0,"",IF($F84="Gleichmäßig unter Beteiligten",IF(G84&lt;&gt;"Ja",0,IF(COUNTIF($H84:$L84,"Ja")=0,$D84-0,ROUND($D84/COUNTIF($G84:$L84,"Ja"),2))),IF($F84="Vereinbarte Beträge",IF(G84="Ja",M84,0),"")))</f>
      </c>
      <c r="U84" s="87" t="str">
        <f>IF(COUNTIF($A84:$S84,"&lt;&gt;")=0,"",IF($F84="Gleichmäßig unter Beteiligten",IF(H84&lt;&gt;"Ja",0,IF(COUNTIF($I84:$L84,"Ja")=0,$D84-SUM($T84:T84),ROUND($D84/COUNTIF($G84:$L84,"Ja"),2))),IF($F84="Vereinbarte Beträge",IF(H84="Ja",N84,0),"")))</f>
      </c>
      <c r="V84" s="87" t="str">
        <f>IF(COUNTIF($A84:$S84,"&lt;&gt;")=0,"",IF($F84="Gleichmäßig unter Beteiligten",IF(I84&lt;&gt;"Ja",0,IF(COUNTIF($J84:$L84,"Ja")=0,$D84-SUM($T84:U84),ROUND($D84/COUNTIF($G84:$L84,"Ja"),2))),IF($F84="Vereinbarte Beträge",IF(I84="Ja",O84,0),"")))</f>
      </c>
      <c r="W84" s="87" t="str">
        <f>IF(COUNTIF($A84:$S84,"&lt;&gt;")=0,"",IF($F84="Gleichmäßig unter Beteiligten",IF(J84&lt;&gt;"Ja",0,IF(COUNTIF($K84:$L84,"Ja")=0,$D84-SUM($T84:V84),ROUND($D84/COUNTIF($G84:$L84,"Ja"),2))),IF($F84="Vereinbarte Beträge",IF(J84="Ja",P84,0),"")))</f>
      </c>
      <c r="X84" s="87" t="str">
        <f>IF(COUNTIF($A84:$S84,"&lt;&gt;")=0,"",IF($F84="Gleichmäßig unter Beteiligten",IF(K84&lt;&gt;"Ja",0,IF(COUNTIF($L84:$L84,"Ja")=0,$D84-SUM($T84:W84),ROUND($D84/COUNTIF($G84:$L84,"Ja"),2))),IF($F84="Vereinbarte Beträge",IF(K84="Ja",Q84,0),"")))</f>
      </c>
      <c r="Y84" s="87" t="str">
        <f>IF(COUNTIF($A84:$S84,"&lt;&gt;")=0,"",IF($F84="Gleichmäßig unter Beteiligten",IF(L84&lt;&gt;"Ja",0,IF(0=0,$D84-SUM($T84:X84),ROUND($D84/COUNTIF($G84:$L84,"Ja"),2))),IF($F84="Vereinbarte Beträge",IF(L84="Ja",R84,0),"")))</f>
      </c>
      <c r="Z84" s="81" t="str">
        <f>IF(COUNTIF($A84:$S84,"&lt;&gt;")=0,"",IF(OR($D84="",$D84&lt;=0),"Trage einen Betrag größer als null ein.",IF($E84="","Wähle aus, wer bezahlt hat.",IF(COUNTIF($G84:$L84,"Ja")=0,"Wähle mindestens eine beteiligte Person aus.",IF($F84="Gleichmäßig unter Beteiligten","Geprüft",IF($F84="Vereinbarte Beträge",IF(OR(AND(G84="Ja",M84=""),AND(H84="Ja",N84=""),AND(I84="Ja",O84=""),AND(J84="Ja",P84=""),AND(K84="Ja",Q84=""),AND(L84="Ja",R84="")),"Trage die vereinbarten Beträge so ein, dass ihre Summe der Ausgabe entspricht.",IF(ABS(SUM($M84:$R84))&lt;0.005,"Trage die vereinbarten Beträge so ein, dass ihre Summe der Ausgabe entspricht.",IF(SUM($M84:$R84)&lt;$D84-0.005,"Bei der Aufteilung fehlen "&amp;ROUND($D84-SUM($M84:$R84),2)&amp;".",IF(SUM($M84:$R84)&gt;$D84+0.005,"Die Aufteilung übersteigt die Ausgabe um "&amp;ROUND(SUM($M84:$R84)-$D84,2)&amp;".","Geprüft")))),"Trage die vereinbarten Beträge so ein, dass ihre Summe der Ausgabe entspricht."))))))</f>
      </c>
    </row>
    <row r="85">
      <c r="A85" s="83"/>
      <c r="B85" s="57"/>
      <c r="C85" s="57"/>
      <c r="D85" s="85"/>
      <c r="E85" s="57"/>
      <c r="F85" s="57"/>
      <c r="G85" s="57"/>
      <c r="H85" s="57"/>
      <c r="I85" s="57"/>
      <c r="J85" s="57"/>
      <c r="K85" s="57"/>
      <c r="L85" s="57"/>
      <c r="M85" s="85"/>
      <c r="N85" s="85"/>
      <c r="O85" s="85"/>
      <c r="P85" s="85"/>
      <c r="Q85" s="85"/>
      <c r="R85" s="85"/>
      <c r="S85" s="57"/>
      <c r="T85" s="87" t="str">
        <f>IF(COUNTIF($A85:$S85,"&lt;&gt;")=0,"",IF($F85="Gleichmäßig unter Beteiligten",IF(G85&lt;&gt;"Ja",0,IF(COUNTIF($H85:$L85,"Ja")=0,$D85-0,ROUND($D85/COUNTIF($G85:$L85,"Ja"),2))),IF($F85="Vereinbarte Beträge",IF(G85="Ja",M85,0),"")))</f>
      </c>
      <c r="U85" s="87" t="str">
        <f>IF(COUNTIF($A85:$S85,"&lt;&gt;")=0,"",IF($F85="Gleichmäßig unter Beteiligten",IF(H85&lt;&gt;"Ja",0,IF(COUNTIF($I85:$L85,"Ja")=0,$D85-SUM($T85:T85),ROUND($D85/COUNTIF($G85:$L85,"Ja"),2))),IF($F85="Vereinbarte Beträge",IF(H85="Ja",N85,0),"")))</f>
      </c>
      <c r="V85" s="87" t="str">
        <f>IF(COUNTIF($A85:$S85,"&lt;&gt;")=0,"",IF($F85="Gleichmäßig unter Beteiligten",IF(I85&lt;&gt;"Ja",0,IF(COUNTIF($J85:$L85,"Ja")=0,$D85-SUM($T85:U85),ROUND($D85/COUNTIF($G85:$L85,"Ja"),2))),IF($F85="Vereinbarte Beträge",IF(I85="Ja",O85,0),"")))</f>
      </c>
      <c r="W85" s="87" t="str">
        <f>IF(COUNTIF($A85:$S85,"&lt;&gt;")=0,"",IF($F85="Gleichmäßig unter Beteiligten",IF(J85&lt;&gt;"Ja",0,IF(COUNTIF($K85:$L85,"Ja")=0,$D85-SUM($T85:V85),ROUND($D85/COUNTIF($G85:$L85,"Ja"),2))),IF($F85="Vereinbarte Beträge",IF(J85="Ja",P85,0),"")))</f>
      </c>
      <c r="X85" s="87" t="str">
        <f>IF(COUNTIF($A85:$S85,"&lt;&gt;")=0,"",IF($F85="Gleichmäßig unter Beteiligten",IF(K85&lt;&gt;"Ja",0,IF(COUNTIF($L85:$L85,"Ja")=0,$D85-SUM($T85:W85),ROUND($D85/COUNTIF($G85:$L85,"Ja"),2))),IF($F85="Vereinbarte Beträge",IF(K85="Ja",Q85,0),"")))</f>
      </c>
      <c r="Y85" s="87" t="str">
        <f>IF(COUNTIF($A85:$S85,"&lt;&gt;")=0,"",IF($F85="Gleichmäßig unter Beteiligten",IF(L85&lt;&gt;"Ja",0,IF(0=0,$D85-SUM($T85:X85),ROUND($D85/COUNTIF($G85:$L85,"Ja"),2))),IF($F85="Vereinbarte Beträge",IF(L85="Ja",R85,0),"")))</f>
      </c>
      <c r="Z85" s="81" t="str">
        <f>IF(COUNTIF($A85:$S85,"&lt;&gt;")=0,"",IF(OR($D85="",$D85&lt;=0),"Trage einen Betrag größer als null ein.",IF($E85="","Wähle aus, wer bezahlt hat.",IF(COUNTIF($G85:$L85,"Ja")=0,"Wähle mindestens eine beteiligte Person aus.",IF($F85="Gleichmäßig unter Beteiligten","Geprüft",IF($F85="Vereinbarte Beträge",IF(OR(AND(G85="Ja",M85=""),AND(H85="Ja",N85=""),AND(I85="Ja",O85=""),AND(J85="Ja",P85=""),AND(K85="Ja",Q85=""),AND(L85="Ja",R85="")),"Trage die vereinbarten Beträge so ein, dass ihre Summe der Ausgabe entspricht.",IF(ABS(SUM($M85:$R85))&lt;0.005,"Trage die vereinbarten Beträge so ein, dass ihre Summe der Ausgabe entspricht.",IF(SUM($M85:$R85)&lt;$D85-0.005,"Bei der Aufteilung fehlen "&amp;ROUND($D85-SUM($M85:$R85),2)&amp;".",IF(SUM($M85:$R85)&gt;$D85+0.005,"Die Aufteilung übersteigt die Ausgabe um "&amp;ROUND(SUM($M85:$R85)-$D85,2)&amp;".","Geprüft")))),"Trage die vereinbarten Beträge so ein, dass ihre Summe der Ausgabe entspricht."))))))</f>
      </c>
    </row>
    <row r="86">
      <c r="A86" s="83"/>
      <c r="B86" s="57"/>
      <c r="C86" s="57"/>
      <c r="D86" s="85"/>
      <c r="E86" s="57"/>
      <c r="F86" s="57"/>
      <c r="G86" s="57"/>
      <c r="H86" s="57"/>
      <c r="I86" s="57"/>
      <c r="J86" s="57"/>
      <c r="K86" s="57"/>
      <c r="L86" s="57"/>
      <c r="M86" s="85"/>
      <c r="N86" s="85"/>
      <c r="O86" s="85"/>
      <c r="P86" s="85"/>
      <c r="Q86" s="85"/>
      <c r="R86" s="85"/>
      <c r="S86" s="57"/>
      <c r="T86" s="87" t="str">
        <f>IF(COUNTIF($A86:$S86,"&lt;&gt;")=0,"",IF($F86="Gleichmäßig unter Beteiligten",IF(G86&lt;&gt;"Ja",0,IF(COUNTIF($H86:$L86,"Ja")=0,$D86-0,ROUND($D86/COUNTIF($G86:$L86,"Ja"),2))),IF($F86="Vereinbarte Beträge",IF(G86="Ja",M86,0),"")))</f>
      </c>
      <c r="U86" s="87" t="str">
        <f>IF(COUNTIF($A86:$S86,"&lt;&gt;")=0,"",IF($F86="Gleichmäßig unter Beteiligten",IF(H86&lt;&gt;"Ja",0,IF(COUNTIF($I86:$L86,"Ja")=0,$D86-SUM($T86:T86),ROUND($D86/COUNTIF($G86:$L86,"Ja"),2))),IF($F86="Vereinbarte Beträge",IF(H86="Ja",N86,0),"")))</f>
      </c>
      <c r="V86" s="87" t="str">
        <f>IF(COUNTIF($A86:$S86,"&lt;&gt;")=0,"",IF($F86="Gleichmäßig unter Beteiligten",IF(I86&lt;&gt;"Ja",0,IF(COUNTIF($J86:$L86,"Ja")=0,$D86-SUM($T86:U86),ROUND($D86/COUNTIF($G86:$L86,"Ja"),2))),IF($F86="Vereinbarte Beträge",IF(I86="Ja",O86,0),"")))</f>
      </c>
      <c r="W86" s="87" t="str">
        <f>IF(COUNTIF($A86:$S86,"&lt;&gt;")=0,"",IF($F86="Gleichmäßig unter Beteiligten",IF(J86&lt;&gt;"Ja",0,IF(COUNTIF($K86:$L86,"Ja")=0,$D86-SUM($T86:V86),ROUND($D86/COUNTIF($G86:$L86,"Ja"),2))),IF($F86="Vereinbarte Beträge",IF(J86="Ja",P86,0),"")))</f>
      </c>
      <c r="X86" s="87" t="str">
        <f>IF(COUNTIF($A86:$S86,"&lt;&gt;")=0,"",IF($F86="Gleichmäßig unter Beteiligten",IF(K86&lt;&gt;"Ja",0,IF(COUNTIF($L86:$L86,"Ja")=0,$D86-SUM($T86:W86),ROUND($D86/COUNTIF($G86:$L86,"Ja"),2))),IF($F86="Vereinbarte Beträge",IF(K86="Ja",Q86,0),"")))</f>
      </c>
      <c r="Y86" s="87" t="str">
        <f>IF(COUNTIF($A86:$S86,"&lt;&gt;")=0,"",IF($F86="Gleichmäßig unter Beteiligten",IF(L86&lt;&gt;"Ja",0,IF(0=0,$D86-SUM($T86:X86),ROUND($D86/COUNTIF($G86:$L86,"Ja"),2))),IF($F86="Vereinbarte Beträge",IF(L86="Ja",R86,0),"")))</f>
      </c>
      <c r="Z86" s="81" t="str">
        <f>IF(COUNTIF($A86:$S86,"&lt;&gt;")=0,"",IF(OR($D86="",$D86&lt;=0),"Trage einen Betrag größer als null ein.",IF($E86="","Wähle aus, wer bezahlt hat.",IF(COUNTIF($G86:$L86,"Ja")=0,"Wähle mindestens eine beteiligte Person aus.",IF($F86="Gleichmäßig unter Beteiligten","Geprüft",IF($F86="Vereinbarte Beträge",IF(OR(AND(G86="Ja",M86=""),AND(H86="Ja",N86=""),AND(I86="Ja",O86=""),AND(J86="Ja",P86=""),AND(K86="Ja",Q86=""),AND(L86="Ja",R86="")),"Trage die vereinbarten Beträge so ein, dass ihre Summe der Ausgabe entspricht.",IF(ABS(SUM($M86:$R86))&lt;0.005,"Trage die vereinbarten Beträge so ein, dass ihre Summe der Ausgabe entspricht.",IF(SUM($M86:$R86)&lt;$D86-0.005,"Bei der Aufteilung fehlen "&amp;ROUND($D86-SUM($M86:$R86),2)&amp;".",IF(SUM($M86:$R86)&gt;$D86+0.005,"Die Aufteilung übersteigt die Ausgabe um "&amp;ROUND(SUM($M86:$R86)-$D86,2)&amp;".","Geprüft")))),"Trage die vereinbarten Beträge so ein, dass ihre Summe der Ausgabe entspricht."))))))</f>
      </c>
    </row>
    <row r="87">
      <c r="A87" s="83"/>
      <c r="B87" s="57"/>
      <c r="C87" s="57"/>
      <c r="D87" s="85"/>
      <c r="E87" s="57"/>
      <c r="F87" s="57"/>
      <c r="G87" s="57"/>
      <c r="H87" s="57"/>
      <c r="I87" s="57"/>
      <c r="J87" s="57"/>
      <c r="K87" s="57"/>
      <c r="L87" s="57"/>
      <c r="M87" s="85"/>
      <c r="N87" s="85"/>
      <c r="O87" s="85"/>
      <c r="P87" s="85"/>
      <c r="Q87" s="85"/>
      <c r="R87" s="85"/>
      <c r="S87" s="57"/>
      <c r="T87" s="87" t="str">
        <f>IF(COUNTIF($A87:$S87,"&lt;&gt;")=0,"",IF($F87="Gleichmäßig unter Beteiligten",IF(G87&lt;&gt;"Ja",0,IF(COUNTIF($H87:$L87,"Ja")=0,$D87-0,ROUND($D87/COUNTIF($G87:$L87,"Ja"),2))),IF($F87="Vereinbarte Beträge",IF(G87="Ja",M87,0),"")))</f>
      </c>
      <c r="U87" s="87" t="str">
        <f>IF(COUNTIF($A87:$S87,"&lt;&gt;")=0,"",IF($F87="Gleichmäßig unter Beteiligten",IF(H87&lt;&gt;"Ja",0,IF(COUNTIF($I87:$L87,"Ja")=0,$D87-SUM($T87:T87),ROUND($D87/COUNTIF($G87:$L87,"Ja"),2))),IF($F87="Vereinbarte Beträge",IF(H87="Ja",N87,0),"")))</f>
      </c>
      <c r="V87" s="87" t="str">
        <f>IF(COUNTIF($A87:$S87,"&lt;&gt;")=0,"",IF($F87="Gleichmäßig unter Beteiligten",IF(I87&lt;&gt;"Ja",0,IF(COUNTIF($J87:$L87,"Ja")=0,$D87-SUM($T87:U87),ROUND($D87/COUNTIF($G87:$L87,"Ja"),2))),IF($F87="Vereinbarte Beträge",IF(I87="Ja",O87,0),"")))</f>
      </c>
      <c r="W87" s="87" t="str">
        <f>IF(COUNTIF($A87:$S87,"&lt;&gt;")=0,"",IF($F87="Gleichmäßig unter Beteiligten",IF(J87&lt;&gt;"Ja",0,IF(COUNTIF($K87:$L87,"Ja")=0,$D87-SUM($T87:V87),ROUND($D87/COUNTIF($G87:$L87,"Ja"),2))),IF($F87="Vereinbarte Beträge",IF(J87="Ja",P87,0),"")))</f>
      </c>
      <c r="X87" s="87" t="str">
        <f>IF(COUNTIF($A87:$S87,"&lt;&gt;")=0,"",IF($F87="Gleichmäßig unter Beteiligten",IF(K87&lt;&gt;"Ja",0,IF(COUNTIF($L87:$L87,"Ja")=0,$D87-SUM($T87:W87),ROUND($D87/COUNTIF($G87:$L87,"Ja"),2))),IF($F87="Vereinbarte Beträge",IF(K87="Ja",Q87,0),"")))</f>
      </c>
      <c r="Y87" s="87" t="str">
        <f>IF(COUNTIF($A87:$S87,"&lt;&gt;")=0,"",IF($F87="Gleichmäßig unter Beteiligten",IF(L87&lt;&gt;"Ja",0,IF(0=0,$D87-SUM($T87:X87),ROUND($D87/COUNTIF($G87:$L87,"Ja"),2))),IF($F87="Vereinbarte Beträge",IF(L87="Ja",R87,0),"")))</f>
      </c>
      <c r="Z87" s="81" t="str">
        <f>IF(COUNTIF($A87:$S87,"&lt;&gt;")=0,"",IF(OR($D87="",$D87&lt;=0),"Trage einen Betrag größer als null ein.",IF($E87="","Wähle aus, wer bezahlt hat.",IF(COUNTIF($G87:$L87,"Ja")=0,"Wähle mindestens eine beteiligte Person aus.",IF($F87="Gleichmäßig unter Beteiligten","Geprüft",IF($F87="Vereinbarte Beträge",IF(OR(AND(G87="Ja",M87=""),AND(H87="Ja",N87=""),AND(I87="Ja",O87=""),AND(J87="Ja",P87=""),AND(K87="Ja",Q87=""),AND(L87="Ja",R87="")),"Trage die vereinbarten Beträge so ein, dass ihre Summe der Ausgabe entspricht.",IF(ABS(SUM($M87:$R87))&lt;0.005,"Trage die vereinbarten Beträge so ein, dass ihre Summe der Ausgabe entspricht.",IF(SUM($M87:$R87)&lt;$D87-0.005,"Bei der Aufteilung fehlen "&amp;ROUND($D87-SUM($M87:$R87),2)&amp;".",IF(SUM($M87:$R87)&gt;$D87+0.005,"Die Aufteilung übersteigt die Ausgabe um "&amp;ROUND(SUM($M87:$R87)-$D87,2)&amp;".","Geprüft")))),"Trage die vereinbarten Beträge so ein, dass ihre Summe der Ausgabe entspricht."))))))</f>
      </c>
    </row>
    <row r="88">
      <c r="A88" s="83"/>
      <c r="B88" s="57"/>
      <c r="C88" s="57"/>
      <c r="D88" s="85"/>
      <c r="E88" s="57"/>
      <c r="F88" s="57"/>
      <c r="G88" s="57"/>
      <c r="H88" s="57"/>
      <c r="I88" s="57"/>
      <c r="J88" s="57"/>
      <c r="K88" s="57"/>
      <c r="L88" s="57"/>
      <c r="M88" s="85"/>
      <c r="N88" s="85"/>
      <c r="O88" s="85"/>
      <c r="P88" s="85"/>
      <c r="Q88" s="85"/>
      <c r="R88" s="85"/>
      <c r="S88" s="57"/>
      <c r="T88" s="87" t="str">
        <f>IF(COUNTIF($A88:$S88,"&lt;&gt;")=0,"",IF($F88="Gleichmäßig unter Beteiligten",IF(G88&lt;&gt;"Ja",0,IF(COUNTIF($H88:$L88,"Ja")=0,$D88-0,ROUND($D88/COUNTIF($G88:$L88,"Ja"),2))),IF($F88="Vereinbarte Beträge",IF(G88="Ja",M88,0),"")))</f>
      </c>
      <c r="U88" s="87" t="str">
        <f>IF(COUNTIF($A88:$S88,"&lt;&gt;")=0,"",IF($F88="Gleichmäßig unter Beteiligten",IF(H88&lt;&gt;"Ja",0,IF(COUNTIF($I88:$L88,"Ja")=0,$D88-SUM($T88:T88),ROUND($D88/COUNTIF($G88:$L88,"Ja"),2))),IF($F88="Vereinbarte Beträge",IF(H88="Ja",N88,0),"")))</f>
      </c>
      <c r="V88" s="87" t="str">
        <f>IF(COUNTIF($A88:$S88,"&lt;&gt;")=0,"",IF($F88="Gleichmäßig unter Beteiligten",IF(I88&lt;&gt;"Ja",0,IF(COUNTIF($J88:$L88,"Ja")=0,$D88-SUM($T88:U88),ROUND($D88/COUNTIF($G88:$L88,"Ja"),2))),IF($F88="Vereinbarte Beträge",IF(I88="Ja",O88,0),"")))</f>
      </c>
      <c r="W88" s="87" t="str">
        <f>IF(COUNTIF($A88:$S88,"&lt;&gt;")=0,"",IF($F88="Gleichmäßig unter Beteiligten",IF(J88&lt;&gt;"Ja",0,IF(COUNTIF($K88:$L88,"Ja")=0,$D88-SUM($T88:V88),ROUND($D88/COUNTIF($G88:$L88,"Ja"),2))),IF($F88="Vereinbarte Beträge",IF(J88="Ja",P88,0),"")))</f>
      </c>
      <c r="X88" s="87" t="str">
        <f>IF(COUNTIF($A88:$S88,"&lt;&gt;")=0,"",IF($F88="Gleichmäßig unter Beteiligten",IF(K88&lt;&gt;"Ja",0,IF(COUNTIF($L88:$L88,"Ja")=0,$D88-SUM($T88:W88),ROUND($D88/COUNTIF($G88:$L88,"Ja"),2))),IF($F88="Vereinbarte Beträge",IF(K88="Ja",Q88,0),"")))</f>
      </c>
      <c r="Y88" s="87" t="str">
        <f>IF(COUNTIF($A88:$S88,"&lt;&gt;")=0,"",IF($F88="Gleichmäßig unter Beteiligten",IF(L88&lt;&gt;"Ja",0,IF(0=0,$D88-SUM($T88:X88),ROUND($D88/COUNTIF($G88:$L88,"Ja"),2))),IF($F88="Vereinbarte Beträge",IF(L88="Ja",R88,0),"")))</f>
      </c>
      <c r="Z88" s="81" t="str">
        <f>IF(COUNTIF($A88:$S88,"&lt;&gt;")=0,"",IF(OR($D88="",$D88&lt;=0),"Trage einen Betrag größer als null ein.",IF($E88="","Wähle aus, wer bezahlt hat.",IF(COUNTIF($G88:$L88,"Ja")=0,"Wähle mindestens eine beteiligte Person aus.",IF($F88="Gleichmäßig unter Beteiligten","Geprüft",IF($F88="Vereinbarte Beträge",IF(OR(AND(G88="Ja",M88=""),AND(H88="Ja",N88=""),AND(I88="Ja",O88=""),AND(J88="Ja",P88=""),AND(K88="Ja",Q88=""),AND(L88="Ja",R88="")),"Trage die vereinbarten Beträge so ein, dass ihre Summe der Ausgabe entspricht.",IF(ABS(SUM($M88:$R88))&lt;0.005,"Trage die vereinbarten Beträge so ein, dass ihre Summe der Ausgabe entspricht.",IF(SUM($M88:$R88)&lt;$D88-0.005,"Bei der Aufteilung fehlen "&amp;ROUND($D88-SUM($M88:$R88),2)&amp;".",IF(SUM($M88:$R88)&gt;$D88+0.005,"Die Aufteilung übersteigt die Ausgabe um "&amp;ROUND(SUM($M88:$R88)-$D88,2)&amp;".","Geprüft")))),"Trage die vereinbarten Beträge so ein, dass ihre Summe der Ausgabe entspricht."))))))</f>
      </c>
    </row>
    <row r="89">
      <c r="A89" s="83"/>
      <c r="B89" s="57"/>
      <c r="C89" s="57"/>
      <c r="D89" s="85"/>
      <c r="E89" s="57"/>
      <c r="F89" s="57"/>
      <c r="G89" s="57"/>
      <c r="H89" s="57"/>
      <c r="I89" s="57"/>
      <c r="J89" s="57"/>
      <c r="K89" s="57"/>
      <c r="L89" s="57"/>
      <c r="M89" s="85"/>
      <c r="N89" s="85"/>
      <c r="O89" s="85"/>
      <c r="P89" s="85"/>
      <c r="Q89" s="85"/>
      <c r="R89" s="85"/>
      <c r="S89" s="57"/>
      <c r="T89" s="87" t="str">
        <f>IF(COUNTIF($A89:$S89,"&lt;&gt;")=0,"",IF($F89="Gleichmäßig unter Beteiligten",IF(G89&lt;&gt;"Ja",0,IF(COUNTIF($H89:$L89,"Ja")=0,$D89-0,ROUND($D89/COUNTIF($G89:$L89,"Ja"),2))),IF($F89="Vereinbarte Beträge",IF(G89="Ja",M89,0),"")))</f>
      </c>
      <c r="U89" s="87" t="str">
        <f>IF(COUNTIF($A89:$S89,"&lt;&gt;")=0,"",IF($F89="Gleichmäßig unter Beteiligten",IF(H89&lt;&gt;"Ja",0,IF(COUNTIF($I89:$L89,"Ja")=0,$D89-SUM($T89:T89),ROUND($D89/COUNTIF($G89:$L89,"Ja"),2))),IF($F89="Vereinbarte Beträge",IF(H89="Ja",N89,0),"")))</f>
      </c>
      <c r="V89" s="87" t="str">
        <f>IF(COUNTIF($A89:$S89,"&lt;&gt;")=0,"",IF($F89="Gleichmäßig unter Beteiligten",IF(I89&lt;&gt;"Ja",0,IF(COUNTIF($J89:$L89,"Ja")=0,$D89-SUM($T89:U89),ROUND($D89/COUNTIF($G89:$L89,"Ja"),2))),IF($F89="Vereinbarte Beträge",IF(I89="Ja",O89,0),"")))</f>
      </c>
      <c r="W89" s="87" t="str">
        <f>IF(COUNTIF($A89:$S89,"&lt;&gt;")=0,"",IF($F89="Gleichmäßig unter Beteiligten",IF(J89&lt;&gt;"Ja",0,IF(COUNTIF($K89:$L89,"Ja")=0,$D89-SUM($T89:V89),ROUND($D89/COUNTIF($G89:$L89,"Ja"),2))),IF($F89="Vereinbarte Beträge",IF(J89="Ja",P89,0),"")))</f>
      </c>
      <c r="X89" s="87" t="str">
        <f>IF(COUNTIF($A89:$S89,"&lt;&gt;")=0,"",IF($F89="Gleichmäßig unter Beteiligten",IF(K89&lt;&gt;"Ja",0,IF(COUNTIF($L89:$L89,"Ja")=0,$D89-SUM($T89:W89),ROUND($D89/COUNTIF($G89:$L89,"Ja"),2))),IF($F89="Vereinbarte Beträge",IF(K89="Ja",Q89,0),"")))</f>
      </c>
      <c r="Y89" s="87" t="str">
        <f>IF(COUNTIF($A89:$S89,"&lt;&gt;")=0,"",IF($F89="Gleichmäßig unter Beteiligten",IF(L89&lt;&gt;"Ja",0,IF(0=0,$D89-SUM($T89:X89),ROUND($D89/COUNTIF($G89:$L89,"Ja"),2))),IF($F89="Vereinbarte Beträge",IF(L89="Ja",R89,0),"")))</f>
      </c>
      <c r="Z89" s="81" t="str">
        <f>IF(COUNTIF($A89:$S89,"&lt;&gt;")=0,"",IF(OR($D89="",$D89&lt;=0),"Trage einen Betrag größer als null ein.",IF($E89="","Wähle aus, wer bezahlt hat.",IF(COUNTIF($G89:$L89,"Ja")=0,"Wähle mindestens eine beteiligte Person aus.",IF($F89="Gleichmäßig unter Beteiligten","Geprüft",IF($F89="Vereinbarte Beträge",IF(OR(AND(G89="Ja",M89=""),AND(H89="Ja",N89=""),AND(I89="Ja",O89=""),AND(J89="Ja",P89=""),AND(K89="Ja",Q89=""),AND(L89="Ja",R89="")),"Trage die vereinbarten Beträge so ein, dass ihre Summe der Ausgabe entspricht.",IF(ABS(SUM($M89:$R89))&lt;0.005,"Trage die vereinbarten Beträge so ein, dass ihre Summe der Ausgabe entspricht.",IF(SUM($M89:$R89)&lt;$D89-0.005,"Bei der Aufteilung fehlen "&amp;ROUND($D89-SUM($M89:$R89),2)&amp;".",IF(SUM($M89:$R89)&gt;$D89+0.005,"Die Aufteilung übersteigt die Ausgabe um "&amp;ROUND(SUM($M89:$R89)-$D89,2)&amp;".","Geprüft")))),"Trage die vereinbarten Beträge so ein, dass ihre Summe der Ausgabe entspricht."))))))</f>
      </c>
    </row>
    <row r="90">
      <c r="A90" s="83"/>
      <c r="B90" s="57"/>
      <c r="C90" s="57"/>
      <c r="D90" s="85"/>
      <c r="E90" s="57"/>
      <c r="F90" s="57"/>
      <c r="G90" s="57"/>
      <c r="H90" s="57"/>
      <c r="I90" s="57"/>
      <c r="J90" s="57"/>
      <c r="K90" s="57"/>
      <c r="L90" s="57"/>
      <c r="M90" s="85"/>
      <c r="N90" s="85"/>
      <c r="O90" s="85"/>
      <c r="P90" s="85"/>
      <c r="Q90" s="85"/>
      <c r="R90" s="85"/>
      <c r="S90" s="57"/>
      <c r="T90" s="87" t="str">
        <f>IF(COUNTIF($A90:$S90,"&lt;&gt;")=0,"",IF($F90="Gleichmäßig unter Beteiligten",IF(G90&lt;&gt;"Ja",0,IF(COUNTIF($H90:$L90,"Ja")=0,$D90-0,ROUND($D90/COUNTIF($G90:$L90,"Ja"),2))),IF($F90="Vereinbarte Beträge",IF(G90="Ja",M90,0),"")))</f>
      </c>
      <c r="U90" s="87" t="str">
        <f>IF(COUNTIF($A90:$S90,"&lt;&gt;")=0,"",IF($F90="Gleichmäßig unter Beteiligten",IF(H90&lt;&gt;"Ja",0,IF(COUNTIF($I90:$L90,"Ja")=0,$D90-SUM($T90:T90),ROUND($D90/COUNTIF($G90:$L90,"Ja"),2))),IF($F90="Vereinbarte Beträge",IF(H90="Ja",N90,0),"")))</f>
      </c>
      <c r="V90" s="87" t="str">
        <f>IF(COUNTIF($A90:$S90,"&lt;&gt;")=0,"",IF($F90="Gleichmäßig unter Beteiligten",IF(I90&lt;&gt;"Ja",0,IF(COUNTIF($J90:$L90,"Ja")=0,$D90-SUM($T90:U90),ROUND($D90/COUNTIF($G90:$L90,"Ja"),2))),IF($F90="Vereinbarte Beträge",IF(I90="Ja",O90,0),"")))</f>
      </c>
      <c r="W90" s="87" t="str">
        <f>IF(COUNTIF($A90:$S90,"&lt;&gt;")=0,"",IF($F90="Gleichmäßig unter Beteiligten",IF(J90&lt;&gt;"Ja",0,IF(COUNTIF($K90:$L90,"Ja")=0,$D90-SUM($T90:V90),ROUND($D90/COUNTIF($G90:$L90,"Ja"),2))),IF($F90="Vereinbarte Beträge",IF(J90="Ja",P90,0),"")))</f>
      </c>
      <c r="X90" s="87" t="str">
        <f>IF(COUNTIF($A90:$S90,"&lt;&gt;")=0,"",IF($F90="Gleichmäßig unter Beteiligten",IF(K90&lt;&gt;"Ja",0,IF(COUNTIF($L90:$L90,"Ja")=0,$D90-SUM($T90:W90),ROUND($D90/COUNTIF($G90:$L90,"Ja"),2))),IF($F90="Vereinbarte Beträge",IF(K90="Ja",Q90,0),"")))</f>
      </c>
      <c r="Y90" s="87" t="str">
        <f>IF(COUNTIF($A90:$S90,"&lt;&gt;")=0,"",IF($F90="Gleichmäßig unter Beteiligten",IF(L90&lt;&gt;"Ja",0,IF(0=0,$D90-SUM($T90:X90),ROUND($D90/COUNTIF($G90:$L90,"Ja"),2))),IF($F90="Vereinbarte Beträge",IF(L90="Ja",R90,0),"")))</f>
      </c>
      <c r="Z90" s="81" t="str">
        <f>IF(COUNTIF($A90:$S90,"&lt;&gt;")=0,"",IF(OR($D90="",$D90&lt;=0),"Trage einen Betrag größer als null ein.",IF($E90="","Wähle aus, wer bezahlt hat.",IF(COUNTIF($G90:$L90,"Ja")=0,"Wähle mindestens eine beteiligte Person aus.",IF($F90="Gleichmäßig unter Beteiligten","Geprüft",IF($F90="Vereinbarte Beträge",IF(OR(AND(G90="Ja",M90=""),AND(H90="Ja",N90=""),AND(I90="Ja",O90=""),AND(J90="Ja",P90=""),AND(K90="Ja",Q90=""),AND(L90="Ja",R90="")),"Trage die vereinbarten Beträge so ein, dass ihre Summe der Ausgabe entspricht.",IF(ABS(SUM($M90:$R90))&lt;0.005,"Trage die vereinbarten Beträge so ein, dass ihre Summe der Ausgabe entspricht.",IF(SUM($M90:$R90)&lt;$D90-0.005,"Bei der Aufteilung fehlen "&amp;ROUND($D90-SUM($M90:$R90),2)&amp;".",IF(SUM($M90:$R90)&gt;$D90+0.005,"Die Aufteilung übersteigt die Ausgabe um "&amp;ROUND(SUM($M90:$R90)-$D90,2)&amp;".","Geprüft")))),"Trage die vereinbarten Beträge so ein, dass ihre Summe der Ausgabe entspricht."))))))</f>
      </c>
    </row>
    <row r="91">
      <c r="A91" s="83"/>
      <c r="B91" s="57"/>
      <c r="C91" s="57"/>
      <c r="D91" s="85"/>
      <c r="E91" s="57"/>
      <c r="F91" s="57"/>
      <c r="G91" s="57"/>
      <c r="H91" s="57"/>
      <c r="I91" s="57"/>
      <c r="J91" s="57"/>
      <c r="K91" s="57"/>
      <c r="L91" s="57"/>
      <c r="M91" s="85"/>
      <c r="N91" s="85"/>
      <c r="O91" s="85"/>
      <c r="P91" s="85"/>
      <c r="Q91" s="85"/>
      <c r="R91" s="85"/>
      <c r="S91" s="57"/>
      <c r="T91" s="87" t="str">
        <f>IF(COUNTIF($A91:$S91,"&lt;&gt;")=0,"",IF($F91="Gleichmäßig unter Beteiligten",IF(G91&lt;&gt;"Ja",0,IF(COUNTIF($H91:$L91,"Ja")=0,$D91-0,ROUND($D91/COUNTIF($G91:$L91,"Ja"),2))),IF($F91="Vereinbarte Beträge",IF(G91="Ja",M91,0),"")))</f>
      </c>
      <c r="U91" s="87" t="str">
        <f>IF(COUNTIF($A91:$S91,"&lt;&gt;")=0,"",IF($F91="Gleichmäßig unter Beteiligten",IF(H91&lt;&gt;"Ja",0,IF(COUNTIF($I91:$L91,"Ja")=0,$D91-SUM($T91:T91),ROUND($D91/COUNTIF($G91:$L91,"Ja"),2))),IF($F91="Vereinbarte Beträge",IF(H91="Ja",N91,0),"")))</f>
      </c>
      <c r="V91" s="87" t="str">
        <f>IF(COUNTIF($A91:$S91,"&lt;&gt;")=0,"",IF($F91="Gleichmäßig unter Beteiligten",IF(I91&lt;&gt;"Ja",0,IF(COUNTIF($J91:$L91,"Ja")=0,$D91-SUM($T91:U91),ROUND($D91/COUNTIF($G91:$L91,"Ja"),2))),IF($F91="Vereinbarte Beträge",IF(I91="Ja",O91,0),"")))</f>
      </c>
      <c r="W91" s="87" t="str">
        <f>IF(COUNTIF($A91:$S91,"&lt;&gt;")=0,"",IF($F91="Gleichmäßig unter Beteiligten",IF(J91&lt;&gt;"Ja",0,IF(COUNTIF($K91:$L91,"Ja")=0,$D91-SUM($T91:V91),ROUND($D91/COUNTIF($G91:$L91,"Ja"),2))),IF($F91="Vereinbarte Beträge",IF(J91="Ja",P91,0),"")))</f>
      </c>
      <c r="X91" s="87" t="str">
        <f>IF(COUNTIF($A91:$S91,"&lt;&gt;")=0,"",IF($F91="Gleichmäßig unter Beteiligten",IF(K91&lt;&gt;"Ja",0,IF(COUNTIF($L91:$L91,"Ja")=0,$D91-SUM($T91:W91),ROUND($D91/COUNTIF($G91:$L91,"Ja"),2))),IF($F91="Vereinbarte Beträge",IF(K91="Ja",Q91,0),"")))</f>
      </c>
      <c r="Y91" s="87" t="str">
        <f>IF(COUNTIF($A91:$S91,"&lt;&gt;")=0,"",IF($F91="Gleichmäßig unter Beteiligten",IF(L91&lt;&gt;"Ja",0,IF(0=0,$D91-SUM($T91:X91),ROUND($D91/COUNTIF($G91:$L91,"Ja"),2))),IF($F91="Vereinbarte Beträge",IF(L91="Ja",R91,0),"")))</f>
      </c>
      <c r="Z91" s="81" t="str">
        <f>IF(COUNTIF($A91:$S91,"&lt;&gt;")=0,"",IF(OR($D91="",$D91&lt;=0),"Trage einen Betrag größer als null ein.",IF($E91="","Wähle aus, wer bezahlt hat.",IF(COUNTIF($G91:$L91,"Ja")=0,"Wähle mindestens eine beteiligte Person aus.",IF($F91="Gleichmäßig unter Beteiligten","Geprüft",IF($F91="Vereinbarte Beträge",IF(OR(AND(G91="Ja",M91=""),AND(H91="Ja",N91=""),AND(I91="Ja",O91=""),AND(J91="Ja",P91=""),AND(K91="Ja",Q91=""),AND(L91="Ja",R91="")),"Trage die vereinbarten Beträge so ein, dass ihre Summe der Ausgabe entspricht.",IF(ABS(SUM($M91:$R91))&lt;0.005,"Trage die vereinbarten Beträge so ein, dass ihre Summe der Ausgabe entspricht.",IF(SUM($M91:$R91)&lt;$D91-0.005,"Bei der Aufteilung fehlen "&amp;ROUND($D91-SUM($M91:$R91),2)&amp;".",IF(SUM($M91:$R91)&gt;$D91+0.005,"Die Aufteilung übersteigt die Ausgabe um "&amp;ROUND(SUM($M91:$R91)-$D91,2)&amp;".","Geprüft")))),"Trage die vereinbarten Beträge so ein, dass ihre Summe der Ausgabe entspricht."))))))</f>
      </c>
    </row>
    <row r="92">
      <c r="A92" s="83"/>
      <c r="B92" s="57"/>
      <c r="C92" s="57"/>
      <c r="D92" s="85"/>
      <c r="E92" s="57"/>
      <c r="F92" s="57"/>
      <c r="G92" s="57"/>
      <c r="H92" s="57"/>
      <c r="I92" s="57"/>
      <c r="J92" s="57"/>
      <c r="K92" s="57"/>
      <c r="L92" s="57"/>
      <c r="M92" s="85"/>
      <c r="N92" s="85"/>
      <c r="O92" s="85"/>
      <c r="P92" s="85"/>
      <c r="Q92" s="85"/>
      <c r="R92" s="85"/>
      <c r="S92" s="57"/>
      <c r="T92" s="87" t="str">
        <f>IF(COUNTIF($A92:$S92,"&lt;&gt;")=0,"",IF($F92="Gleichmäßig unter Beteiligten",IF(G92&lt;&gt;"Ja",0,IF(COUNTIF($H92:$L92,"Ja")=0,$D92-0,ROUND($D92/COUNTIF($G92:$L92,"Ja"),2))),IF($F92="Vereinbarte Beträge",IF(G92="Ja",M92,0),"")))</f>
      </c>
      <c r="U92" s="87" t="str">
        <f>IF(COUNTIF($A92:$S92,"&lt;&gt;")=0,"",IF($F92="Gleichmäßig unter Beteiligten",IF(H92&lt;&gt;"Ja",0,IF(COUNTIF($I92:$L92,"Ja")=0,$D92-SUM($T92:T92),ROUND($D92/COUNTIF($G92:$L92,"Ja"),2))),IF($F92="Vereinbarte Beträge",IF(H92="Ja",N92,0),"")))</f>
      </c>
      <c r="V92" s="87" t="str">
        <f>IF(COUNTIF($A92:$S92,"&lt;&gt;")=0,"",IF($F92="Gleichmäßig unter Beteiligten",IF(I92&lt;&gt;"Ja",0,IF(COUNTIF($J92:$L92,"Ja")=0,$D92-SUM($T92:U92),ROUND($D92/COUNTIF($G92:$L92,"Ja"),2))),IF($F92="Vereinbarte Beträge",IF(I92="Ja",O92,0),"")))</f>
      </c>
      <c r="W92" s="87" t="str">
        <f>IF(COUNTIF($A92:$S92,"&lt;&gt;")=0,"",IF($F92="Gleichmäßig unter Beteiligten",IF(J92&lt;&gt;"Ja",0,IF(COUNTIF($K92:$L92,"Ja")=0,$D92-SUM($T92:V92),ROUND($D92/COUNTIF($G92:$L92,"Ja"),2))),IF($F92="Vereinbarte Beträge",IF(J92="Ja",P92,0),"")))</f>
      </c>
      <c r="X92" s="87" t="str">
        <f>IF(COUNTIF($A92:$S92,"&lt;&gt;")=0,"",IF($F92="Gleichmäßig unter Beteiligten",IF(K92&lt;&gt;"Ja",0,IF(COUNTIF($L92:$L92,"Ja")=0,$D92-SUM($T92:W92),ROUND($D92/COUNTIF($G92:$L92,"Ja"),2))),IF($F92="Vereinbarte Beträge",IF(K92="Ja",Q92,0),"")))</f>
      </c>
      <c r="Y92" s="87" t="str">
        <f>IF(COUNTIF($A92:$S92,"&lt;&gt;")=0,"",IF($F92="Gleichmäßig unter Beteiligten",IF(L92&lt;&gt;"Ja",0,IF(0=0,$D92-SUM($T92:X92),ROUND($D92/COUNTIF($G92:$L92,"Ja"),2))),IF($F92="Vereinbarte Beträge",IF(L92="Ja",R92,0),"")))</f>
      </c>
      <c r="Z92" s="81" t="str">
        <f>IF(COUNTIF($A92:$S92,"&lt;&gt;")=0,"",IF(OR($D92="",$D92&lt;=0),"Trage einen Betrag größer als null ein.",IF($E92="","Wähle aus, wer bezahlt hat.",IF(COUNTIF($G92:$L92,"Ja")=0,"Wähle mindestens eine beteiligte Person aus.",IF($F92="Gleichmäßig unter Beteiligten","Geprüft",IF($F92="Vereinbarte Beträge",IF(OR(AND(G92="Ja",M92=""),AND(H92="Ja",N92=""),AND(I92="Ja",O92=""),AND(J92="Ja",P92=""),AND(K92="Ja",Q92=""),AND(L92="Ja",R92="")),"Trage die vereinbarten Beträge so ein, dass ihre Summe der Ausgabe entspricht.",IF(ABS(SUM($M92:$R92))&lt;0.005,"Trage die vereinbarten Beträge so ein, dass ihre Summe der Ausgabe entspricht.",IF(SUM($M92:$R92)&lt;$D92-0.005,"Bei der Aufteilung fehlen "&amp;ROUND($D92-SUM($M92:$R92),2)&amp;".",IF(SUM($M92:$R92)&gt;$D92+0.005,"Die Aufteilung übersteigt die Ausgabe um "&amp;ROUND(SUM($M92:$R92)-$D92,2)&amp;".","Geprüft")))),"Trage die vereinbarten Beträge so ein, dass ihre Summe der Ausgabe entspricht."))))))</f>
      </c>
    </row>
    <row r="93">
      <c r="A93" s="83"/>
      <c r="B93" s="57"/>
      <c r="C93" s="57"/>
      <c r="D93" s="85"/>
      <c r="E93" s="57"/>
      <c r="F93" s="57"/>
      <c r="G93" s="57"/>
      <c r="H93" s="57"/>
      <c r="I93" s="57"/>
      <c r="J93" s="57"/>
      <c r="K93" s="57"/>
      <c r="L93" s="57"/>
      <c r="M93" s="85"/>
      <c r="N93" s="85"/>
      <c r="O93" s="85"/>
      <c r="P93" s="85"/>
      <c r="Q93" s="85"/>
      <c r="R93" s="85"/>
      <c r="S93" s="57"/>
      <c r="T93" s="87" t="str">
        <f>IF(COUNTIF($A93:$S93,"&lt;&gt;")=0,"",IF($F93="Gleichmäßig unter Beteiligten",IF(G93&lt;&gt;"Ja",0,IF(COUNTIF($H93:$L93,"Ja")=0,$D93-0,ROUND($D93/COUNTIF($G93:$L93,"Ja"),2))),IF($F93="Vereinbarte Beträge",IF(G93="Ja",M93,0),"")))</f>
      </c>
      <c r="U93" s="87" t="str">
        <f>IF(COUNTIF($A93:$S93,"&lt;&gt;")=0,"",IF($F93="Gleichmäßig unter Beteiligten",IF(H93&lt;&gt;"Ja",0,IF(COUNTIF($I93:$L93,"Ja")=0,$D93-SUM($T93:T93),ROUND($D93/COUNTIF($G93:$L93,"Ja"),2))),IF($F93="Vereinbarte Beträge",IF(H93="Ja",N93,0),"")))</f>
      </c>
      <c r="V93" s="87" t="str">
        <f>IF(COUNTIF($A93:$S93,"&lt;&gt;")=0,"",IF($F93="Gleichmäßig unter Beteiligten",IF(I93&lt;&gt;"Ja",0,IF(COUNTIF($J93:$L93,"Ja")=0,$D93-SUM($T93:U93),ROUND($D93/COUNTIF($G93:$L93,"Ja"),2))),IF($F93="Vereinbarte Beträge",IF(I93="Ja",O93,0),"")))</f>
      </c>
      <c r="W93" s="87" t="str">
        <f>IF(COUNTIF($A93:$S93,"&lt;&gt;")=0,"",IF($F93="Gleichmäßig unter Beteiligten",IF(J93&lt;&gt;"Ja",0,IF(COUNTIF($K93:$L93,"Ja")=0,$D93-SUM($T93:V93),ROUND($D93/COUNTIF($G93:$L93,"Ja"),2))),IF($F93="Vereinbarte Beträge",IF(J93="Ja",P93,0),"")))</f>
      </c>
      <c r="X93" s="87" t="str">
        <f>IF(COUNTIF($A93:$S93,"&lt;&gt;")=0,"",IF($F93="Gleichmäßig unter Beteiligten",IF(K93&lt;&gt;"Ja",0,IF(COUNTIF($L93:$L93,"Ja")=0,$D93-SUM($T93:W93),ROUND($D93/COUNTIF($G93:$L93,"Ja"),2))),IF($F93="Vereinbarte Beträge",IF(K93="Ja",Q93,0),"")))</f>
      </c>
      <c r="Y93" s="87" t="str">
        <f>IF(COUNTIF($A93:$S93,"&lt;&gt;")=0,"",IF($F93="Gleichmäßig unter Beteiligten",IF(L93&lt;&gt;"Ja",0,IF(0=0,$D93-SUM($T93:X93),ROUND($D93/COUNTIF($G93:$L93,"Ja"),2))),IF($F93="Vereinbarte Beträge",IF(L93="Ja",R93,0),"")))</f>
      </c>
      <c r="Z93" s="81" t="str">
        <f>IF(COUNTIF($A93:$S93,"&lt;&gt;")=0,"",IF(OR($D93="",$D93&lt;=0),"Trage einen Betrag größer als null ein.",IF($E93="","Wähle aus, wer bezahlt hat.",IF(COUNTIF($G93:$L93,"Ja")=0,"Wähle mindestens eine beteiligte Person aus.",IF($F93="Gleichmäßig unter Beteiligten","Geprüft",IF($F93="Vereinbarte Beträge",IF(OR(AND(G93="Ja",M93=""),AND(H93="Ja",N93=""),AND(I93="Ja",O93=""),AND(J93="Ja",P93=""),AND(K93="Ja",Q93=""),AND(L93="Ja",R93="")),"Trage die vereinbarten Beträge so ein, dass ihre Summe der Ausgabe entspricht.",IF(ABS(SUM($M93:$R93))&lt;0.005,"Trage die vereinbarten Beträge so ein, dass ihre Summe der Ausgabe entspricht.",IF(SUM($M93:$R93)&lt;$D93-0.005,"Bei der Aufteilung fehlen "&amp;ROUND($D93-SUM($M93:$R93),2)&amp;".",IF(SUM($M93:$R93)&gt;$D93+0.005,"Die Aufteilung übersteigt die Ausgabe um "&amp;ROUND(SUM($M93:$R93)-$D93,2)&amp;".","Geprüft")))),"Trage die vereinbarten Beträge so ein, dass ihre Summe der Ausgabe entspricht."))))))</f>
      </c>
    </row>
    <row r="94">
      <c r="A94" s="83"/>
      <c r="B94" s="57"/>
      <c r="C94" s="57"/>
      <c r="D94" s="85"/>
      <c r="E94" s="57"/>
      <c r="F94" s="57"/>
      <c r="G94" s="57"/>
      <c r="H94" s="57"/>
      <c r="I94" s="57"/>
      <c r="J94" s="57"/>
      <c r="K94" s="57"/>
      <c r="L94" s="57"/>
      <c r="M94" s="85"/>
      <c r="N94" s="85"/>
      <c r="O94" s="85"/>
      <c r="P94" s="85"/>
      <c r="Q94" s="85"/>
      <c r="R94" s="85"/>
      <c r="S94" s="57"/>
      <c r="T94" s="87" t="str">
        <f>IF(COUNTIF($A94:$S94,"&lt;&gt;")=0,"",IF($F94="Gleichmäßig unter Beteiligten",IF(G94&lt;&gt;"Ja",0,IF(COUNTIF($H94:$L94,"Ja")=0,$D94-0,ROUND($D94/COUNTIF($G94:$L94,"Ja"),2))),IF($F94="Vereinbarte Beträge",IF(G94="Ja",M94,0),"")))</f>
      </c>
      <c r="U94" s="87" t="str">
        <f>IF(COUNTIF($A94:$S94,"&lt;&gt;")=0,"",IF($F94="Gleichmäßig unter Beteiligten",IF(H94&lt;&gt;"Ja",0,IF(COUNTIF($I94:$L94,"Ja")=0,$D94-SUM($T94:T94),ROUND($D94/COUNTIF($G94:$L94,"Ja"),2))),IF($F94="Vereinbarte Beträge",IF(H94="Ja",N94,0),"")))</f>
      </c>
      <c r="V94" s="87" t="str">
        <f>IF(COUNTIF($A94:$S94,"&lt;&gt;")=0,"",IF($F94="Gleichmäßig unter Beteiligten",IF(I94&lt;&gt;"Ja",0,IF(COUNTIF($J94:$L94,"Ja")=0,$D94-SUM($T94:U94),ROUND($D94/COUNTIF($G94:$L94,"Ja"),2))),IF($F94="Vereinbarte Beträge",IF(I94="Ja",O94,0),"")))</f>
      </c>
      <c r="W94" s="87" t="str">
        <f>IF(COUNTIF($A94:$S94,"&lt;&gt;")=0,"",IF($F94="Gleichmäßig unter Beteiligten",IF(J94&lt;&gt;"Ja",0,IF(COUNTIF($K94:$L94,"Ja")=0,$D94-SUM($T94:V94),ROUND($D94/COUNTIF($G94:$L94,"Ja"),2))),IF($F94="Vereinbarte Beträge",IF(J94="Ja",P94,0),"")))</f>
      </c>
      <c r="X94" s="87" t="str">
        <f>IF(COUNTIF($A94:$S94,"&lt;&gt;")=0,"",IF($F94="Gleichmäßig unter Beteiligten",IF(K94&lt;&gt;"Ja",0,IF(COUNTIF($L94:$L94,"Ja")=0,$D94-SUM($T94:W94),ROUND($D94/COUNTIF($G94:$L94,"Ja"),2))),IF($F94="Vereinbarte Beträge",IF(K94="Ja",Q94,0),"")))</f>
      </c>
      <c r="Y94" s="87" t="str">
        <f>IF(COUNTIF($A94:$S94,"&lt;&gt;")=0,"",IF($F94="Gleichmäßig unter Beteiligten",IF(L94&lt;&gt;"Ja",0,IF(0=0,$D94-SUM($T94:X94),ROUND($D94/COUNTIF($G94:$L94,"Ja"),2))),IF($F94="Vereinbarte Beträge",IF(L94="Ja",R94,0),"")))</f>
      </c>
      <c r="Z94" s="81" t="str">
        <f>IF(COUNTIF($A94:$S94,"&lt;&gt;")=0,"",IF(OR($D94="",$D94&lt;=0),"Trage einen Betrag größer als null ein.",IF($E94="","Wähle aus, wer bezahlt hat.",IF(COUNTIF($G94:$L94,"Ja")=0,"Wähle mindestens eine beteiligte Person aus.",IF($F94="Gleichmäßig unter Beteiligten","Geprüft",IF($F94="Vereinbarte Beträge",IF(OR(AND(G94="Ja",M94=""),AND(H94="Ja",N94=""),AND(I94="Ja",O94=""),AND(J94="Ja",P94=""),AND(K94="Ja",Q94=""),AND(L94="Ja",R94="")),"Trage die vereinbarten Beträge so ein, dass ihre Summe der Ausgabe entspricht.",IF(ABS(SUM($M94:$R94))&lt;0.005,"Trage die vereinbarten Beträge so ein, dass ihre Summe der Ausgabe entspricht.",IF(SUM($M94:$R94)&lt;$D94-0.005,"Bei der Aufteilung fehlen "&amp;ROUND($D94-SUM($M94:$R94),2)&amp;".",IF(SUM($M94:$R94)&gt;$D94+0.005,"Die Aufteilung übersteigt die Ausgabe um "&amp;ROUND(SUM($M94:$R94)-$D94,2)&amp;".","Geprüft")))),"Trage die vereinbarten Beträge so ein, dass ihre Summe der Ausgabe entspricht."))))))</f>
      </c>
    </row>
    <row r="95">
      <c r="A95" s="83"/>
      <c r="B95" s="57"/>
      <c r="C95" s="57"/>
      <c r="D95" s="85"/>
      <c r="E95" s="57"/>
      <c r="F95" s="57"/>
      <c r="G95" s="57"/>
      <c r="H95" s="57"/>
      <c r="I95" s="57"/>
      <c r="J95" s="57"/>
      <c r="K95" s="57"/>
      <c r="L95" s="57"/>
      <c r="M95" s="85"/>
      <c r="N95" s="85"/>
      <c r="O95" s="85"/>
      <c r="P95" s="85"/>
      <c r="Q95" s="85"/>
      <c r="R95" s="85"/>
      <c r="S95" s="57"/>
      <c r="T95" s="87" t="str">
        <f>IF(COUNTIF($A95:$S95,"&lt;&gt;")=0,"",IF($F95="Gleichmäßig unter Beteiligten",IF(G95&lt;&gt;"Ja",0,IF(COUNTIF($H95:$L95,"Ja")=0,$D95-0,ROUND($D95/COUNTIF($G95:$L95,"Ja"),2))),IF($F95="Vereinbarte Beträge",IF(G95="Ja",M95,0),"")))</f>
      </c>
      <c r="U95" s="87" t="str">
        <f>IF(COUNTIF($A95:$S95,"&lt;&gt;")=0,"",IF($F95="Gleichmäßig unter Beteiligten",IF(H95&lt;&gt;"Ja",0,IF(COUNTIF($I95:$L95,"Ja")=0,$D95-SUM($T95:T95),ROUND($D95/COUNTIF($G95:$L95,"Ja"),2))),IF($F95="Vereinbarte Beträge",IF(H95="Ja",N95,0),"")))</f>
      </c>
      <c r="V95" s="87" t="str">
        <f>IF(COUNTIF($A95:$S95,"&lt;&gt;")=0,"",IF($F95="Gleichmäßig unter Beteiligten",IF(I95&lt;&gt;"Ja",0,IF(COUNTIF($J95:$L95,"Ja")=0,$D95-SUM($T95:U95),ROUND($D95/COUNTIF($G95:$L95,"Ja"),2))),IF($F95="Vereinbarte Beträge",IF(I95="Ja",O95,0),"")))</f>
      </c>
      <c r="W95" s="87" t="str">
        <f>IF(COUNTIF($A95:$S95,"&lt;&gt;")=0,"",IF($F95="Gleichmäßig unter Beteiligten",IF(J95&lt;&gt;"Ja",0,IF(COUNTIF($K95:$L95,"Ja")=0,$D95-SUM($T95:V95),ROUND($D95/COUNTIF($G95:$L95,"Ja"),2))),IF($F95="Vereinbarte Beträge",IF(J95="Ja",P95,0),"")))</f>
      </c>
      <c r="X95" s="87" t="str">
        <f>IF(COUNTIF($A95:$S95,"&lt;&gt;")=0,"",IF($F95="Gleichmäßig unter Beteiligten",IF(K95&lt;&gt;"Ja",0,IF(COUNTIF($L95:$L95,"Ja")=0,$D95-SUM($T95:W95),ROUND($D95/COUNTIF($G95:$L95,"Ja"),2))),IF($F95="Vereinbarte Beträge",IF(K95="Ja",Q95,0),"")))</f>
      </c>
      <c r="Y95" s="87" t="str">
        <f>IF(COUNTIF($A95:$S95,"&lt;&gt;")=0,"",IF($F95="Gleichmäßig unter Beteiligten",IF(L95&lt;&gt;"Ja",0,IF(0=0,$D95-SUM($T95:X95),ROUND($D95/COUNTIF($G95:$L95,"Ja"),2))),IF($F95="Vereinbarte Beträge",IF(L95="Ja",R95,0),"")))</f>
      </c>
      <c r="Z95" s="81" t="str">
        <f>IF(COUNTIF($A95:$S95,"&lt;&gt;")=0,"",IF(OR($D95="",$D95&lt;=0),"Trage einen Betrag größer als null ein.",IF($E95="","Wähle aus, wer bezahlt hat.",IF(COUNTIF($G95:$L95,"Ja")=0,"Wähle mindestens eine beteiligte Person aus.",IF($F95="Gleichmäßig unter Beteiligten","Geprüft",IF($F95="Vereinbarte Beträge",IF(OR(AND(G95="Ja",M95=""),AND(H95="Ja",N95=""),AND(I95="Ja",O95=""),AND(J95="Ja",P95=""),AND(K95="Ja",Q95=""),AND(L95="Ja",R95="")),"Trage die vereinbarten Beträge so ein, dass ihre Summe der Ausgabe entspricht.",IF(ABS(SUM($M95:$R95))&lt;0.005,"Trage die vereinbarten Beträge so ein, dass ihre Summe der Ausgabe entspricht.",IF(SUM($M95:$R95)&lt;$D95-0.005,"Bei der Aufteilung fehlen "&amp;ROUND($D95-SUM($M95:$R95),2)&amp;".",IF(SUM($M95:$R95)&gt;$D95+0.005,"Die Aufteilung übersteigt die Ausgabe um "&amp;ROUND(SUM($M95:$R95)-$D95,2)&amp;".","Geprüft")))),"Trage die vereinbarten Beträge so ein, dass ihre Summe der Ausgabe entspricht."))))))</f>
      </c>
    </row>
    <row r="96">
      <c r="A96" s="83"/>
      <c r="B96" s="57"/>
      <c r="C96" s="57"/>
      <c r="D96" s="85"/>
      <c r="E96" s="57"/>
      <c r="F96" s="57"/>
      <c r="G96" s="57"/>
      <c r="H96" s="57"/>
      <c r="I96" s="57"/>
      <c r="J96" s="57"/>
      <c r="K96" s="57"/>
      <c r="L96" s="57"/>
      <c r="M96" s="85"/>
      <c r="N96" s="85"/>
      <c r="O96" s="85"/>
      <c r="P96" s="85"/>
      <c r="Q96" s="85"/>
      <c r="R96" s="85"/>
      <c r="S96" s="57"/>
      <c r="T96" s="87" t="str">
        <f>IF(COUNTIF($A96:$S96,"&lt;&gt;")=0,"",IF($F96="Gleichmäßig unter Beteiligten",IF(G96&lt;&gt;"Ja",0,IF(COUNTIF($H96:$L96,"Ja")=0,$D96-0,ROUND($D96/COUNTIF($G96:$L96,"Ja"),2))),IF($F96="Vereinbarte Beträge",IF(G96="Ja",M96,0),"")))</f>
      </c>
      <c r="U96" s="87" t="str">
        <f>IF(COUNTIF($A96:$S96,"&lt;&gt;")=0,"",IF($F96="Gleichmäßig unter Beteiligten",IF(H96&lt;&gt;"Ja",0,IF(COUNTIF($I96:$L96,"Ja")=0,$D96-SUM($T96:T96),ROUND($D96/COUNTIF($G96:$L96,"Ja"),2))),IF($F96="Vereinbarte Beträge",IF(H96="Ja",N96,0),"")))</f>
      </c>
      <c r="V96" s="87" t="str">
        <f>IF(COUNTIF($A96:$S96,"&lt;&gt;")=0,"",IF($F96="Gleichmäßig unter Beteiligten",IF(I96&lt;&gt;"Ja",0,IF(COUNTIF($J96:$L96,"Ja")=0,$D96-SUM($T96:U96),ROUND($D96/COUNTIF($G96:$L96,"Ja"),2))),IF($F96="Vereinbarte Beträge",IF(I96="Ja",O96,0),"")))</f>
      </c>
      <c r="W96" s="87" t="str">
        <f>IF(COUNTIF($A96:$S96,"&lt;&gt;")=0,"",IF($F96="Gleichmäßig unter Beteiligten",IF(J96&lt;&gt;"Ja",0,IF(COUNTIF($K96:$L96,"Ja")=0,$D96-SUM($T96:V96),ROUND($D96/COUNTIF($G96:$L96,"Ja"),2))),IF($F96="Vereinbarte Beträge",IF(J96="Ja",P96,0),"")))</f>
      </c>
      <c r="X96" s="87" t="str">
        <f>IF(COUNTIF($A96:$S96,"&lt;&gt;")=0,"",IF($F96="Gleichmäßig unter Beteiligten",IF(K96&lt;&gt;"Ja",0,IF(COUNTIF($L96:$L96,"Ja")=0,$D96-SUM($T96:W96),ROUND($D96/COUNTIF($G96:$L96,"Ja"),2))),IF($F96="Vereinbarte Beträge",IF(K96="Ja",Q96,0),"")))</f>
      </c>
      <c r="Y96" s="87" t="str">
        <f>IF(COUNTIF($A96:$S96,"&lt;&gt;")=0,"",IF($F96="Gleichmäßig unter Beteiligten",IF(L96&lt;&gt;"Ja",0,IF(0=0,$D96-SUM($T96:X96),ROUND($D96/COUNTIF($G96:$L96,"Ja"),2))),IF($F96="Vereinbarte Beträge",IF(L96="Ja",R96,0),"")))</f>
      </c>
      <c r="Z96" s="81" t="str">
        <f>IF(COUNTIF($A96:$S96,"&lt;&gt;")=0,"",IF(OR($D96="",$D96&lt;=0),"Trage einen Betrag größer als null ein.",IF($E96="","Wähle aus, wer bezahlt hat.",IF(COUNTIF($G96:$L96,"Ja")=0,"Wähle mindestens eine beteiligte Person aus.",IF($F96="Gleichmäßig unter Beteiligten","Geprüft",IF($F96="Vereinbarte Beträge",IF(OR(AND(G96="Ja",M96=""),AND(H96="Ja",N96=""),AND(I96="Ja",O96=""),AND(J96="Ja",P96=""),AND(K96="Ja",Q96=""),AND(L96="Ja",R96="")),"Trage die vereinbarten Beträge so ein, dass ihre Summe der Ausgabe entspricht.",IF(ABS(SUM($M96:$R96))&lt;0.005,"Trage die vereinbarten Beträge so ein, dass ihre Summe der Ausgabe entspricht.",IF(SUM($M96:$R96)&lt;$D96-0.005,"Bei der Aufteilung fehlen "&amp;ROUND($D96-SUM($M96:$R96),2)&amp;".",IF(SUM($M96:$R96)&gt;$D96+0.005,"Die Aufteilung übersteigt die Ausgabe um "&amp;ROUND(SUM($M96:$R96)-$D96,2)&amp;".","Geprüft")))),"Trage die vereinbarten Beträge so ein, dass ihre Summe der Ausgabe entspricht."))))))</f>
      </c>
    </row>
    <row r="97">
      <c r="A97" s="83"/>
      <c r="B97" s="57"/>
      <c r="C97" s="57"/>
      <c r="D97" s="85"/>
      <c r="E97" s="57"/>
      <c r="F97" s="57"/>
      <c r="G97" s="57"/>
      <c r="H97" s="57"/>
      <c r="I97" s="57"/>
      <c r="J97" s="57"/>
      <c r="K97" s="57"/>
      <c r="L97" s="57"/>
      <c r="M97" s="85"/>
      <c r="N97" s="85"/>
      <c r="O97" s="85"/>
      <c r="P97" s="85"/>
      <c r="Q97" s="85"/>
      <c r="R97" s="85"/>
      <c r="S97" s="57"/>
      <c r="T97" s="87" t="str">
        <f>IF(COUNTIF($A97:$S97,"&lt;&gt;")=0,"",IF($F97="Gleichmäßig unter Beteiligten",IF(G97&lt;&gt;"Ja",0,IF(COUNTIF($H97:$L97,"Ja")=0,$D97-0,ROUND($D97/COUNTIF($G97:$L97,"Ja"),2))),IF($F97="Vereinbarte Beträge",IF(G97="Ja",M97,0),"")))</f>
      </c>
      <c r="U97" s="87" t="str">
        <f>IF(COUNTIF($A97:$S97,"&lt;&gt;")=0,"",IF($F97="Gleichmäßig unter Beteiligten",IF(H97&lt;&gt;"Ja",0,IF(COUNTIF($I97:$L97,"Ja")=0,$D97-SUM($T97:T97),ROUND($D97/COUNTIF($G97:$L97,"Ja"),2))),IF($F97="Vereinbarte Beträge",IF(H97="Ja",N97,0),"")))</f>
      </c>
      <c r="V97" s="87" t="str">
        <f>IF(COUNTIF($A97:$S97,"&lt;&gt;")=0,"",IF($F97="Gleichmäßig unter Beteiligten",IF(I97&lt;&gt;"Ja",0,IF(COUNTIF($J97:$L97,"Ja")=0,$D97-SUM($T97:U97),ROUND($D97/COUNTIF($G97:$L97,"Ja"),2))),IF($F97="Vereinbarte Beträge",IF(I97="Ja",O97,0),"")))</f>
      </c>
      <c r="W97" s="87" t="str">
        <f>IF(COUNTIF($A97:$S97,"&lt;&gt;")=0,"",IF($F97="Gleichmäßig unter Beteiligten",IF(J97&lt;&gt;"Ja",0,IF(COUNTIF($K97:$L97,"Ja")=0,$D97-SUM($T97:V97),ROUND($D97/COUNTIF($G97:$L97,"Ja"),2))),IF($F97="Vereinbarte Beträge",IF(J97="Ja",P97,0),"")))</f>
      </c>
      <c r="X97" s="87" t="str">
        <f>IF(COUNTIF($A97:$S97,"&lt;&gt;")=0,"",IF($F97="Gleichmäßig unter Beteiligten",IF(K97&lt;&gt;"Ja",0,IF(COUNTIF($L97:$L97,"Ja")=0,$D97-SUM($T97:W97),ROUND($D97/COUNTIF($G97:$L97,"Ja"),2))),IF($F97="Vereinbarte Beträge",IF(K97="Ja",Q97,0),"")))</f>
      </c>
      <c r="Y97" s="87" t="str">
        <f>IF(COUNTIF($A97:$S97,"&lt;&gt;")=0,"",IF($F97="Gleichmäßig unter Beteiligten",IF(L97&lt;&gt;"Ja",0,IF(0=0,$D97-SUM($T97:X97),ROUND($D97/COUNTIF($G97:$L97,"Ja"),2))),IF($F97="Vereinbarte Beträge",IF(L97="Ja",R97,0),"")))</f>
      </c>
      <c r="Z97" s="81" t="str">
        <f>IF(COUNTIF($A97:$S97,"&lt;&gt;")=0,"",IF(OR($D97="",$D97&lt;=0),"Trage einen Betrag größer als null ein.",IF($E97="","Wähle aus, wer bezahlt hat.",IF(COUNTIF($G97:$L97,"Ja")=0,"Wähle mindestens eine beteiligte Person aus.",IF($F97="Gleichmäßig unter Beteiligten","Geprüft",IF($F97="Vereinbarte Beträge",IF(OR(AND(G97="Ja",M97=""),AND(H97="Ja",N97=""),AND(I97="Ja",O97=""),AND(J97="Ja",P97=""),AND(K97="Ja",Q97=""),AND(L97="Ja",R97="")),"Trage die vereinbarten Beträge so ein, dass ihre Summe der Ausgabe entspricht.",IF(ABS(SUM($M97:$R97))&lt;0.005,"Trage die vereinbarten Beträge so ein, dass ihre Summe der Ausgabe entspricht.",IF(SUM($M97:$R97)&lt;$D97-0.005,"Bei der Aufteilung fehlen "&amp;ROUND($D97-SUM($M97:$R97),2)&amp;".",IF(SUM($M97:$R97)&gt;$D97+0.005,"Die Aufteilung übersteigt die Ausgabe um "&amp;ROUND(SUM($M97:$R97)-$D97,2)&amp;".","Geprüft")))),"Trage die vereinbarten Beträge so ein, dass ihre Summe der Ausgabe entspricht."))))))</f>
      </c>
    </row>
    <row r="98">
      <c r="A98" s="83"/>
      <c r="B98" s="57"/>
      <c r="C98" s="57"/>
      <c r="D98" s="85"/>
      <c r="E98" s="57"/>
      <c r="F98" s="57"/>
      <c r="G98" s="57"/>
      <c r="H98" s="57"/>
      <c r="I98" s="57"/>
      <c r="J98" s="57"/>
      <c r="K98" s="57"/>
      <c r="L98" s="57"/>
      <c r="M98" s="85"/>
      <c r="N98" s="85"/>
      <c r="O98" s="85"/>
      <c r="P98" s="85"/>
      <c r="Q98" s="85"/>
      <c r="R98" s="85"/>
      <c r="S98" s="57"/>
      <c r="T98" s="87" t="str">
        <f>IF(COUNTIF($A98:$S98,"&lt;&gt;")=0,"",IF($F98="Gleichmäßig unter Beteiligten",IF(G98&lt;&gt;"Ja",0,IF(COUNTIF($H98:$L98,"Ja")=0,$D98-0,ROUND($D98/COUNTIF($G98:$L98,"Ja"),2))),IF($F98="Vereinbarte Beträge",IF(G98="Ja",M98,0),"")))</f>
      </c>
      <c r="U98" s="87" t="str">
        <f>IF(COUNTIF($A98:$S98,"&lt;&gt;")=0,"",IF($F98="Gleichmäßig unter Beteiligten",IF(H98&lt;&gt;"Ja",0,IF(COUNTIF($I98:$L98,"Ja")=0,$D98-SUM($T98:T98),ROUND($D98/COUNTIF($G98:$L98,"Ja"),2))),IF($F98="Vereinbarte Beträge",IF(H98="Ja",N98,0),"")))</f>
      </c>
      <c r="V98" s="87" t="str">
        <f>IF(COUNTIF($A98:$S98,"&lt;&gt;")=0,"",IF($F98="Gleichmäßig unter Beteiligten",IF(I98&lt;&gt;"Ja",0,IF(COUNTIF($J98:$L98,"Ja")=0,$D98-SUM($T98:U98),ROUND($D98/COUNTIF($G98:$L98,"Ja"),2))),IF($F98="Vereinbarte Beträge",IF(I98="Ja",O98,0),"")))</f>
      </c>
      <c r="W98" s="87" t="str">
        <f>IF(COUNTIF($A98:$S98,"&lt;&gt;")=0,"",IF($F98="Gleichmäßig unter Beteiligten",IF(J98&lt;&gt;"Ja",0,IF(COUNTIF($K98:$L98,"Ja")=0,$D98-SUM($T98:V98),ROUND($D98/COUNTIF($G98:$L98,"Ja"),2))),IF($F98="Vereinbarte Beträge",IF(J98="Ja",P98,0),"")))</f>
      </c>
      <c r="X98" s="87" t="str">
        <f>IF(COUNTIF($A98:$S98,"&lt;&gt;")=0,"",IF($F98="Gleichmäßig unter Beteiligten",IF(K98&lt;&gt;"Ja",0,IF(COUNTIF($L98:$L98,"Ja")=0,$D98-SUM($T98:W98),ROUND($D98/COUNTIF($G98:$L98,"Ja"),2))),IF($F98="Vereinbarte Beträge",IF(K98="Ja",Q98,0),"")))</f>
      </c>
      <c r="Y98" s="87" t="str">
        <f>IF(COUNTIF($A98:$S98,"&lt;&gt;")=0,"",IF($F98="Gleichmäßig unter Beteiligten",IF(L98&lt;&gt;"Ja",0,IF(0=0,$D98-SUM($T98:X98),ROUND($D98/COUNTIF($G98:$L98,"Ja"),2))),IF($F98="Vereinbarte Beträge",IF(L98="Ja",R98,0),"")))</f>
      </c>
      <c r="Z98" s="81" t="str">
        <f>IF(COUNTIF($A98:$S98,"&lt;&gt;")=0,"",IF(OR($D98="",$D98&lt;=0),"Trage einen Betrag größer als null ein.",IF($E98="","Wähle aus, wer bezahlt hat.",IF(COUNTIF($G98:$L98,"Ja")=0,"Wähle mindestens eine beteiligte Person aus.",IF($F98="Gleichmäßig unter Beteiligten","Geprüft",IF($F98="Vereinbarte Beträge",IF(OR(AND(G98="Ja",M98=""),AND(H98="Ja",N98=""),AND(I98="Ja",O98=""),AND(J98="Ja",P98=""),AND(K98="Ja",Q98=""),AND(L98="Ja",R98="")),"Trage die vereinbarten Beträge so ein, dass ihre Summe der Ausgabe entspricht.",IF(ABS(SUM($M98:$R98))&lt;0.005,"Trage die vereinbarten Beträge so ein, dass ihre Summe der Ausgabe entspricht.",IF(SUM($M98:$R98)&lt;$D98-0.005,"Bei der Aufteilung fehlen "&amp;ROUND($D98-SUM($M98:$R98),2)&amp;".",IF(SUM($M98:$R98)&gt;$D98+0.005,"Die Aufteilung übersteigt die Ausgabe um "&amp;ROUND(SUM($M98:$R98)-$D98,2)&amp;".","Geprüft")))),"Trage die vereinbarten Beträge so ein, dass ihre Summe der Ausgabe entspricht."))))))</f>
      </c>
    </row>
    <row r="99">
      <c r="A99" s="83"/>
      <c r="B99" s="57"/>
      <c r="C99" s="57"/>
      <c r="D99" s="85"/>
      <c r="E99" s="57"/>
      <c r="F99" s="57"/>
      <c r="G99" s="57"/>
      <c r="H99" s="57"/>
      <c r="I99" s="57"/>
      <c r="J99" s="57"/>
      <c r="K99" s="57"/>
      <c r="L99" s="57"/>
      <c r="M99" s="85"/>
      <c r="N99" s="85"/>
      <c r="O99" s="85"/>
      <c r="P99" s="85"/>
      <c r="Q99" s="85"/>
      <c r="R99" s="85"/>
      <c r="S99" s="57"/>
      <c r="T99" s="87" t="str">
        <f>IF(COUNTIF($A99:$S99,"&lt;&gt;")=0,"",IF($F99="Gleichmäßig unter Beteiligten",IF(G99&lt;&gt;"Ja",0,IF(COUNTIF($H99:$L99,"Ja")=0,$D99-0,ROUND($D99/COUNTIF($G99:$L99,"Ja"),2))),IF($F99="Vereinbarte Beträge",IF(G99="Ja",M99,0),"")))</f>
      </c>
      <c r="U99" s="87" t="str">
        <f>IF(COUNTIF($A99:$S99,"&lt;&gt;")=0,"",IF($F99="Gleichmäßig unter Beteiligten",IF(H99&lt;&gt;"Ja",0,IF(COUNTIF($I99:$L99,"Ja")=0,$D99-SUM($T99:T99),ROUND($D99/COUNTIF($G99:$L99,"Ja"),2))),IF($F99="Vereinbarte Beträge",IF(H99="Ja",N99,0),"")))</f>
      </c>
      <c r="V99" s="87" t="str">
        <f>IF(COUNTIF($A99:$S99,"&lt;&gt;")=0,"",IF($F99="Gleichmäßig unter Beteiligten",IF(I99&lt;&gt;"Ja",0,IF(COUNTIF($J99:$L99,"Ja")=0,$D99-SUM($T99:U99),ROUND($D99/COUNTIF($G99:$L99,"Ja"),2))),IF($F99="Vereinbarte Beträge",IF(I99="Ja",O99,0),"")))</f>
      </c>
      <c r="W99" s="87" t="str">
        <f>IF(COUNTIF($A99:$S99,"&lt;&gt;")=0,"",IF($F99="Gleichmäßig unter Beteiligten",IF(J99&lt;&gt;"Ja",0,IF(COUNTIF($K99:$L99,"Ja")=0,$D99-SUM($T99:V99),ROUND($D99/COUNTIF($G99:$L99,"Ja"),2))),IF($F99="Vereinbarte Beträge",IF(J99="Ja",P99,0),"")))</f>
      </c>
      <c r="X99" s="87" t="str">
        <f>IF(COUNTIF($A99:$S99,"&lt;&gt;")=0,"",IF($F99="Gleichmäßig unter Beteiligten",IF(K99&lt;&gt;"Ja",0,IF(COUNTIF($L99:$L99,"Ja")=0,$D99-SUM($T99:W99),ROUND($D99/COUNTIF($G99:$L99,"Ja"),2))),IF($F99="Vereinbarte Beträge",IF(K99="Ja",Q99,0),"")))</f>
      </c>
      <c r="Y99" s="87" t="str">
        <f>IF(COUNTIF($A99:$S99,"&lt;&gt;")=0,"",IF($F99="Gleichmäßig unter Beteiligten",IF(L99&lt;&gt;"Ja",0,IF(0=0,$D99-SUM($T99:X99),ROUND($D99/COUNTIF($G99:$L99,"Ja"),2))),IF($F99="Vereinbarte Beträge",IF(L99="Ja",R99,0),"")))</f>
      </c>
      <c r="Z99" s="81" t="str">
        <f>IF(COUNTIF($A99:$S99,"&lt;&gt;")=0,"",IF(OR($D99="",$D99&lt;=0),"Trage einen Betrag größer als null ein.",IF($E99="","Wähle aus, wer bezahlt hat.",IF(COUNTIF($G99:$L99,"Ja")=0,"Wähle mindestens eine beteiligte Person aus.",IF($F99="Gleichmäßig unter Beteiligten","Geprüft",IF($F99="Vereinbarte Beträge",IF(OR(AND(G99="Ja",M99=""),AND(H99="Ja",N99=""),AND(I99="Ja",O99=""),AND(J99="Ja",P99=""),AND(K99="Ja",Q99=""),AND(L99="Ja",R99="")),"Trage die vereinbarten Beträge so ein, dass ihre Summe der Ausgabe entspricht.",IF(ABS(SUM($M99:$R99))&lt;0.005,"Trage die vereinbarten Beträge so ein, dass ihre Summe der Ausgabe entspricht.",IF(SUM($M99:$R99)&lt;$D99-0.005,"Bei der Aufteilung fehlen "&amp;ROUND($D99-SUM($M99:$R99),2)&amp;".",IF(SUM($M99:$R99)&gt;$D99+0.005,"Die Aufteilung übersteigt die Ausgabe um "&amp;ROUND(SUM($M99:$R99)-$D99,2)&amp;".","Geprüft")))),"Trage die vereinbarten Beträge so ein, dass ihre Summe der Ausgabe entspricht."))))))</f>
      </c>
    </row>
    <row r="100">
      <c r="A100" s="83"/>
      <c r="B100" s="57"/>
      <c r="C100" s="57"/>
      <c r="D100" s="85"/>
      <c r="E100" s="57"/>
      <c r="F100" s="57"/>
      <c r="G100" s="57"/>
      <c r="H100" s="57"/>
      <c r="I100" s="57"/>
      <c r="J100" s="57"/>
      <c r="K100" s="57"/>
      <c r="L100" s="57"/>
      <c r="M100" s="85"/>
      <c r="N100" s="85"/>
      <c r="O100" s="85"/>
      <c r="P100" s="85"/>
      <c r="Q100" s="85"/>
      <c r="R100" s="85"/>
      <c r="S100" s="57"/>
      <c r="T100" s="87" t="str">
        <f>IF(COUNTIF($A100:$S100,"&lt;&gt;")=0,"",IF($F100="Gleichmäßig unter Beteiligten",IF(G100&lt;&gt;"Ja",0,IF(COUNTIF($H100:$L100,"Ja")=0,$D100-0,ROUND($D100/COUNTIF($G100:$L100,"Ja"),2))),IF($F100="Vereinbarte Beträge",IF(G100="Ja",M100,0),"")))</f>
      </c>
      <c r="U100" s="87" t="str">
        <f>IF(COUNTIF($A100:$S100,"&lt;&gt;")=0,"",IF($F100="Gleichmäßig unter Beteiligten",IF(H100&lt;&gt;"Ja",0,IF(COUNTIF($I100:$L100,"Ja")=0,$D100-SUM($T100:T100),ROUND($D100/COUNTIF($G100:$L100,"Ja"),2))),IF($F100="Vereinbarte Beträge",IF(H100="Ja",N100,0),"")))</f>
      </c>
      <c r="V100" s="87" t="str">
        <f>IF(COUNTIF($A100:$S100,"&lt;&gt;")=0,"",IF($F100="Gleichmäßig unter Beteiligten",IF(I100&lt;&gt;"Ja",0,IF(COUNTIF($J100:$L100,"Ja")=0,$D100-SUM($T100:U100),ROUND($D100/COUNTIF($G100:$L100,"Ja"),2))),IF($F100="Vereinbarte Beträge",IF(I100="Ja",O100,0),"")))</f>
      </c>
      <c r="W100" s="87" t="str">
        <f>IF(COUNTIF($A100:$S100,"&lt;&gt;")=0,"",IF($F100="Gleichmäßig unter Beteiligten",IF(J100&lt;&gt;"Ja",0,IF(COUNTIF($K100:$L100,"Ja")=0,$D100-SUM($T100:V100),ROUND($D100/COUNTIF($G100:$L100,"Ja"),2))),IF($F100="Vereinbarte Beträge",IF(J100="Ja",P100,0),"")))</f>
      </c>
      <c r="X100" s="87" t="str">
        <f>IF(COUNTIF($A100:$S100,"&lt;&gt;")=0,"",IF($F100="Gleichmäßig unter Beteiligten",IF(K100&lt;&gt;"Ja",0,IF(COUNTIF($L100:$L100,"Ja")=0,$D100-SUM($T100:W100),ROUND($D100/COUNTIF($G100:$L100,"Ja"),2))),IF($F100="Vereinbarte Beträge",IF(K100="Ja",Q100,0),"")))</f>
      </c>
      <c r="Y100" s="87" t="str">
        <f>IF(COUNTIF($A100:$S100,"&lt;&gt;")=0,"",IF($F100="Gleichmäßig unter Beteiligten",IF(L100&lt;&gt;"Ja",0,IF(0=0,$D100-SUM($T100:X100),ROUND($D100/COUNTIF($G100:$L100,"Ja"),2))),IF($F100="Vereinbarte Beträge",IF(L100="Ja",R100,0),"")))</f>
      </c>
      <c r="Z100" s="81" t="str">
        <f>IF(COUNTIF($A100:$S100,"&lt;&gt;")=0,"",IF(OR($D100="",$D100&lt;=0),"Trage einen Betrag größer als null ein.",IF($E100="","Wähle aus, wer bezahlt hat.",IF(COUNTIF($G100:$L100,"Ja")=0,"Wähle mindestens eine beteiligte Person aus.",IF($F100="Gleichmäßig unter Beteiligten","Geprüft",IF($F100="Vereinbarte Beträge",IF(OR(AND(G100="Ja",M100=""),AND(H100="Ja",N100=""),AND(I100="Ja",O100=""),AND(J100="Ja",P100=""),AND(K100="Ja",Q100=""),AND(L100="Ja",R100="")),"Trage die vereinbarten Beträge so ein, dass ihre Summe der Ausgabe entspricht.",IF(ABS(SUM($M100:$R100))&lt;0.005,"Trage die vereinbarten Beträge so ein, dass ihre Summe der Ausgabe entspricht.",IF(SUM($M100:$R100)&lt;$D100-0.005,"Bei der Aufteilung fehlen "&amp;ROUND($D100-SUM($M100:$R100),2)&amp;".",IF(SUM($M100:$R100)&gt;$D100+0.005,"Die Aufteilung übersteigt die Ausgabe um "&amp;ROUND(SUM($M100:$R100)-$D100,2)&amp;".","Geprüft")))),"Trage die vereinbarten Beträge so ein, dass ihre Summe der Ausgabe entspricht."))))))</f>
      </c>
    </row>
    <row r="101">
      <c r="A101" s="83"/>
      <c r="B101" s="57"/>
      <c r="C101" s="57"/>
      <c r="D101" s="85"/>
      <c r="E101" s="57"/>
      <c r="F101" s="57"/>
      <c r="G101" s="57"/>
      <c r="H101" s="57"/>
      <c r="I101" s="57"/>
      <c r="J101" s="57"/>
      <c r="K101" s="57"/>
      <c r="L101" s="57"/>
      <c r="M101" s="85"/>
      <c r="N101" s="85"/>
      <c r="O101" s="85"/>
      <c r="P101" s="85"/>
      <c r="Q101" s="85"/>
      <c r="R101" s="85"/>
      <c r="S101" s="57"/>
      <c r="T101" s="87" t="str">
        <f>IF(COUNTIF($A101:$S101,"&lt;&gt;")=0,"",IF($F101="Gleichmäßig unter Beteiligten",IF(G101&lt;&gt;"Ja",0,IF(COUNTIF($H101:$L101,"Ja")=0,$D101-0,ROUND($D101/COUNTIF($G101:$L101,"Ja"),2))),IF($F101="Vereinbarte Beträge",IF(G101="Ja",M101,0),"")))</f>
      </c>
      <c r="U101" s="87" t="str">
        <f>IF(COUNTIF($A101:$S101,"&lt;&gt;")=0,"",IF($F101="Gleichmäßig unter Beteiligten",IF(H101&lt;&gt;"Ja",0,IF(COUNTIF($I101:$L101,"Ja")=0,$D101-SUM($T101:T101),ROUND($D101/COUNTIF($G101:$L101,"Ja"),2))),IF($F101="Vereinbarte Beträge",IF(H101="Ja",N101,0),"")))</f>
      </c>
      <c r="V101" s="87" t="str">
        <f>IF(COUNTIF($A101:$S101,"&lt;&gt;")=0,"",IF($F101="Gleichmäßig unter Beteiligten",IF(I101&lt;&gt;"Ja",0,IF(COUNTIF($J101:$L101,"Ja")=0,$D101-SUM($T101:U101),ROUND($D101/COUNTIF($G101:$L101,"Ja"),2))),IF($F101="Vereinbarte Beträge",IF(I101="Ja",O101,0),"")))</f>
      </c>
      <c r="W101" s="87" t="str">
        <f>IF(COUNTIF($A101:$S101,"&lt;&gt;")=0,"",IF($F101="Gleichmäßig unter Beteiligten",IF(J101&lt;&gt;"Ja",0,IF(COUNTIF($K101:$L101,"Ja")=0,$D101-SUM($T101:V101),ROUND($D101/COUNTIF($G101:$L101,"Ja"),2))),IF($F101="Vereinbarte Beträge",IF(J101="Ja",P101,0),"")))</f>
      </c>
      <c r="X101" s="87" t="str">
        <f>IF(COUNTIF($A101:$S101,"&lt;&gt;")=0,"",IF($F101="Gleichmäßig unter Beteiligten",IF(K101&lt;&gt;"Ja",0,IF(COUNTIF($L101:$L101,"Ja")=0,$D101-SUM($T101:W101),ROUND($D101/COUNTIF($G101:$L101,"Ja"),2))),IF($F101="Vereinbarte Beträge",IF(K101="Ja",Q101,0),"")))</f>
      </c>
      <c r="Y101" s="87" t="str">
        <f>IF(COUNTIF($A101:$S101,"&lt;&gt;")=0,"",IF($F101="Gleichmäßig unter Beteiligten",IF(L101&lt;&gt;"Ja",0,IF(0=0,$D101-SUM($T101:X101),ROUND($D101/COUNTIF($G101:$L101,"Ja"),2))),IF($F101="Vereinbarte Beträge",IF(L101="Ja",R101,0),"")))</f>
      </c>
      <c r="Z101" s="81" t="str">
        <f>IF(COUNTIF($A101:$S101,"&lt;&gt;")=0,"",IF(OR($D101="",$D101&lt;=0),"Trage einen Betrag größer als null ein.",IF($E101="","Wähle aus, wer bezahlt hat.",IF(COUNTIF($G101:$L101,"Ja")=0,"Wähle mindestens eine beteiligte Person aus.",IF($F101="Gleichmäßig unter Beteiligten","Geprüft",IF($F101="Vereinbarte Beträge",IF(OR(AND(G101="Ja",M101=""),AND(H101="Ja",N101=""),AND(I101="Ja",O101=""),AND(J101="Ja",P101=""),AND(K101="Ja",Q101=""),AND(L101="Ja",R101="")),"Trage die vereinbarten Beträge so ein, dass ihre Summe der Ausgabe entspricht.",IF(ABS(SUM($M101:$R101))&lt;0.005,"Trage die vereinbarten Beträge so ein, dass ihre Summe der Ausgabe entspricht.",IF(SUM($M101:$R101)&lt;$D101-0.005,"Bei der Aufteilung fehlen "&amp;ROUND($D101-SUM($M101:$R101),2)&amp;".",IF(SUM($M101:$R101)&gt;$D101+0.005,"Die Aufteilung übersteigt die Ausgabe um "&amp;ROUND(SUM($M101:$R101)-$D101,2)&amp;".","Geprüft")))),"Trage die vereinbarten Beträge so ein, dass ihre Summe der Ausgabe entspricht."))))))</f>
      </c>
    </row>
    <row r="102">
      <c r="A102" s="83"/>
      <c r="B102" s="57"/>
      <c r="C102" s="57"/>
      <c r="D102" s="85"/>
      <c r="E102" s="57"/>
      <c r="F102" s="57"/>
      <c r="G102" s="57"/>
      <c r="H102" s="57"/>
      <c r="I102" s="57"/>
      <c r="J102" s="57"/>
      <c r="K102" s="57"/>
      <c r="L102" s="57"/>
      <c r="M102" s="85"/>
      <c r="N102" s="85"/>
      <c r="O102" s="85"/>
      <c r="P102" s="85"/>
      <c r="Q102" s="85"/>
      <c r="R102" s="85"/>
      <c r="S102" s="57"/>
      <c r="T102" s="87" t="str">
        <f>IF(COUNTIF($A102:$S102,"&lt;&gt;")=0,"",IF($F102="Gleichmäßig unter Beteiligten",IF(G102&lt;&gt;"Ja",0,IF(COUNTIF($H102:$L102,"Ja")=0,$D102-0,ROUND($D102/COUNTIF($G102:$L102,"Ja"),2))),IF($F102="Vereinbarte Beträge",IF(G102="Ja",M102,0),"")))</f>
      </c>
      <c r="U102" s="87" t="str">
        <f>IF(COUNTIF($A102:$S102,"&lt;&gt;")=0,"",IF($F102="Gleichmäßig unter Beteiligten",IF(H102&lt;&gt;"Ja",0,IF(COUNTIF($I102:$L102,"Ja")=0,$D102-SUM($T102:T102),ROUND($D102/COUNTIF($G102:$L102,"Ja"),2))),IF($F102="Vereinbarte Beträge",IF(H102="Ja",N102,0),"")))</f>
      </c>
      <c r="V102" s="87" t="str">
        <f>IF(COUNTIF($A102:$S102,"&lt;&gt;")=0,"",IF($F102="Gleichmäßig unter Beteiligten",IF(I102&lt;&gt;"Ja",0,IF(COUNTIF($J102:$L102,"Ja")=0,$D102-SUM($T102:U102),ROUND($D102/COUNTIF($G102:$L102,"Ja"),2))),IF($F102="Vereinbarte Beträge",IF(I102="Ja",O102,0),"")))</f>
      </c>
      <c r="W102" s="87" t="str">
        <f>IF(COUNTIF($A102:$S102,"&lt;&gt;")=0,"",IF($F102="Gleichmäßig unter Beteiligten",IF(J102&lt;&gt;"Ja",0,IF(COUNTIF($K102:$L102,"Ja")=0,$D102-SUM($T102:V102),ROUND($D102/COUNTIF($G102:$L102,"Ja"),2))),IF($F102="Vereinbarte Beträge",IF(J102="Ja",P102,0),"")))</f>
      </c>
      <c r="X102" s="87" t="str">
        <f>IF(COUNTIF($A102:$S102,"&lt;&gt;")=0,"",IF($F102="Gleichmäßig unter Beteiligten",IF(K102&lt;&gt;"Ja",0,IF(COUNTIF($L102:$L102,"Ja")=0,$D102-SUM($T102:W102),ROUND($D102/COUNTIF($G102:$L102,"Ja"),2))),IF($F102="Vereinbarte Beträge",IF(K102="Ja",Q102,0),"")))</f>
      </c>
      <c r="Y102" s="87" t="str">
        <f>IF(COUNTIF($A102:$S102,"&lt;&gt;")=0,"",IF($F102="Gleichmäßig unter Beteiligten",IF(L102&lt;&gt;"Ja",0,IF(0=0,$D102-SUM($T102:X102),ROUND($D102/COUNTIF($G102:$L102,"Ja"),2))),IF($F102="Vereinbarte Beträge",IF(L102="Ja",R102,0),"")))</f>
      </c>
      <c r="Z102" s="81" t="str">
        <f>IF(COUNTIF($A102:$S102,"&lt;&gt;")=0,"",IF(OR($D102="",$D102&lt;=0),"Trage einen Betrag größer als null ein.",IF($E102="","Wähle aus, wer bezahlt hat.",IF(COUNTIF($G102:$L102,"Ja")=0,"Wähle mindestens eine beteiligte Person aus.",IF($F102="Gleichmäßig unter Beteiligten","Geprüft",IF($F102="Vereinbarte Beträge",IF(OR(AND(G102="Ja",M102=""),AND(H102="Ja",N102=""),AND(I102="Ja",O102=""),AND(J102="Ja",P102=""),AND(K102="Ja",Q102=""),AND(L102="Ja",R102="")),"Trage die vereinbarten Beträge so ein, dass ihre Summe der Ausgabe entspricht.",IF(ABS(SUM($M102:$R102))&lt;0.005,"Trage die vereinbarten Beträge so ein, dass ihre Summe der Ausgabe entspricht.",IF(SUM($M102:$R102)&lt;$D102-0.005,"Bei der Aufteilung fehlen "&amp;ROUND($D102-SUM($M102:$R102),2)&amp;".",IF(SUM($M102:$R102)&gt;$D102+0.005,"Die Aufteilung übersteigt die Ausgabe um "&amp;ROUND(SUM($M102:$R102)-$D102,2)&amp;".","Geprüft")))),"Trage die vereinbarten Beträge so ein, dass ihre Summe der Ausgabe entspricht."))))))</f>
      </c>
    </row>
    <row r="103">
      <c r="A103" s="83"/>
      <c r="B103" s="57"/>
      <c r="C103" s="57"/>
      <c r="D103" s="85"/>
      <c r="E103" s="57"/>
      <c r="F103" s="57"/>
      <c r="G103" s="57"/>
      <c r="H103" s="57"/>
      <c r="I103" s="57"/>
      <c r="J103" s="57"/>
      <c r="K103" s="57"/>
      <c r="L103" s="57"/>
      <c r="M103" s="85"/>
      <c r="N103" s="85"/>
      <c r="O103" s="85"/>
      <c r="P103" s="85"/>
      <c r="Q103" s="85"/>
      <c r="R103" s="85"/>
      <c r="S103" s="57"/>
      <c r="T103" s="87" t="str">
        <f>IF(COUNTIF($A103:$S103,"&lt;&gt;")=0,"",IF($F103="Gleichmäßig unter Beteiligten",IF(G103&lt;&gt;"Ja",0,IF(COUNTIF($H103:$L103,"Ja")=0,$D103-0,ROUND($D103/COUNTIF($G103:$L103,"Ja"),2))),IF($F103="Vereinbarte Beträge",IF(G103="Ja",M103,0),"")))</f>
      </c>
      <c r="U103" s="87" t="str">
        <f>IF(COUNTIF($A103:$S103,"&lt;&gt;")=0,"",IF($F103="Gleichmäßig unter Beteiligten",IF(H103&lt;&gt;"Ja",0,IF(COUNTIF($I103:$L103,"Ja")=0,$D103-SUM($T103:T103),ROUND($D103/COUNTIF($G103:$L103,"Ja"),2))),IF($F103="Vereinbarte Beträge",IF(H103="Ja",N103,0),"")))</f>
      </c>
      <c r="V103" s="87" t="str">
        <f>IF(COUNTIF($A103:$S103,"&lt;&gt;")=0,"",IF($F103="Gleichmäßig unter Beteiligten",IF(I103&lt;&gt;"Ja",0,IF(COUNTIF($J103:$L103,"Ja")=0,$D103-SUM($T103:U103),ROUND($D103/COUNTIF($G103:$L103,"Ja"),2))),IF($F103="Vereinbarte Beträge",IF(I103="Ja",O103,0),"")))</f>
      </c>
      <c r="W103" s="87" t="str">
        <f>IF(COUNTIF($A103:$S103,"&lt;&gt;")=0,"",IF($F103="Gleichmäßig unter Beteiligten",IF(J103&lt;&gt;"Ja",0,IF(COUNTIF($K103:$L103,"Ja")=0,$D103-SUM($T103:V103),ROUND($D103/COUNTIF($G103:$L103,"Ja"),2))),IF($F103="Vereinbarte Beträge",IF(J103="Ja",P103,0),"")))</f>
      </c>
      <c r="X103" s="87" t="str">
        <f>IF(COUNTIF($A103:$S103,"&lt;&gt;")=0,"",IF($F103="Gleichmäßig unter Beteiligten",IF(K103&lt;&gt;"Ja",0,IF(COUNTIF($L103:$L103,"Ja")=0,$D103-SUM($T103:W103),ROUND($D103/COUNTIF($G103:$L103,"Ja"),2))),IF($F103="Vereinbarte Beträge",IF(K103="Ja",Q103,0),"")))</f>
      </c>
      <c r="Y103" s="87" t="str">
        <f>IF(COUNTIF($A103:$S103,"&lt;&gt;")=0,"",IF($F103="Gleichmäßig unter Beteiligten",IF(L103&lt;&gt;"Ja",0,IF(0=0,$D103-SUM($T103:X103),ROUND($D103/COUNTIF($G103:$L103,"Ja"),2))),IF($F103="Vereinbarte Beträge",IF(L103="Ja",R103,0),"")))</f>
      </c>
      <c r="Z103" s="81" t="str">
        <f>IF(COUNTIF($A103:$S103,"&lt;&gt;")=0,"",IF(OR($D103="",$D103&lt;=0),"Trage einen Betrag größer als null ein.",IF($E103="","Wähle aus, wer bezahlt hat.",IF(COUNTIF($G103:$L103,"Ja")=0,"Wähle mindestens eine beteiligte Person aus.",IF($F103="Gleichmäßig unter Beteiligten","Geprüft",IF($F103="Vereinbarte Beträge",IF(OR(AND(G103="Ja",M103=""),AND(H103="Ja",N103=""),AND(I103="Ja",O103=""),AND(J103="Ja",P103=""),AND(K103="Ja",Q103=""),AND(L103="Ja",R103="")),"Trage die vereinbarten Beträge so ein, dass ihre Summe der Ausgabe entspricht.",IF(ABS(SUM($M103:$R103))&lt;0.005,"Trage die vereinbarten Beträge so ein, dass ihre Summe der Ausgabe entspricht.",IF(SUM($M103:$R103)&lt;$D103-0.005,"Bei der Aufteilung fehlen "&amp;ROUND($D103-SUM($M103:$R103),2)&amp;".",IF(SUM($M103:$R103)&gt;$D103+0.005,"Die Aufteilung übersteigt die Ausgabe um "&amp;ROUND(SUM($M103:$R103)-$D103,2)&amp;".","Geprüft")))),"Trage die vereinbarten Beträge so ein, dass ihre Summe der Ausgabe entspricht."))))))</f>
      </c>
    </row>
    <row r="104">
      <c r="A104" s="83"/>
      <c r="B104" s="57"/>
      <c r="C104" s="57"/>
      <c r="D104" s="85"/>
      <c r="E104" s="57"/>
      <c r="F104" s="57"/>
      <c r="G104" s="57"/>
      <c r="H104" s="57"/>
      <c r="I104" s="57"/>
      <c r="J104" s="57"/>
      <c r="K104" s="57"/>
      <c r="L104" s="57"/>
      <c r="M104" s="85"/>
      <c r="N104" s="85"/>
      <c r="O104" s="85"/>
      <c r="P104" s="85"/>
      <c r="Q104" s="85"/>
      <c r="R104" s="85"/>
      <c r="S104" s="57"/>
      <c r="T104" s="87" t="str">
        <f>IF(COUNTIF($A104:$S104,"&lt;&gt;")=0,"",IF($F104="Gleichmäßig unter Beteiligten",IF(G104&lt;&gt;"Ja",0,IF(COUNTIF($H104:$L104,"Ja")=0,$D104-0,ROUND($D104/COUNTIF($G104:$L104,"Ja"),2))),IF($F104="Vereinbarte Beträge",IF(G104="Ja",M104,0),"")))</f>
      </c>
      <c r="U104" s="87" t="str">
        <f>IF(COUNTIF($A104:$S104,"&lt;&gt;")=0,"",IF($F104="Gleichmäßig unter Beteiligten",IF(H104&lt;&gt;"Ja",0,IF(COUNTIF($I104:$L104,"Ja")=0,$D104-SUM($T104:T104),ROUND($D104/COUNTIF($G104:$L104,"Ja"),2))),IF($F104="Vereinbarte Beträge",IF(H104="Ja",N104,0),"")))</f>
      </c>
      <c r="V104" s="87" t="str">
        <f>IF(COUNTIF($A104:$S104,"&lt;&gt;")=0,"",IF($F104="Gleichmäßig unter Beteiligten",IF(I104&lt;&gt;"Ja",0,IF(COUNTIF($J104:$L104,"Ja")=0,$D104-SUM($T104:U104),ROUND($D104/COUNTIF($G104:$L104,"Ja"),2))),IF($F104="Vereinbarte Beträge",IF(I104="Ja",O104,0),"")))</f>
      </c>
      <c r="W104" s="87" t="str">
        <f>IF(COUNTIF($A104:$S104,"&lt;&gt;")=0,"",IF($F104="Gleichmäßig unter Beteiligten",IF(J104&lt;&gt;"Ja",0,IF(COUNTIF($K104:$L104,"Ja")=0,$D104-SUM($T104:V104),ROUND($D104/COUNTIF($G104:$L104,"Ja"),2))),IF($F104="Vereinbarte Beträge",IF(J104="Ja",P104,0),"")))</f>
      </c>
      <c r="X104" s="87" t="str">
        <f>IF(COUNTIF($A104:$S104,"&lt;&gt;")=0,"",IF($F104="Gleichmäßig unter Beteiligten",IF(K104&lt;&gt;"Ja",0,IF(COUNTIF($L104:$L104,"Ja")=0,$D104-SUM($T104:W104),ROUND($D104/COUNTIF($G104:$L104,"Ja"),2))),IF($F104="Vereinbarte Beträge",IF(K104="Ja",Q104,0),"")))</f>
      </c>
      <c r="Y104" s="87" t="str">
        <f>IF(COUNTIF($A104:$S104,"&lt;&gt;")=0,"",IF($F104="Gleichmäßig unter Beteiligten",IF(L104&lt;&gt;"Ja",0,IF(0=0,$D104-SUM($T104:X104),ROUND($D104/COUNTIF($G104:$L104,"Ja"),2))),IF($F104="Vereinbarte Beträge",IF(L104="Ja",R104,0),"")))</f>
      </c>
      <c r="Z104" s="81" t="str">
        <f>IF(COUNTIF($A104:$S104,"&lt;&gt;")=0,"",IF(OR($D104="",$D104&lt;=0),"Trage einen Betrag größer als null ein.",IF($E104="","Wähle aus, wer bezahlt hat.",IF(COUNTIF($G104:$L104,"Ja")=0,"Wähle mindestens eine beteiligte Person aus.",IF($F104="Gleichmäßig unter Beteiligten","Geprüft",IF($F104="Vereinbarte Beträge",IF(OR(AND(G104="Ja",M104=""),AND(H104="Ja",N104=""),AND(I104="Ja",O104=""),AND(J104="Ja",P104=""),AND(K104="Ja",Q104=""),AND(L104="Ja",R104="")),"Trage die vereinbarten Beträge so ein, dass ihre Summe der Ausgabe entspricht.",IF(ABS(SUM($M104:$R104))&lt;0.005,"Trage die vereinbarten Beträge so ein, dass ihre Summe der Ausgabe entspricht.",IF(SUM($M104:$R104)&lt;$D104-0.005,"Bei der Aufteilung fehlen "&amp;ROUND($D104-SUM($M104:$R104),2)&amp;".",IF(SUM($M104:$R104)&gt;$D104+0.005,"Die Aufteilung übersteigt die Ausgabe um "&amp;ROUND(SUM($M104:$R104)-$D104,2)&amp;".","Geprüft")))),"Trage die vereinbarten Beträge so ein, dass ihre Summe der Ausgabe entspricht."))))))</f>
      </c>
    </row>
    <row r="105">
      <c r="A105" s="83"/>
      <c r="B105" s="57"/>
      <c r="C105" s="57"/>
      <c r="D105" s="85"/>
      <c r="E105" s="57"/>
      <c r="F105" s="57"/>
      <c r="G105" s="57"/>
      <c r="H105" s="57"/>
      <c r="I105" s="57"/>
      <c r="J105" s="57"/>
      <c r="K105" s="57"/>
      <c r="L105" s="57"/>
      <c r="M105" s="85"/>
      <c r="N105" s="85"/>
      <c r="O105" s="85"/>
      <c r="P105" s="85"/>
      <c r="Q105" s="85"/>
      <c r="R105" s="85"/>
      <c r="S105" s="57"/>
      <c r="T105" s="87" t="str">
        <f>IF(COUNTIF($A105:$S105,"&lt;&gt;")=0,"",IF($F105="Gleichmäßig unter Beteiligten",IF(G105&lt;&gt;"Ja",0,IF(COUNTIF($H105:$L105,"Ja")=0,$D105-0,ROUND($D105/COUNTIF($G105:$L105,"Ja"),2))),IF($F105="Vereinbarte Beträge",IF(G105="Ja",M105,0),"")))</f>
      </c>
      <c r="U105" s="87" t="str">
        <f>IF(COUNTIF($A105:$S105,"&lt;&gt;")=0,"",IF($F105="Gleichmäßig unter Beteiligten",IF(H105&lt;&gt;"Ja",0,IF(COUNTIF($I105:$L105,"Ja")=0,$D105-SUM($T105:T105),ROUND($D105/COUNTIF($G105:$L105,"Ja"),2))),IF($F105="Vereinbarte Beträge",IF(H105="Ja",N105,0),"")))</f>
      </c>
      <c r="V105" s="87" t="str">
        <f>IF(COUNTIF($A105:$S105,"&lt;&gt;")=0,"",IF($F105="Gleichmäßig unter Beteiligten",IF(I105&lt;&gt;"Ja",0,IF(COUNTIF($J105:$L105,"Ja")=0,$D105-SUM($T105:U105),ROUND($D105/COUNTIF($G105:$L105,"Ja"),2))),IF($F105="Vereinbarte Beträge",IF(I105="Ja",O105,0),"")))</f>
      </c>
      <c r="W105" s="87" t="str">
        <f>IF(COUNTIF($A105:$S105,"&lt;&gt;")=0,"",IF($F105="Gleichmäßig unter Beteiligten",IF(J105&lt;&gt;"Ja",0,IF(COUNTIF($K105:$L105,"Ja")=0,$D105-SUM($T105:V105),ROUND($D105/COUNTIF($G105:$L105,"Ja"),2))),IF($F105="Vereinbarte Beträge",IF(J105="Ja",P105,0),"")))</f>
      </c>
      <c r="X105" s="87" t="str">
        <f>IF(COUNTIF($A105:$S105,"&lt;&gt;")=0,"",IF($F105="Gleichmäßig unter Beteiligten",IF(K105&lt;&gt;"Ja",0,IF(COUNTIF($L105:$L105,"Ja")=0,$D105-SUM($T105:W105),ROUND($D105/COUNTIF($G105:$L105,"Ja"),2))),IF($F105="Vereinbarte Beträge",IF(K105="Ja",Q105,0),"")))</f>
      </c>
      <c r="Y105" s="87" t="str">
        <f>IF(COUNTIF($A105:$S105,"&lt;&gt;")=0,"",IF($F105="Gleichmäßig unter Beteiligten",IF(L105&lt;&gt;"Ja",0,IF(0=0,$D105-SUM($T105:X105),ROUND($D105/COUNTIF($G105:$L105,"Ja"),2))),IF($F105="Vereinbarte Beträge",IF(L105="Ja",R105,0),"")))</f>
      </c>
      <c r="Z105" s="81" t="str">
        <f>IF(COUNTIF($A105:$S105,"&lt;&gt;")=0,"",IF(OR($D105="",$D105&lt;=0),"Trage einen Betrag größer als null ein.",IF($E105="","Wähle aus, wer bezahlt hat.",IF(COUNTIF($G105:$L105,"Ja")=0,"Wähle mindestens eine beteiligte Person aus.",IF($F105="Gleichmäßig unter Beteiligten","Geprüft",IF($F105="Vereinbarte Beträge",IF(OR(AND(G105="Ja",M105=""),AND(H105="Ja",N105=""),AND(I105="Ja",O105=""),AND(J105="Ja",P105=""),AND(K105="Ja",Q105=""),AND(L105="Ja",R105="")),"Trage die vereinbarten Beträge so ein, dass ihre Summe der Ausgabe entspricht.",IF(ABS(SUM($M105:$R105))&lt;0.005,"Trage die vereinbarten Beträge so ein, dass ihre Summe der Ausgabe entspricht.",IF(SUM($M105:$R105)&lt;$D105-0.005,"Bei der Aufteilung fehlen "&amp;ROUND($D105-SUM($M105:$R105),2)&amp;".",IF(SUM($M105:$R105)&gt;$D105+0.005,"Die Aufteilung übersteigt die Ausgabe um "&amp;ROUND(SUM($M105:$R105)-$D105,2)&amp;".","Geprüft")))),"Trage die vereinbarten Beträge so ein, dass ihre Summe der Ausgabe entspricht."))))))</f>
      </c>
    </row>
    <row r="106">
      <c r="A106" s="83"/>
      <c r="B106" s="57"/>
      <c r="C106" s="57"/>
      <c r="D106" s="85"/>
      <c r="E106" s="57"/>
      <c r="F106" s="57"/>
      <c r="G106" s="57"/>
      <c r="H106" s="57"/>
      <c r="I106" s="57"/>
      <c r="J106" s="57"/>
      <c r="K106" s="57"/>
      <c r="L106" s="57"/>
      <c r="M106" s="85"/>
      <c r="N106" s="85"/>
      <c r="O106" s="85"/>
      <c r="P106" s="85"/>
      <c r="Q106" s="85"/>
      <c r="R106" s="85"/>
      <c r="S106" s="57"/>
      <c r="T106" s="87" t="str">
        <f>IF(COUNTIF($A106:$S106,"&lt;&gt;")=0,"",IF($F106="Gleichmäßig unter Beteiligten",IF(G106&lt;&gt;"Ja",0,IF(COUNTIF($H106:$L106,"Ja")=0,$D106-0,ROUND($D106/COUNTIF($G106:$L106,"Ja"),2))),IF($F106="Vereinbarte Beträge",IF(G106="Ja",M106,0),"")))</f>
      </c>
      <c r="U106" s="87" t="str">
        <f>IF(COUNTIF($A106:$S106,"&lt;&gt;")=0,"",IF($F106="Gleichmäßig unter Beteiligten",IF(H106&lt;&gt;"Ja",0,IF(COUNTIF($I106:$L106,"Ja")=0,$D106-SUM($T106:T106),ROUND($D106/COUNTIF($G106:$L106,"Ja"),2))),IF($F106="Vereinbarte Beträge",IF(H106="Ja",N106,0),"")))</f>
      </c>
      <c r="V106" s="87" t="str">
        <f>IF(COUNTIF($A106:$S106,"&lt;&gt;")=0,"",IF($F106="Gleichmäßig unter Beteiligten",IF(I106&lt;&gt;"Ja",0,IF(COUNTIF($J106:$L106,"Ja")=0,$D106-SUM($T106:U106),ROUND($D106/COUNTIF($G106:$L106,"Ja"),2))),IF($F106="Vereinbarte Beträge",IF(I106="Ja",O106,0),"")))</f>
      </c>
      <c r="W106" s="87" t="str">
        <f>IF(COUNTIF($A106:$S106,"&lt;&gt;")=0,"",IF($F106="Gleichmäßig unter Beteiligten",IF(J106&lt;&gt;"Ja",0,IF(COUNTIF($K106:$L106,"Ja")=0,$D106-SUM($T106:V106),ROUND($D106/COUNTIF($G106:$L106,"Ja"),2))),IF($F106="Vereinbarte Beträge",IF(J106="Ja",P106,0),"")))</f>
      </c>
      <c r="X106" s="87" t="str">
        <f>IF(COUNTIF($A106:$S106,"&lt;&gt;")=0,"",IF($F106="Gleichmäßig unter Beteiligten",IF(K106&lt;&gt;"Ja",0,IF(COUNTIF($L106:$L106,"Ja")=0,$D106-SUM($T106:W106),ROUND($D106/COUNTIF($G106:$L106,"Ja"),2))),IF($F106="Vereinbarte Beträge",IF(K106="Ja",Q106,0),"")))</f>
      </c>
      <c r="Y106" s="87" t="str">
        <f>IF(COUNTIF($A106:$S106,"&lt;&gt;")=0,"",IF($F106="Gleichmäßig unter Beteiligten",IF(L106&lt;&gt;"Ja",0,IF(0=0,$D106-SUM($T106:X106),ROUND($D106/COUNTIF($G106:$L106,"Ja"),2))),IF($F106="Vereinbarte Beträge",IF(L106="Ja",R106,0),"")))</f>
      </c>
      <c r="Z106" s="81" t="str">
        <f>IF(COUNTIF($A106:$S106,"&lt;&gt;")=0,"",IF(OR($D106="",$D106&lt;=0),"Trage einen Betrag größer als null ein.",IF($E106="","Wähle aus, wer bezahlt hat.",IF(COUNTIF($G106:$L106,"Ja")=0,"Wähle mindestens eine beteiligte Person aus.",IF($F106="Gleichmäßig unter Beteiligten","Geprüft",IF($F106="Vereinbarte Beträge",IF(OR(AND(G106="Ja",M106=""),AND(H106="Ja",N106=""),AND(I106="Ja",O106=""),AND(J106="Ja",P106=""),AND(K106="Ja",Q106=""),AND(L106="Ja",R106="")),"Trage die vereinbarten Beträge so ein, dass ihre Summe der Ausgabe entspricht.",IF(ABS(SUM($M106:$R106))&lt;0.005,"Trage die vereinbarten Beträge so ein, dass ihre Summe der Ausgabe entspricht.",IF(SUM($M106:$R106)&lt;$D106-0.005,"Bei der Aufteilung fehlen "&amp;ROUND($D106-SUM($M106:$R106),2)&amp;".",IF(SUM($M106:$R106)&gt;$D106+0.005,"Die Aufteilung übersteigt die Ausgabe um "&amp;ROUND(SUM($M106:$R106)-$D106,2)&amp;".","Geprüft")))),"Trage die vereinbarten Beträge so ein, dass ihre Summe der Ausgabe entspricht."))))))</f>
      </c>
    </row>
    <row r="107">
      <c r="A107" s="83"/>
      <c r="B107" s="57"/>
      <c r="C107" s="57"/>
      <c r="D107" s="85"/>
      <c r="E107" s="57"/>
      <c r="F107" s="57"/>
      <c r="G107" s="57"/>
      <c r="H107" s="57"/>
      <c r="I107" s="57"/>
      <c r="J107" s="57"/>
      <c r="K107" s="57"/>
      <c r="L107" s="57"/>
      <c r="M107" s="85"/>
      <c r="N107" s="85"/>
      <c r="O107" s="85"/>
      <c r="P107" s="85"/>
      <c r="Q107" s="85"/>
      <c r="R107" s="85"/>
      <c r="S107" s="57"/>
      <c r="T107" s="87" t="str">
        <f>IF(COUNTIF($A107:$S107,"&lt;&gt;")=0,"",IF($F107="Gleichmäßig unter Beteiligten",IF(G107&lt;&gt;"Ja",0,IF(COUNTIF($H107:$L107,"Ja")=0,$D107-0,ROUND($D107/COUNTIF($G107:$L107,"Ja"),2))),IF($F107="Vereinbarte Beträge",IF(G107="Ja",M107,0),"")))</f>
      </c>
      <c r="U107" s="87" t="str">
        <f>IF(COUNTIF($A107:$S107,"&lt;&gt;")=0,"",IF($F107="Gleichmäßig unter Beteiligten",IF(H107&lt;&gt;"Ja",0,IF(COUNTIF($I107:$L107,"Ja")=0,$D107-SUM($T107:T107),ROUND($D107/COUNTIF($G107:$L107,"Ja"),2))),IF($F107="Vereinbarte Beträge",IF(H107="Ja",N107,0),"")))</f>
      </c>
      <c r="V107" s="87" t="str">
        <f>IF(COUNTIF($A107:$S107,"&lt;&gt;")=0,"",IF($F107="Gleichmäßig unter Beteiligten",IF(I107&lt;&gt;"Ja",0,IF(COUNTIF($J107:$L107,"Ja")=0,$D107-SUM($T107:U107),ROUND($D107/COUNTIF($G107:$L107,"Ja"),2))),IF($F107="Vereinbarte Beträge",IF(I107="Ja",O107,0),"")))</f>
      </c>
      <c r="W107" s="87" t="str">
        <f>IF(COUNTIF($A107:$S107,"&lt;&gt;")=0,"",IF($F107="Gleichmäßig unter Beteiligten",IF(J107&lt;&gt;"Ja",0,IF(COUNTIF($K107:$L107,"Ja")=0,$D107-SUM($T107:V107),ROUND($D107/COUNTIF($G107:$L107,"Ja"),2))),IF($F107="Vereinbarte Beträge",IF(J107="Ja",P107,0),"")))</f>
      </c>
      <c r="X107" s="87" t="str">
        <f>IF(COUNTIF($A107:$S107,"&lt;&gt;")=0,"",IF($F107="Gleichmäßig unter Beteiligten",IF(K107&lt;&gt;"Ja",0,IF(COUNTIF($L107:$L107,"Ja")=0,$D107-SUM($T107:W107),ROUND($D107/COUNTIF($G107:$L107,"Ja"),2))),IF($F107="Vereinbarte Beträge",IF(K107="Ja",Q107,0),"")))</f>
      </c>
      <c r="Y107" s="87" t="str">
        <f>IF(COUNTIF($A107:$S107,"&lt;&gt;")=0,"",IF($F107="Gleichmäßig unter Beteiligten",IF(L107&lt;&gt;"Ja",0,IF(0=0,$D107-SUM($T107:X107),ROUND($D107/COUNTIF($G107:$L107,"Ja"),2))),IF($F107="Vereinbarte Beträge",IF(L107="Ja",R107,0),"")))</f>
      </c>
      <c r="Z107" s="81" t="str">
        <f>IF(COUNTIF($A107:$S107,"&lt;&gt;")=0,"",IF(OR($D107="",$D107&lt;=0),"Trage einen Betrag größer als null ein.",IF($E107="","Wähle aus, wer bezahlt hat.",IF(COUNTIF($G107:$L107,"Ja")=0,"Wähle mindestens eine beteiligte Person aus.",IF($F107="Gleichmäßig unter Beteiligten","Geprüft",IF($F107="Vereinbarte Beträge",IF(OR(AND(G107="Ja",M107=""),AND(H107="Ja",N107=""),AND(I107="Ja",O107=""),AND(J107="Ja",P107=""),AND(K107="Ja",Q107=""),AND(L107="Ja",R107="")),"Trage die vereinbarten Beträge so ein, dass ihre Summe der Ausgabe entspricht.",IF(ABS(SUM($M107:$R107))&lt;0.005,"Trage die vereinbarten Beträge so ein, dass ihre Summe der Ausgabe entspricht.",IF(SUM($M107:$R107)&lt;$D107-0.005,"Bei der Aufteilung fehlen "&amp;ROUND($D107-SUM($M107:$R107),2)&amp;".",IF(SUM($M107:$R107)&gt;$D107+0.005,"Die Aufteilung übersteigt die Ausgabe um "&amp;ROUND(SUM($M107:$R107)-$D107,2)&amp;".","Geprüft")))),"Trage die vereinbarten Beträge so ein, dass ihre Summe der Ausgabe entspricht."))))))</f>
      </c>
    </row>
    <row r="108">
      <c r="A108" s="83"/>
      <c r="B108" s="57"/>
      <c r="C108" s="57"/>
      <c r="D108" s="85"/>
      <c r="E108" s="57"/>
      <c r="F108" s="57"/>
      <c r="G108" s="57"/>
      <c r="H108" s="57"/>
      <c r="I108" s="57"/>
      <c r="J108" s="57"/>
      <c r="K108" s="57"/>
      <c r="L108" s="57"/>
      <c r="M108" s="85"/>
      <c r="N108" s="85"/>
      <c r="O108" s="85"/>
      <c r="P108" s="85"/>
      <c r="Q108" s="85"/>
      <c r="R108" s="85"/>
      <c r="S108" s="57"/>
      <c r="T108" s="87" t="str">
        <f>IF(COUNTIF($A108:$S108,"&lt;&gt;")=0,"",IF($F108="Gleichmäßig unter Beteiligten",IF(G108&lt;&gt;"Ja",0,IF(COUNTIF($H108:$L108,"Ja")=0,$D108-0,ROUND($D108/COUNTIF($G108:$L108,"Ja"),2))),IF($F108="Vereinbarte Beträge",IF(G108="Ja",M108,0),"")))</f>
      </c>
      <c r="U108" s="87" t="str">
        <f>IF(COUNTIF($A108:$S108,"&lt;&gt;")=0,"",IF($F108="Gleichmäßig unter Beteiligten",IF(H108&lt;&gt;"Ja",0,IF(COUNTIF($I108:$L108,"Ja")=0,$D108-SUM($T108:T108),ROUND($D108/COUNTIF($G108:$L108,"Ja"),2))),IF($F108="Vereinbarte Beträge",IF(H108="Ja",N108,0),"")))</f>
      </c>
      <c r="V108" s="87" t="str">
        <f>IF(COUNTIF($A108:$S108,"&lt;&gt;")=0,"",IF($F108="Gleichmäßig unter Beteiligten",IF(I108&lt;&gt;"Ja",0,IF(COUNTIF($J108:$L108,"Ja")=0,$D108-SUM($T108:U108),ROUND($D108/COUNTIF($G108:$L108,"Ja"),2))),IF($F108="Vereinbarte Beträge",IF(I108="Ja",O108,0),"")))</f>
      </c>
      <c r="W108" s="87" t="str">
        <f>IF(COUNTIF($A108:$S108,"&lt;&gt;")=0,"",IF($F108="Gleichmäßig unter Beteiligten",IF(J108&lt;&gt;"Ja",0,IF(COUNTIF($K108:$L108,"Ja")=0,$D108-SUM($T108:V108),ROUND($D108/COUNTIF($G108:$L108,"Ja"),2))),IF($F108="Vereinbarte Beträge",IF(J108="Ja",P108,0),"")))</f>
      </c>
      <c r="X108" s="87" t="str">
        <f>IF(COUNTIF($A108:$S108,"&lt;&gt;")=0,"",IF($F108="Gleichmäßig unter Beteiligten",IF(K108&lt;&gt;"Ja",0,IF(COUNTIF($L108:$L108,"Ja")=0,$D108-SUM($T108:W108),ROUND($D108/COUNTIF($G108:$L108,"Ja"),2))),IF($F108="Vereinbarte Beträge",IF(K108="Ja",Q108,0),"")))</f>
      </c>
      <c r="Y108" s="87" t="str">
        <f>IF(COUNTIF($A108:$S108,"&lt;&gt;")=0,"",IF($F108="Gleichmäßig unter Beteiligten",IF(L108&lt;&gt;"Ja",0,IF(0=0,$D108-SUM($T108:X108),ROUND($D108/COUNTIF($G108:$L108,"Ja"),2))),IF($F108="Vereinbarte Beträge",IF(L108="Ja",R108,0),"")))</f>
      </c>
      <c r="Z108" s="81" t="str">
        <f>IF(COUNTIF($A108:$S108,"&lt;&gt;")=0,"",IF(OR($D108="",$D108&lt;=0),"Trage einen Betrag größer als null ein.",IF($E108="","Wähle aus, wer bezahlt hat.",IF(COUNTIF($G108:$L108,"Ja")=0,"Wähle mindestens eine beteiligte Person aus.",IF($F108="Gleichmäßig unter Beteiligten","Geprüft",IF($F108="Vereinbarte Beträge",IF(OR(AND(G108="Ja",M108=""),AND(H108="Ja",N108=""),AND(I108="Ja",O108=""),AND(J108="Ja",P108=""),AND(K108="Ja",Q108=""),AND(L108="Ja",R108="")),"Trage die vereinbarten Beträge so ein, dass ihre Summe der Ausgabe entspricht.",IF(ABS(SUM($M108:$R108))&lt;0.005,"Trage die vereinbarten Beträge so ein, dass ihre Summe der Ausgabe entspricht.",IF(SUM($M108:$R108)&lt;$D108-0.005,"Bei der Aufteilung fehlen "&amp;ROUND($D108-SUM($M108:$R108),2)&amp;".",IF(SUM($M108:$R108)&gt;$D108+0.005,"Die Aufteilung übersteigt die Ausgabe um "&amp;ROUND(SUM($M108:$R108)-$D108,2)&amp;".","Geprüft")))),"Trage die vereinbarten Beträge so ein, dass ihre Summe der Ausgabe entspricht."))))))</f>
      </c>
    </row>
    <row r="109">
      <c r="A109" s="83"/>
      <c r="B109" s="57"/>
      <c r="C109" s="57"/>
      <c r="D109" s="85"/>
      <c r="E109" s="57"/>
      <c r="F109" s="57"/>
      <c r="G109" s="57"/>
      <c r="H109" s="57"/>
      <c r="I109" s="57"/>
      <c r="J109" s="57"/>
      <c r="K109" s="57"/>
      <c r="L109" s="57"/>
      <c r="M109" s="85"/>
      <c r="N109" s="85"/>
      <c r="O109" s="85"/>
      <c r="P109" s="85"/>
      <c r="Q109" s="85"/>
      <c r="R109" s="85"/>
      <c r="S109" s="57"/>
      <c r="T109" s="87" t="str">
        <f>IF(COUNTIF($A109:$S109,"&lt;&gt;")=0,"",IF($F109="Gleichmäßig unter Beteiligten",IF(G109&lt;&gt;"Ja",0,IF(COUNTIF($H109:$L109,"Ja")=0,$D109-0,ROUND($D109/COUNTIF($G109:$L109,"Ja"),2))),IF($F109="Vereinbarte Beträge",IF(G109="Ja",M109,0),"")))</f>
      </c>
      <c r="U109" s="87" t="str">
        <f>IF(COUNTIF($A109:$S109,"&lt;&gt;")=0,"",IF($F109="Gleichmäßig unter Beteiligten",IF(H109&lt;&gt;"Ja",0,IF(COUNTIF($I109:$L109,"Ja")=0,$D109-SUM($T109:T109),ROUND($D109/COUNTIF($G109:$L109,"Ja"),2))),IF($F109="Vereinbarte Beträge",IF(H109="Ja",N109,0),"")))</f>
      </c>
      <c r="V109" s="87" t="str">
        <f>IF(COUNTIF($A109:$S109,"&lt;&gt;")=0,"",IF($F109="Gleichmäßig unter Beteiligten",IF(I109&lt;&gt;"Ja",0,IF(COUNTIF($J109:$L109,"Ja")=0,$D109-SUM($T109:U109),ROUND($D109/COUNTIF($G109:$L109,"Ja"),2))),IF($F109="Vereinbarte Beträge",IF(I109="Ja",O109,0),"")))</f>
      </c>
      <c r="W109" s="87" t="str">
        <f>IF(COUNTIF($A109:$S109,"&lt;&gt;")=0,"",IF($F109="Gleichmäßig unter Beteiligten",IF(J109&lt;&gt;"Ja",0,IF(COUNTIF($K109:$L109,"Ja")=0,$D109-SUM($T109:V109),ROUND($D109/COUNTIF($G109:$L109,"Ja"),2))),IF($F109="Vereinbarte Beträge",IF(J109="Ja",P109,0),"")))</f>
      </c>
      <c r="X109" s="87" t="str">
        <f>IF(COUNTIF($A109:$S109,"&lt;&gt;")=0,"",IF($F109="Gleichmäßig unter Beteiligten",IF(K109&lt;&gt;"Ja",0,IF(COUNTIF($L109:$L109,"Ja")=0,$D109-SUM($T109:W109),ROUND($D109/COUNTIF($G109:$L109,"Ja"),2))),IF($F109="Vereinbarte Beträge",IF(K109="Ja",Q109,0),"")))</f>
      </c>
      <c r="Y109" s="87" t="str">
        <f>IF(COUNTIF($A109:$S109,"&lt;&gt;")=0,"",IF($F109="Gleichmäßig unter Beteiligten",IF(L109&lt;&gt;"Ja",0,IF(0=0,$D109-SUM($T109:X109),ROUND($D109/COUNTIF($G109:$L109,"Ja"),2))),IF($F109="Vereinbarte Beträge",IF(L109="Ja",R109,0),"")))</f>
      </c>
      <c r="Z109" s="81" t="str">
        <f>IF(COUNTIF($A109:$S109,"&lt;&gt;")=0,"",IF(OR($D109="",$D109&lt;=0),"Trage einen Betrag größer als null ein.",IF($E109="","Wähle aus, wer bezahlt hat.",IF(COUNTIF($G109:$L109,"Ja")=0,"Wähle mindestens eine beteiligte Person aus.",IF($F109="Gleichmäßig unter Beteiligten","Geprüft",IF($F109="Vereinbarte Beträge",IF(OR(AND(G109="Ja",M109=""),AND(H109="Ja",N109=""),AND(I109="Ja",O109=""),AND(J109="Ja",P109=""),AND(K109="Ja",Q109=""),AND(L109="Ja",R109="")),"Trage die vereinbarten Beträge so ein, dass ihre Summe der Ausgabe entspricht.",IF(ABS(SUM($M109:$R109))&lt;0.005,"Trage die vereinbarten Beträge so ein, dass ihre Summe der Ausgabe entspricht.",IF(SUM($M109:$R109)&lt;$D109-0.005,"Bei der Aufteilung fehlen "&amp;ROUND($D109-SUM($M109:$R109),2)&amp;".",IF(SUM($M109:$R109)&gt;$D109+0.005,"Die Aufteilung übersteigt die Ausgabe um "&amp;ROUND(SUM($M109:$R109)-$D109,2)&amp;".","Geprüft")))),"Trage die vereinbarten Beträge so ein, dass ihre Summe der Ausgabe entspricht."))))))</f>
      </c>
    </row>
    <row r="110">
      <c r="A110" s="83"/>
      <c r="B110" s="57"/>
      <c r="C110" s="57"/>
      <c r="D110" s="85"/>
      <c r="E110" s="57"/>
      <c r="F110" s="57"/>
      <c r="G110" s="57"/>
      <c r="H110" s="57"/>
      <c r="I110" s="57"/>
      <c r="J110" s="57"/>
      <c r="K110" s="57"/>
      <c r="L110" s="57"/>
      <c r="M110" s="85"/>
      <c r="N110" s="85"/>
      <c r="O110" s="85"/>
      <c r="P110" s="85"/>
      <c r="Q110" s="85"/>
      <c r="R110" s="85"/>
      <c r="S110" s="57"/>
      <c r="T110" s="87" t="str">
        <f>IF(COUNTIF($A110:$S110,"&lt;&gt;")=0,"",IF($F110="Gleichmäßig unter Beteiligten",IF(G110&lt;&gt;"Ja",0,IF(COUNTIF($H110:$L110,"Ja")=0,$D110-0,ROUND($D110/COUNTIF($G110:$L110,"Ja"),2))),IF($F110="Vereinbarte Beträge",IF(G110="Ja",M110,0),"")))</f>
      </c>
      <c r="U110" s="87" t="str">
        <f>IF(COUNTIF($A110:$S110,"&lt;&gt;")=0,"",IF($F110="Gleichmäßig unter Beteiligten",IF(H110&lt;&gt;"Ja",0,IF(COUNTIF($I110:$L110,"Ja")=0,$D110-SUM($T110:T110),ROUND($D110/COUNTIF($G110:$L110,"Ja"),2))),IF($F110="Vereinbarte Beträge",IF(H110="Ja",N110,0),"")))</f>
      </c>
      <c r="V110" s="87" t="str">
        <f>IF(COUNTIF($A110:$S110,"&lt;&gt;")=0,"",IF($F110="Gleichmäßig unter Beteiligten",IF(I110&lt;&gt;"Ja",0,IF(COUNTIF($J110:$L110,"Ja")=0,$D110-SUM($T110:U110),ROUND($D110/COUNTIF($G110:$L110,"Ja"),2))),IF($F110="Vereinbarte Beträge",IF(I110="Ja",O110,0),"")))</f>
      </c>
      <c r="W110" s="87" t="str">
        <f>IF(COUNTIF($A110:$S110,"&lt;&gt;")=0,"",IF($F110="Gleichmäßig unter Beteiligten",IF(J110&lt;&gt;"Ja",0,IF(COUNTIF($K110:$L110,"Ja")=0,$D110-SUM($T110:V110),ROUND($D110/COUNTIF($G110:$L110,"Ja"),2))),IF($F110="Vereinbarte Beträge",IF(J110="Ja",P110,0),"")))</f>
      </c>
      <c r="X110" s="87" t="str">
        <f>IF(COUNTIF($A110:$S110,"&lt;&gt;")=0,"",IF($F110="Gleichmäßig unter Beteiligten",IF(K110&lt;&gt;"Ja",0,IF(COUNTIF($L110:$L110,"Ja")=0,$D110-SUM($T110:W110),ROUND($D110/COUNTIF($G110:$L110,"Ja"),2))),IF($F110="Vereinbarte Beträge",IF(K110="Ja",Q110,0),"")))</f>
      </c>
      <c r="Y110" s="87" t="str">
        <f>IF(COUNTIF($A110:$S110,"&lt;&gt;")=0,"",IF($F110="Gleichmäßig unter Beteiligten",IF(L110&lt;&gt;"Ja",0,IF(0=0,$D110-SUM($T110:X110),ROUND($D110/COUNTIF($G110:$L110,"Ja"),2))),IF($F110="Vereinbarte Beträge",IF(L110="Ja",R110,0),"")))</f>
      </c>
      <c r="Z110" s="81" t="str">
        <f>IF(COUNTIF($A110:$S110,"&lt;&gt;")=0,"",IF(OR($D110="",$D110&lt;=0),"Trage einen Betrag größer als null ein.",IF($E110="","Wähle aus, wer bezahlt hat.",IF(COUNTIF($G110:$L110,"Ja")=0,"Wähle mindestens eine beteiligte Person aus.",IF($F110="Gleichmäßig unter Beteiligten","Geprüft",IF($F110="Vereinbarte Beträge",IF(OR(AND(G110="Ja",M110=""),AND(H110="Ja",N110=""),AND(I110="Ja",O110=""),AND(J110="Ja",P110=""),AND(K110="Ja",Q110=""),AND(L110="Ja",R110="")),"Trage die vereinbarten Beträge so ein, dass ihre Summe der Ausgabe entspricht.",IF(ABS(SUM($M110:$R110))&lt;0.005,"Trage die vereinbarten Beträge so ein, dass ihre Summe der Ausgabe entspricht.",IF(SUM($M110:$R110)&lt;$D110-0.005,"Bei der Aufteilung fehlen "&amp;ROUND($D110-SUM($M110:$R110),2)&amp;".",IF(SUM($M110:$R110)&gt;$D110+0.005,"Die Aufteilung übersteigt die Ausgabe um "&amp;ROUND(SUM($M110:$R110)-$D110,2)&amp;".","Geprüft")))),"Trage die vereinbarten Beträge so ein, dass ihre Summe der Ausgabe entspricht."))))))</f>
      </c>
    </row>
    <row r="111">
      <c r="A111" s="83"/>
      <c r="B111" s="57"/>
      <c r="C111" s="57"/>
      <c r="D111" s="85"/>
      <c r="E111" s="57"/>
      <c r="F111" s="57"/>
      <c r="G111" s="57"/>
      <c r="H111" s="57"/>
      <c r="I111" s="57"/>
      <c r="J111" s="57"/>
      <c r="K111" s="57"/>
      <c r="L111" s="57"/>
      <c r="M111" s="85"/>
      <c r="N111" s="85"/>
      <c r="O111" s="85"/>
      <c r="P111" s="85"/>
      <c r="Q111" s="85"/>
      <c r="R111" s="85"/>
      <c r="S111" s="57"/>
      <c r="T111" s="87" t="str">
        <f>IF(COUNTIF($A111:$S111,"&lt;&gt;")=0,"",IF($F111="Gleichmäßig unter Beteiligten",IF(G111&lt;&gt;"Ja",0,IF(COUNTIF($H111:$L111,"Ja")=0,$D111-0,ROUND($D111/COUNTIF($G111:$L111,"Ja"),2))),IF($F111="Vereinbarte Beträge",IF(G111="Ja",M111,0),"")))</f>
      </c>
      <c r="U111" s="87" t="str">
        <f>IF(COUNTIF($A111:$S111,"&lt;&gt;")=0,"",IF($F111="Gleichmäßig unter Beteiligten",IF(H111&lt;&gt;"Ja",0,IF(COUNTIF($I111:$L111,"Ja")=0,$D111-SUM($T111:T111),ROUND($D111/COUNTIF($G111:$L111,"Ja"),2))),IF($F111="Vereinbarte Beträge",IF(H111="Ja",N111,0),"")))</f>
      </c>
      <c r="V111" s="87" t="str">
        <f>IF(COUNTIF($A111:$S111,"&lt;&gt;")=0,"",IF($F111="Gleichmäßig unter Beteiligten",IF(I111&lt;&gt;"Ja",0,IF(COUNTIF($J111:$L111,"Ja")=0,$D111-SUM($T111:U111),ROUND($D111/COUNTIF($G111:$L111,"Ja"),2))),IF($F111="Vereinbarte Beträge",IF(I111="Ja",O111,0),"")))</f>
      </c>
      <c r="W111" s="87" t="str">
        <f>IF(COUNTIF($A111:$S111,"&lt;&gt;")=0,"",IF($F111="Gleichmäßig unter Beteiligten",IF(J111&lt;&gt;"Ja",0,IF(COUNTIF($K111:$L111,"Ja")=0,$D111-SUM($T111:V111),ROUND($D111/COUNTIF($G111:$L111,"Ja"),2))),IF($F111="Vereinbarte Beträge",IF(J111="Ja",P111,0),"")))</f>
      </c>
      <c r="X111" s="87" t="str">
        <f>IF(COUNTIF($A111:$S111,"&lt;&gt;")=0,"",IF($F111="Gleichmäßig unter Beteiligten",IF(K111&lt;&gt;"Ja",0,IF(COUNTIF($L111:$L111,"Ja")=0,$D111-SUM($T111:W111),ROUND($D111/COUNTIF($G111:$L111,"Ja"),2))),IF($F111="Vereinbarte Beträge",IF(K111="Ja",Q111,0),"")))</f>
      </c>
      <c r="Y111" s="87" t="str">
        <f>IF(COUNTIF($A111:$S111,"&lt;&gt;")=0,"",IF($F111="Gleichmäßig unter Beteiligten",IF(L111&lt;&gt;"Ja",0,IF(0=0,$D111-SUM($T111:X111),ROUND($D111/COUNTIF($G111:$L111,"Ja"),2))),IF($F111="Vereinbarte Beträge",IF(L111="Ja",R111,0),"")))</f>
      </c>
      <c r="Z111" s="81" t="str">
        <f>IF(COUNTIF($A111:$S111,"&lt;&gt;")=0,"",IF(OR($D111="",$D111&lt;=0),"Trage einen Betrag größer als null ein.",IF($E111="","Wähle aus, wer bezahlt hat.",IF(COUNTIF($G111:$L111,"Ja")=0,"Wähle mindestens eine beteiligte Person aus.",IF($F111="Gleichmäßig unter Beteiligten","Geprüft",IF($F111="Vereinbarte Beträge",IF(OR(AND(G111="Ja",M111=""),AND(H111="Ja",N111=""),AND(I111="Ja",O111=""),AND(J111="Ja",P111=""),AND(K111="Ja",Q111=""),AND(L111="Ja",R111="")),"Trage die vereinbarten Beträge so ein, dass ihre Summe der Ausgabe entspricht.",IF(ABS(SUM($M111:$R111))&lt;0.005,"Trage die vereinbarten Beträge so ein, dass ihre Summe der Ausgabe entspricht.",IF(SUM($M111:$R111)&lt;$D111-0.005,"Bei der Aufteilung fehlen "&amp;ROUND($D111-SUM($M111:$R111),2)&amp;".",IF(SUM($M111:$R111)&gt;$D111+0.005,"Die Aufteilung übersteigt die Ausgabe um "&amp;ROUND(SUM($M111:$R111)-$D111,2)&amp;".","Geprüft")))),"Trage die vereinbarten Beträge so ein, dass ihre Summe der Ausgabe entspricht."))))))</f>
      </c>
    </row>
    <row r="112">
      <c r="A112" s="83"/>
      <c r="B112" s="57"/>
      <c r="C112" s="57"/>
      <c r="D112" s="85"/>
      <c r="E112" s="57"/>
      <c r="F112" s="57"/>
      <c r="G112" s="57"/>
      <c r="H112" s="57"/>
      <c r="I112" s="57"/>
      <c r="J112" s="57"/>
      <c r="K112" s="57"/>
      <c r="L112" s="57"/>
      <c r="M112" s="85"/>
      <c r="N112" s="85"/>
      <c r="O112" s="85"/>
      <c r="P112" s="85"/>
      <c r="Q112" s="85"/>
      <c r="R112" s="85"/>
      <c r="S112" s="57"/>
      <c r="T112" s="87" t="str">
        <f>IF(COUNTIF($A112:$S112,"&lt;&gt;")=0,"",IF($F112="Gleichmäßig unter Beteiligten",IF(G112&lt;&gt;"Ja",0,IF(COUNTIF($H112:$L112,"Ja")=0,$D112-0,ROUND($D112/COUNTIF($G112:$L112,"Ja"),2))),IF($F112="Vereinbarte Beträge",IF(G112="Ja",M112,0),"")))</f>
      </c>
      <c r="U112" s="87" t="str">
        <f>IF(COUNTIF($A112:$S112,"&lt;&gt;")=0,"",IF($F112="Gleichmäßig unter Beteiligten",IF(H112&lt;&gt;"Ja",0,IF(COUNTIF($I112:$L112,"Ja")=0,$D112-SUM($T112:T112),ROUND($D112/COUNTIF($G112:$L112,"Ja"),2))),IF($F112="Vereinbarte Beträge",IF(H112="Ja",N112,0),"")))</f>
      </c>
      <c r="V112" s="87" t="str">
        <f>IF(COUNTIF($A112:$S112,"&lt;&gt;")=0,"",IF($F112="Gleichmäßig unter Beteiligten",IF(I112&lt;&gt;"Ja",0,IF(COUNTIF($J112:$L112,"Ja")=0,$D112-SUM($T112:U112),ROUND($D112/COUNTIF($G112:$L112,"Ja"),2))),IF($F112="Vereinbarte Beträge",IF(I112="Ja",O112,0),"")))</f>
      </c>
      <c r="W112" s="87" t="str">
        <f>IF(COUNTIF($A112:$S112,"&lt;&gt;")=0,"",IF($F112="Gleichmäßig unter Beteiligten",IF(J112&lt;&gt;"Ja",0,IF(COUNTIF($K112:$L112,"Ja")=0,$D112-SUM($T112:V112),ROUND($D112/COUNTIF($G112:$L112,"Ja"),2))),IF($F112="Vereinbarte Beträge",IF(J112="Ja",P112,0),"")))</f>
      </c>
      <c r="X112" s="87" t="str">
        <f>IF(COUNTIF($A112:$S112,"&lt;&gt;")=0,"",IF($F112="Gleichmäßig unter Beteiligten",IF(K112&lt;&gt;"Ja",0,IF(COUNTIF($L112:$L112,"Ja")=0,$D112-SUM($T112:W112),ROUND($D112/COUNTIF($G112:$L112,"Ja"),2))),IF($F112="Vereinbarte Beträge",IF(K112="Ja",Q112,0),"")))</f>
      </c>
      <c r="Y112" s="87" t="str">
        <f>IF(COUNTIF($A112:$S112,"&lt;&gt;")=0,"",IF($F112="Gleichmäßig unter Beteiligten",IF(L112&lt;&gt;"Ja",0,IF(0=0,$D112-SUM($T112:X112),ROUND($D112/COUNTIF($G112:$L112,"Ja"),2))),IF($F112="Vereinbarte Beträge",IF(L112="Ja",R112,0),"")))</f>
      </c>
      <c r="Z112" s="81" t="str">
        <f>IF(COUNTIF($A112:$S112,"&lt;&gt;")=0,"",IF(OR($D112="",$D112&lt;=0),"Trage einen Betrag größer als null ein.",IF($E112="","Wähle aus, wer bezahlt hat.",IF(COUNTIF($G112:$L112,"Ja")=0,"Wähle mindestens eine beteiligte Person aus.",IF($F112="Gleichmäßig unter Beteiligten","Geprüft",IF($F112="Vereinbarte Beträge",IF(OR(AND(G112="Ja",M112=""),AND(H112="Ja",N112=""),AND(I112="Ja",O112=""),AND(J112="Ja",P112=""),AND(K112="Ja",Q112=""),AND(L112="Ja",R112="")),"Trage die vereinbarten Beträge so ein, dass ihre Summe der Ausgabe entspricht.",IF(ABS(SUM($M112:$R112))&lt;0.005,"Trage die vereinbarten Beträge so ein, dass ihre Summe der Ausgabe entspricht.",IF(SUM($M112:$R112)&lt;$D112-0.005,"Bei der Aufteilung fehlen "&amp;ROUND($D112-SUM($M112:$R112),2)&amp;".",IF(SUM($M112:$R112)&gt;$D112+0.005,"Die Aufteilung übersteigt die Ausgabe um "&amp;ROUND(SUM($M112:$R112)-$D112,2)&amp;".","Geprüft")))),"Trage die vereinbarten Beträge so ein, dass ihre Summe der Ausgabe entspricht."))))))</f>
      </c>
    </row>
    <row r="113">
      <c r="A113" s="83"/>
      <c r="B113" s="57"/>
      <c r="C113" s="57"/>
      <c r="D113" s="85"/>
      <c r="E113" s="57"/>
      <c r="F113" s="57"/>
      <c r="G113" s="57"/>
      <c r="H113" s="57"/>
      <c r="I113" s="57"/>
      <c r="J113" s="57"/>
      <c r="K113" s="57"/>
      <c r="L113" s="57"/>
      <c r="M113" s="85"/>
      <c r="N113" s="85"/>
      <c r="O113" s="85"/>
      <c r="P113" s="85"/>
      <c r="Q113" s="85"/>
      <c r="R113" s="85"/>
      <c r="S113" s="57"/>
      <c r="T113" s="87" t="str">
        <f>IF(COUNTIF($A113:$S113,"&lt;&gt;")=0,"",IF($F113="Gleichmäßig unter Beteiligten",IF(G113&lt;&gt;"Ja",0,IF(COUNTIF($H113:$L113,"Ja")=0,$D113-0,ROUND($D113/COUNTIF($G113:$L113,"Ja"),2))),IF($F113="Vereinbarte Beträge",IF(G113="Ja",M113,0),"")))</f>
      </c>
      <c r="U113" s="87" t="str">
        <f>IF(COUNTIF($A113:$S113,"&lt;&gt;")=0,"",IF($F113="Gleichmäßig unter Beteiligten",IF(H113&lt;&gt;"Ja",0,IF(COUNTIF($I113:$L113,"Ja")=0,$D113-SUM($T113:T113),ROUND($D113/COUNTIF($G113:$L113,"Ja"),2))),IF($F113="Vereinbarte Beträge",IF(H113="Ja",N113,0),"")))</f>
      </c>
      <c r="V113" s="87" t="str">
        <f>IF(COUNTIF($A113:$S113,"&lt;&gt;")=0,"",IF($F113="Gleichmäßig unter Beteiligten",IF(I113&lt;&gt;"Ja",0,IF(COUNTIF($J113:$L113,"Ja")=0,$D113-SUM($T113:U113),ROUND($D113/COUNTIF($G113:$L113,"Ja"),2))),IF($F113="Vereinbarte Beträge",IF(I113="Ja",O113,0),"")))</f>
      </c>
      <c r="W113" s="87" t="str">
        <f>IF(COUNTIF($A113:$S113,"&lt;&gt;")=0,"",IF($F113="Gleichmäßig unter Beteiligten",IF(J113&lt;&gt;"Ja",0,IF(COUNTIF($K113:$L113,"Ja")=0,$D113-SUM($T113:V113),ROUND($D113/COUNTIF($G113:$L113,"Ja"),2))),IF($F113="Vereinbarte Beträge",IF(J113="Ja",P113,0),"")))</f>
      </c>
      <c r="X113" s="87" t="str">
        <f>IF(COUNTIF($A113:$S113,"&lt;&gt;")=0,"",IF($F113="Gleichmäßig unter Beteiligten",IF(K113&lt;&gt;"Ja",0,IF(COUNTIF($L113:$L113,"Ja")=0,$D113-SUM($T113:W113),ROUND($D113/COUNTIF($G113:$L113,"Ja"),2))),IF($F113="Vereinbarte Beträge",IF(K113="Ja",Q113,0),"")))</f>
      </c>
      <c r="Y113" s="87" t="str">
        <f>IF(COUNTIF($A113:$S113,"&lt;&gt;")=0,"",IF($F113="Gleichmäßig unter Beteiligten",IF(L113&lt;&gt;"Ja",0,IF(0=0,$D113-SUM($T113:X113),ROUND($D113/COUNTIF($G113:$L113,"Ja"),2))),IF($F113="Vereinbarte Beträge",IF(L113="Ja",R113,0),"")))</f>
      </c>
      <c r="Z113" s="81" t="str">
        <f>IF(COUNTIF($A113:$S113,"&lt;&gt;")=0,"",IF(OR($D113="",$D113&lt;=0),"Trage einen Betrag größer als null ein.",IF($E113="","Wähle aus, wer bezahlt hat.",IF(COUNTIF($G113:$L113,"Ja")=0,"Wähle mindestens eine beteiligte Person aus.",IF($F113="Gleichmäßig unter Beteiligten","Geprüft",IF($F113="Vereinbarte Beträge",IF(OR(AND(G113="Ja",M113=""),AND(H113="Ja",N113=""),AND(I113="Ja",O113=""),AND(J113="Ja",P113=""),AND(K113="Ja",Q113=""),AND(L113="Ja",R113="")),"Trage die vereinbarten Beträge so ein, dass ihre Summe der Ausgabe entspricht.",IF(ABS(SUM($M113:$R113))&lt;0.005,"Trage die vereinbarten Beträge so ein, dass ihre Summe der Ausgabe entspricht.",IF(SUM($M113:$R113)&lt;$D113-0.005,"Bei der Aufteilung fehlen "&amp;ROUND($D113-SUM($M113:$R113),2)&amp;".",IF(SUM($M113:$R113)&gt;$D113+0.005,"Die Aufteilung übersteigt die Ausgabe um "&amp;ROUND(SUM($M113:$R113)-$D113,2)&amp;".","Geprüft")))),"Trage die vereinbarten Beträge so ein, dass ihre Summe der Ausgabe entspricht."))))))</f>
      </c>
    </row>
    <row r="114">
      <c r="A114" s="83"/>
      <c r="B114" s="57"/>
      <c r="C114" s="57"/>
      <c r="D114" s="85"/>
      <c r="E114" s="57"/>
      <c r="F114" s="57"/>
      <c r="G114" s="57"/>
      <c r="H114" s="57"/>
      <c r="I114" s="57"/>
      <c r="J114" s="57"/>
      <c r="K114" s="57"/>
      <c r="L114" s="57"/>
      <c r="M114" s="85"/>
      <c r="N114" s="85"/>
      <c r="O114" s="85"/>
      <c r="P114" s="85"/>
      <c r="Q114" s="85"/>
      <c r="R114" s="85"/>
      <c r="S114" s="57"/>
      <c r="T114" s="87" t="str">
        <f>IF(COUNTIF($A114:$S114,"&lt;&gt;")=0,"",IF($F114="Gleichmäßig unter Beteiligten",IF(G114&lt;&gt;"Ja",0,IF(COUNTIF($H114:$L114,"Ja")=0,$D114-0,ROUND($D114/COUNTIF($G114:$L114,"Ja"),2))),IF($F114="Vereinbarte Beträge",IF(G114="Ja",M114,0),"")))</f>
      </c>
      <c r="U114" s="87" t="str">
        <f>IF(COUNTIF($A114:$S114,"&lt;&gt;")=0,"",IF($F114="Gleichmäßig unter Beteiligten",IF(H114&lt;&gt;"Ja",0,IF(COUNTIF($I114:$L114,"Ja")=0,$D114-SUM($T114:T114),ROUND($D114/COUNTIF($G114:$L114,"Ja"),2))),IF($F114="Vereinbarte Beträge",IF(H114="Ja",N114,0),"")))</f>
      </c>
      <c r="V114" s="87" t="str">
        <f>IF(COUNTIF($A114:$S114,"&lt;&gt;")=0,"",IF($F114="Gleichmäßig unter Beteiligten",IF(I114&lt;&gt;"Ja",0,IF(COUNTIF($J114:$L114,"Ja")=0,$D114-SUM($T114:U114),ROUND($D114/COUNTIF($G114:$L114,"Ja"),2))),IF($F114="Vereinbarte Beträge",IF(I114="Ja",O114,0),"")))</f>
      </c>
      <c r="W114" s="87" t="str">
        <f>IF(COUNTIF($A114:$S114,"&lt;&gt;")=0,"",IF($F114="Gleichmäßig unter Beteiligten",IF(J114&lt;&gt;"Ja",0,IF(COUNTIF($K114:$L114,"Ja")=0,$D114-SUM($T114:V114),ROUND($D114/COUNTIF($G114:$L114,"Ja"),2))),IF($F114="Vereinbarte Beträge",IF(J114="Ja",P114,0),"")))</f>
      </c>
      <c r="X114" s="87" t="str">
        <f>IF(COUNTIF($A114:$S114,"&lt;&gt;")=0,"",IF($F114="Gleichmäßig unter Beteiligten",IF(K114&lt;&gt;"Ja",0,IF(COUNTIF($L114:$L114,"Ja")=0,$D114-SUM($T114:W114),ROUND($D114/COUNTIF($G114:$L114,"Ja"),2))),IF($F114="Vereinbarte Beträge",IF(K114="Ja",Q114,0),"")))</f>
      </c>
      <c r="Y114" s="87" t="str">
        <f>IF(COUNTIF($A114:$S114,"&lt;&gt;")=0,"",IF($F114="Gleichmäßig unter Beteiligten",IF(L114&lt;&gt;"Ja",0,IF(0=0,$D114-SUM($T114:X114),ROUND($D114/COUNTIF($G114:$L114,"Ja"),2))),IF($F114="Vereinbarte Beträge",IF(L114="Ja",R114,0),"")))</f>
      </c>
      <c r="Z114" s="81" t="str">
        <f>IF(COUNTIF($A114:$S114,"&lt;&gt;")=0,"",IF(OR($D114="",$D114&lt;=0),"Trage einen Betrag größer als null ein.",IF($E114="","Wähle aus, wer bezahlt hat.",IF(COUNTIF($G114:$L114,"Ja")=0,"Wähle mindestens eine beteiligte Person aus.",IF($F114="Gleichmäßig unter Beteiligten","Geprüft",IF($F114="Vereinbarte Beträge",IF(OR(AND(G114="Ja",M114=""),AND(H114="Ja",N114=""),AND(I114="Ja",O114=""),AND(J114="Ja",P114=""),AND(K114="Ja",Q114=""),AND(L114="Ja",R114="")),"Trage die vereinbarten Beträge so ein, dass ihre Summe der Ausgabe entspricht.",IF(ABS(SUM($M114:$R114))&lt;0.005,"Trage die vereinbarten Beträge so ein, dass ihre Summe der Ausgabe entspricht.",IF(SUM($M114:$R114)&lt;$D114-0.005,"Bei der Aufteilung fehlen "&amp;ROUND($D114-SUM($M114:$R114),2)&amp;".",IF(SUM($M114:$R114)&gt;$D114+0.005,"Die Aufteilung übersteigt die Ausgabe um "&amp;ROUND(SUM($M114:$R114)-$D114,2)&amp;".","Geprüft")))),"Trage die vereinbarten Beträge so ein, dass ihre Summe der Ausgabe entspricht."))))))</f>
      </c>
    </row>
    <row r="115">
      <c r="A115" s="83"/>
      <c r="B115" s="57"/>
      <c r="C115" s="57"/>
      <c r="D115" s="85"/>
      <c r="E115" s="57"/>
      <c r="F115" s="57"/>
      <c r="G115" s="57"/>
      <c r="H115" s="57"/>
      <c r="I115" s="57"/>
      <c r="J115" s="57"/>
      <c r="K115" s="57"/>
      <c r="L115" s="57"/>
      <c r="M115" s="85"/>
      <c r="N115" s="85"/>
      <c r="O115" s="85"/>
      <c r="P115" s="85"/>
      <c r="Q115" s="85"/>
      <c r="R115" s="85"/>
      <c r="S115" s="57"/>
      <c r="T115" s="87" t="str">
        <f>IF(COUNTIF($A115:$S115,"&lt;&gt;")=0,"",IF($F115="Gleichmäßig unter Beteiligten",IF(G115&lt;&gt;"Ja",0,IF(COUNTIF($H115:$L115,"Ja")=0,$D115-0,ROUND($D115/COUNTIF($G115:$L115,"Ja"),2))),IF($F115="Vereinbarte Beträge",IF(G115="Ja",M115,0),"")))</f>
      </c>
      <c r="U115" s="87" t="str">
        <f>IF(COUNTIF($A115:$S115,"&lt;&gt;")=0,"",IF($F115="Gleichmäßig unter Beteiligten",IF(H115&lt;&gt;"Ja",0,IF(COUNTIF($I115:$L115,"Ja")=0,$D115-SUM($T115:T115),ROUND($D115/COUNTIF($G115:$L115,"Ja"),2))),IF($F115="Vereinbarte Beträge",IF(H115="Ja",N115,0),"")))</f>
      </c>
      <c r="V115" s="87" t="str">
        <f>IF(COUNTIF($A115:$S115,"&lt;&gt;")=0,"",IF($F115="Gleichmäßig unter Beteiligten",IF(I115&lt;&gt;"Ja",0,IF(COUNTIF($J115:$L115,"Ja")=0,$D115-SUM($T115:U115),ROUND($D115/COUNTIF($G115:$L115,"Ja"),2))),IF($F115="Vereinbarte Beträge",IF(I115="Ja",O115,0),"")))</f>
      </c>
      <c r="W115" s="87" t="str">
        <f>IF(COUNTIF($A115:$S115,"&lt;&gt;")=0,"",IF($F115="Gleichmäßig unter Beteiligten",IF(J115&lt;&gt;"Ja",0,IF(COUNTIF($K115:$L115,"Ja")=0,$D115-SUM($T115:V115),ROUND($D115/COUNTIF($G115:$L115,"Ja"),2))),IF($F115="Vereinbarte Beträge",IF(J115="Ja",P115,0),"")))</f>
      </c>
      <c r="X115" s="87" t="str">
        <f>IF(COUNTIF($A115:$S115,"&lt;&gt;")=0,"",IF($F115="Gleichmäßig unter Beteiligten",IF(K115&lt;&gt;"Ja",0,IF(COUNTIF($L115:$L115,"Ja")=0,$D115-SUM($T115:W115),ROUND($D115/COUNTIF($G115:$L115,"Ja"),2))),IF($F115="Vereinbarte Beträge",IF(K115="Ja",Q115,0),"")))</f>
      </c>
      <c r="Y115" s="87" t="str">
        <f>IF(COUNTIF($A115:$S115,"&lt;&gt;")=0,"",IF($F115="Gleichmäßig unter Beteiligten",IF(L115&lt;&gt;"Ja",0,IF(0=0,$D115-SUM($T115:X115),ROUND($D115/COUNTIF($G115:$L115,"Ja"),2))),IF($F115="Vereinbarte Beträge",IF(L115="Ja",R115,0),"")))</f>
      </c>
      <c r="Z115" s="81" t="str">
        <f>IF(COUNTIF($A115:$S115,"&lt;&gt;")=0,"",IF(OR($D115="",$D115&lt;=0),"Trage einen Betrag größer als null ein.",IF($E115="","Wähle aus, wer bezahlt hat.",IF(COUNTIF($G115:$L115,"Ja")=0,"Wähle mindestens eine beteiligte Person aus.",IF($F115="Gleichmäßig unter Beteiligten","Geprüft",IF($F115="Vereinbarte Beträge",IF(OR(AND(G115="Ja",M115=""),AND(H115="Ja",N115=""),AND(I115="Ja",O115=""),AND(J115="Ja",P115=""),AND(K115="Ja",Q115=""),AND(L115="Ja",R115="")),"Trage die vereinbarten Beträge so ein, dass ihre Summe der Ausgabe entspricht.",IF(ABS(SUM($M115:$R115))&lt;0.005,"Trage die vereinbarten Beträge so ein, dass ihre Summe der Ausgabe entspricht.",IF(SUM($M115:$R115)&lt;$D115-0.005,"Bei der Aufteilung fehlen "&amp;ROUND($D115-SUM($M115:$R115),2)&amp;".",IF(SUM($M115:$R115)&gt;$D115+0.005,"Die Aufteilung übersteigt die Ausgabe um "&amp;ROUND(SUM($M115:$R115)-$D115,2)&amp;".","Geprüft")))),"Trage die vereinbarten Beträge so ein, dass ihre Summe der Ausgabe entspricht."))))))</f>
      </c>
    </row>
    <row r="116">
      <c r="A116" s="83"/>
      <c r="B116" s="57"/>
      <c r="C116" s="57"/>
      <c r="D116" s="85"/>
      <c r="E116" s="57"/>
      <c r="F116" s="57"/>
      <c r="G116" s="57"/>
      <c r="H116" s="57"/>
      <c r="I116" s="57"/>
      <c r="J116" s="57"/>
      <c r="K116" s="57"/>
      <c r="L116" s="57"/>
      <c r="M116" s="85"/>
      <c r="N116" s="85"/>
      <c r="O116" s="85"/>
      <c r="P116" s="85"/>
      <c r="Q116" s="85"/>
      <c r="R116" s="85"/>
      <c r="S116" s="57"/>
      <c r="T116" s="87" t="str">
        <f>IF(COUNTIF($A116:$S116,"&lt;&gt;")=0,"",IF($F116="Gleichmäßig unter Beteiligten",IF(G116&lt;&gt;"Ja",0,IF(COUNTIF($H116:$L116,"Ja")=0,$D116-0,ROUND($D116/COUNTIF($G116:$L116,"Ja"),2))),IF($F116="Vereinbarte Beträge",IF(G116="Ja",M116,0),"")))</f>
      </c>
      <c r="U116" s="87" t="str">
        <f>IF(COUNTIF($A116:$S116,"&lt;&gt;")=0,"",IF($F116="Gleichmäßig unter Beteiligten",IF(H116&lt;&gt;"Ja",0,IF(COUNTIF($I116:$L116,"Ja")=0,$D116-SUM($T116:T116),ROUND($D116/COUNTIF($G116:$L116,"Ja"),2))),IF($F116="Vereinbarte Beträge",IF(H116="Ja",N116,0),"")))</f>
      </c>
      <c r="V116" s="87" t="str">
        <f>IF(COUNTIF($A116:$S116,"&lt;&gt;")=0,"",IF($F116="Gleichmäßig unter Beteiligten",IF(I116&lt;&gt;"Ja",0,IF(COUNTIF($J116:$L116,"Ja")=0,$D116-SUM($T116:U116),ROUND($D116/COUNTIF($G116:$L116,"Ja"),2))),IF($F116="Vereinbarte Beträge",IF(I116="Ja",O116,0),"")))</f>
      </c>
      <c r="W116" s="87" t="str">
        <f>IF(COUNTIF($A116:$S116,"&lt;&gt;")=0,"",IF($F116="Gleichmäßig unter Beteiligten",IF(J116&lt;&gt;"Ja",0,IF(COUNTIF($K116:$L116,"Ja")=0,$D116-SUM($T116:V116),ROUND($D116/COUNTIF($G116:$L116,"Ja"),2))),IF($F116="Vereinbarte Beträge",IF(J116="Ja",P116,0),"")))</f>
      </c>
      <c r="X116" s="87" t="str">
        <f>IF(COUNTIF($A116:$S116,"&lt;&gt;")=0,"",IF($F116="Gleichmäßig unter Beteiligten",IF(K116&lt;&gt;"Ja",0,IF(COUNTIF($L116:$L116,"Ja")=0,$D116-SUM($T116:W116),ROUND($D116/COUNTIF($G116:$L116,"Ja"),2))),IF($F116="Vereinbarte Beträge",IF(K116="Ja",Q116,0),"")))</f>
      </c>
      <c r="Y116" s="87" t="str">
        <f>IF(COUNTIF($A116:$S116,"&lt;&gt;")=0,"",IF($F116="Gleichmäßig unter Beteiligten",IF(L116&lt;&gt;"Ja",0,IF(0=0,$D116-SUM($T116:X116),ROUND($D116/COUNTIF($G116:$L116,"Ja"),2))),IF($F116="Vereinbarte Beträge",IF(L116="Ja",R116,0),"")))</f>
      </c>
      <c r="Z116" s="81" t="str">
        <f>IF(COUNTIF($A116:$S116,"&lt;&gt;")=0,"",IF(OR($D116="",$D116&lt;=0),"Trage einen Betrag größer als null ein.",IF($E116="","Wähle aus, wer bezahlt hat.",IF(COUNTIF($G116:$L116,"Ja")=0,"Wähle mindestens eine beteiligte Person aus.",IF($F116="Gleichmäßig unter Beteiligten","Geprüft",IF($F116="Vereinbarte Beträge",IF(OR(AND(G116="Ja",M116=""),AND(H116="Ja",N116=""),AND(I116="Ja",O116=""),AND(J116="Ja",P116=""),AND(K116="Ja",Q116=""),AND(L116="Ja",R116="")),"Trage die vereinbarten Beträge so ein, dass ihre Summe der Ausgabe entspricht.",IF(ABS(SUM($M116:$R116))&lt;0.005,"Trage die vereinbarten Beträge so ein, dass ihre Summe der Ausgabe entspricht.",IF(SUM($M116:$R116)&lt;$D116-0.005,"Bei der Aufteilung fehlen "&amp;ROUND($D116-SUM($M116:$R116),2)&amp;".",IF(SUM($M116:$R116)&gt;$D116+0.005,"Die Aufteilung übersteigt die Ausgabe um "&amp;ROUND(SUM($M116:$R116)-$D116,2)&amp;".","Geprüft")))),"Trage die vereinbarten Beträge so ein, dass ihre Summe der Ausgabe entspricht."))))))</f>
      </c>
    </row>
    <row r="117">
      <c r="A117" s="83"/>
      <c r="B117" s="57"/>
      <c r="C117" s="57"/>
      <c r="D117" s="85"/>
      <c r="E117" s="57"/>
      <c r="F117" s="57"/>
      <c r="G117" s="57"/>
      <c r="H117" s="57"/>
      <c r="I117" s="57"/>
      <c r="J117" s="57"/>
      <c r="K117" s="57"/>
      <c r="L117" s="57"/>
      <c r="M117" s="85"/>
      <c r="N117" s="85"/>
      <c r="O117" s="85"/>
      <c r="P117" s="85"/>
      <c r="Q117" s="85"/>
      <c r="R117" s="85"/>
      <c r="S117" s="57"/>
      <c r="T117" s="87" t="str">
        <f>IF(COUNTIF($A117:$S117,"&lt;&gt;")=0,"",IF($F117="Gleichmäßig unter Beteiligten",IF(G117&lt;&gt;"Ja",0,IF(COUNTIF($H117:$L117,"Ja")=0,$D117-0,ROUND($D117/COUNTIF($G117:$L117,"Ja"),2))),IF($F117="Vereinbarte Beträge",IF(G117="Ja",M117,0),"")))</f>
      </c>
      <c r="U117" s="87" t="str">
        <f>IF(COUNTIF($A117:$S117,"&lt;&gt;")=0,"",IF($F117="Gleichmäßig unter Beteiligten",IF(H117&lt;&gt;"Ja",0,IF(COUNTIF($I117:$L117,"Ja")=0,$D117-SUM($T117:T117),ROUND($D117/COUNTIF($G117:$L117,"Ja"),2))),IF($F117="Vereinbarte Beträge",IF(H117="Ja",N117,0),"")))</f>
      </c>
      <c r="V117" s="87" t="str">
        <f>IF(COUNTIF($A117:$S117,"&lt;&gt;")=0,"",IF($F117="Gleichmäßig unter Beteiligten",IF(I117&lt;&gt;"Ja",0,IF(COUNTIF($J117:$L117,"Ja")=0,$D117-SUM($T117:U117),ROUND($D117/COUNTIF($G117:$L117,"Ja"),2))),IF($F117="Vereinbarte Beträge",IF(I117="Ja",O117,0),"")))</f>
      </c>
      <c r="W117" s="87" t="str">
        <f>IF(COUNTIF($A117:$S117,"&lt;&gt;")=0,"",IF($F117="Gleichmäßig unter Beteiligten",IF(J117&lt;&gt;"Ja",0,IF(COUNTIF($K117:$L117,"Ja")=0,$D117-SUM($T117:V117),ROUND($D117/COUNTIF($G117:$L117,"Ja"),2))),IF($F117="Vereinbarte Beträge",IF(J117="Ja",P117,0),"")))</f>
      </c>
      <c r="X117" s="87" t="str">
        <f>IF(COUNTIF($A117:$S117,"&lt;&gt;")=0,"",IF($F117="Gleichmäßig unter Beteiligten",IF(K117&lt;&gt;"Ja",0,IF(COUNTIF($L117:$L117,"Ja")=0,$D117-SUM($T117:W117),ROUND($D117/COUNTIF($G117:$L117,"Ja"),2))),IF($F117="Vereinbarte Beträge",IF(K117="Ja",Q117,0),"")))</f>
      </c>
      <c r="Y117" s="87" t="str">
        <f>IF(COUNTIF($A117:$S117,"&lt;&gt;")=0,"",IF($F117="Gleichmäßig unter Beteiligten",IF(L117&lt;&gt;"Ja",0,IF(0=0,$D117-SUM($T117:X117),ROUND($D117/COUNTIF($G117:$L117,"Ja"),2))),IF($F117="Vereinbarte Beträge",IF(L117="Ja",R117,0),"")))</f>
      </c>
      <c r="Z117" s="81" t="str">
        <f>IF(COUNTIF($A117:$S117,"&lt;&gt;")=0,"",IF(OR($D117="",$D117&lt;=0),"Trage einen Betrag größer als null ein.",IF($E117="","Wähle aus, wer bezahlt hat.",IF(COUNTIF($G117:$L117,"Ja")=0,"Wähle mindestens eine beteiligte Person aus.",IF($F117="Gleichmäßig unter Beteiligten","Geprüft",IF($F117="Vereinbarte Beträge",IF(OR(AND(G117="Ja",M117=""),AND(H117="Ja",N117=""),AND(I117="Ja",O117=""),AND(J117="Ja",P117=""),AND(K117="Ja",Q117=""),AND(L117="Ja",R117="")),"Trage die vereinbarten Beträge so ein, dass ihre Summe der Ausgabe entspricht.",IF(ABS(SUM($M117:$R117))&lt;0.005,"Trage die vereinbarten Beträge so ein, dass ihre Summe der Ausgabe entspricht.",IF(SUM($M117:$R117)&lt;$D117-0.005,"Bei der Aufteilung fehlen "&amp;ROUND($D117-SUM($M117:$R117),2)&amp;".",IF(SUM($M117:$R117)&gt;$D117+0.005,"Die Aufteilung übersteigt die Ausgabe um "&amp;ROUND(SUM($M117:$R117)-$D117,2)&amp;".","Geprüft")))),"Trage die vereinbarten Beträge so ein, dass ihre Summe der Ausgabe entspricht."))))))</f>
      </c>
    </row>
    <row r="118">
      <c r="A118" s="83"/>
      <c r="B118" s="57"/>
      <c r="C118" s="57"/>
      <c r="D118" s="85"/>
      <c r="E118" s="57"/>
      <c r="F118" s="57"/>
      <c r="G118" s="57"/>
      <c r="H118" s="57"/>
      <c r="I118" s="57"/>
      <c r="J118" s="57"/>
      <c r="K118" s="57"/>
      <c r="L118" s="57"/>
      <c r="M118" s="85"/>
      <c r="N118" s="85"/>
      <c r="O118" s="85"/>
      <c r="P118" s="85"/>
      <c r="Q118" s="85"/>
      <c r="R118" s="85"/>
      <c r="S118" s="57"/>
      <c r="T118" s="87" t="str">
        <f>IF(COUNTIF($A118:$S118,"&lt;&gt;")=0,"",IF($F118="Gleichmäßig unter Beteiligten",IF(G118&lt;&gt;"Ja",0,IF(COUNTIF($H118:$L118,"Ja")=0,$D118-0,ROUND($D118/COUNTIF($G118:$L118,"Ja"),2))),IF($F118="Vereinbarte Beträge",IF(G118="Ja",M118,0),"")))</f>
      </c>
      <c r="U118" s="87" t="str">
        <f>IF(COUNTIF($A118:$S118,"&lt;&gt;")=0,"",IF($F118="Gleichmäßig unter Beteiligten",IF(H118&lt;&gt;"Ja",0,IF(COUNTIF($I118:$L118,"Ja")=0,$D118-SUM($T118:T118),ROUND($D118/COUNTIF($G118:$L118,"Ja"),2))),IF($F118="Vereinbarte Beträge",IF(H118="Ja",N118,0),"")))</f>
      </c>
      <c r="V118" s="87" t="str">
        <f>IF(COUNTIF($A118:$S118,"&lt;&gt;")=0,"",IF($F118="Gleichmäßig unter Beteiligten",IF(I118&lt;&gt;"Ja",0,IF(COUNTIF($J118:$L118,"Ja")=0,$D118-SUM($T118:U118),ROUND($D118/COUNTIF($G118:$L118,"Ja"),2))),IF($F118="Vereinbarte Beträge",IF(I118="Ja",O118,0),"")))</f>
      </c>
      <c r="W118" s="87" t="str">
        <f>IF(COUNTIF($A118:$S118,"&lt;&gt;")=0,"",IF($F118="Gleichmäßig unter Beteiligten",IF(J118&lt;&gt;"Ja",0,IF(COUNTIF($K118:$L118,"Ja")=0,$D118-SUM($T118:V118),ROUND($D118/COUNTIF($G118:$L118,"Ja"),2))),IF($F118="Vereinbarte Beträge",IF(J118="Ja",P118,0),"")))</f>
      </c>
      <c r="X118" s="87" t="str">
        <f>IF(COUNTIF($A118:$S118,"&lt;&gt;")=0,"",IF($F118="Gleichmäßig unter Beteiligten",IF(K118&lt;&gt;"Ja",0,IF(COUNTIF($L118:$L118,"Ja")=0,$D118-SUM($T118:W118),ROUND($D118/COUNTIF($G118:$L118,"Ja"),2))),IF($F118="Vereinbarte Beträge",IF(K118="Ja",Q118,0),"")))</f>
      </c>
      <c r="Y118" s="87" t="str">
        <f>IF(COUNTIF($A118:$S118,"&lt;&gt;")=0,"",IF($F118="Gleichmäßig unter Beteiligten",IF(L118&lt;&gt;"Ja",0,IF(0=0,$D118-SUM($T118:X118),ROUND($D118/COUNTIF($G118:$L118,"Ja"),2))),IF($F118="Vereinbarte Beträge",IF(L118="Ja",R118,0),"")))</f>
      </c>
      <c r="Z118" s="81" t="str">
        <f>IF(COUNTIF($A118:$S118,"&lt;&gt;")=0,"",IF(OR($D118="",$D118&lt;=0),"Trage einen Betrag größer als null ein.",IF($E118="","Wähle aus, wer bezahlt hat.",IF(COUNTIF($G118:$L118,"Ja")=0,"Wähle mindestens eine beteiligte Person aus.",IF($F118="Gleichmäßig unter Beteiligten","Geprüft",IF($F118="Vereinbarte Beträge",IF(OR(AND(G118="Ja",M118=""),AND(H118="Ja",N118=""),AND(I118="Ja",O118=""),AND(J118="Ja",P118=""),AND(K118="Ja",Q118=""),AND(L118="Ja",R118="")),"Trage die vereinbarten Beträge so ein, dass ihre Summe der Ausgabe entspricht.",IF(ABS(SUM($M118:$R118))&lt;0.005,"Trage die vereinbarten Beträge so ein, dass ihre Summe der Ausgabe entspricht.",IF(SUM($M118:$R118)&lt;$D118-0.005,"Bei der Aufteilung fehlen "&amp;ROUND($D118-SUM($M118:$R118),2)&amp;".",IF(SUM($M118:$R118)&gt;$D118+0.005,"Die Aufteilung übersteigt die Ausgabe um "&amp;ROUND(SUM($M118:$R118)-$D118,2)&amp;".","Geprüft")))),"Trage die vereinbarten Beträge so ein, dass ihre Summe der Ausgabe entspricht."))))))</f>
      </c>
    </row>
    <row r="119">
      <c r="A119" s="83"/>
      <c r="B119" s="57"/>
      <c r="C119" s="57"/>
      <c r="D119" s="85"/>
      <c r="E119" s="57"/>
      <c r="F119" s="57"/>
      <c r="G119" s="57"/>
      <c r="H119" s="57"/>
      <c r="I119" s="57"/>
      <c r="J119" s="57"/>
      <c r="K119" s="57"/>
      <c r="L119" s="57"/>
      <c r="M119" s="85"/>
      <c r="N119" s="85"/>
      <c r="O119" s="85"/>
      <c r="P119" s="85"/>
      <c r="Q119" s="85"/>
      <c r="R119" s="85"/>
      <c r="S119" s="57"/>
      <c r="T119" s="87" t="str">
        <f>IF(COUNTIF($A119:$S119,"&lt;&gt;")=0,"",IF($F119="Gleichmäßig unter Beteiligten",IF(G119&lt;&gt;"Ja",0,IF(COUNTIF($H119:$L119,"Ja")=0,$D119-0,ROUND($D119/COUNTIF($G119:$L119,"Ja"),2))),IF($F119="Vereinbarte Beträge",IF(G119="Ja",M119,0),"")))</f>
      </c>
      <c r="U119" s="87" t="str">
        <f>IF(COUNTIF($A119:$S119,"&lt;&gt;")=0,"",IF($F119="Gleichmäßig unter Beteiligten",IF(H119&lt;&gt;"Ja",0,IF(COUNTIF($I119:$L119,"Ja")=0,$D119-SUM($T119:T119),ROUND($D119/COUNTIF($G119:$L119,"Ja"),2))),IF($F119="Vereinbarte Beträge",IF(H119="Ja",N119,0),"")))</f>
      </c>
      <c r="V119" s="87" t="str">
        <f>IF(COUNTIF($A119:$S119,"&lt;&gt;")=0,"",IF($F119="Gleichmäßig unter Beteiligten",IF(I119&lt;&gt;"Ja",0,IF(COUNTIF($J119:$L119,"Ja")=0,$D119-SUM($T119:U119),ROUND($D119/COUNTIF($G119:$L119,"Ja"),2))),IF($F119="Vereinbarte Beträge",IF(I119="Ja",O119,0),"")))</f>
      </c>
      <c r="W119" s="87" t="str">
        <f>IF(COUNTIF($A119:$S119,"&lt;&gt;")=0,"",IF($F119="Gleichmäßig unter Beteiligten",IF(J119&lt;&gt;"Ja",0,IF(COUNTIF($K119:$L119,"Ja")=0,$D119-SUM($T119:V119),ROUND($D119/COUNTIF($G119:$L119,"Ja"),2))),IF($F119="Vereinbarte Beträge",IF(J119="Ja",P119,0),"")))</f>
      </c>
      <c r="X119" s="87" t="str">
        <f>IF(COUNTIF($A119:$S119,"&lt;&gt;")=0,"",IF($F119="Gleichmäßig unter Beteiligten",IF(K119&lt;&gt;"Ja",0,IF(COUNTIF($L119:$L119,"Ja")=0,$D119-SUM($T119:W119),ROUND($D119/COUNTIF($G119:$L119,"Ja"),2))),IF($F119="Vereinbarte Beträge",IF(K119="Ja",Q119,0),"")))</f>
      </c>
      <c r="Y119" s="87" t="str">
        <f>IF(COUNTIF($A119:$S119,"&lt;&gt;")=0,"",IF($F119="Gleichmäßig unter Beteiligten",IF(L119&lt;&gt;"Ja",0,IF(0=0,$D119-SUM($T119:X119),ROUND($D119/COUNTIF($G119:$L119,"Ja"),2))),IF($F119="Vereinbarte Beträge",IF(L119="Ja",R119,0),"")))</f>
      </c>
      <c r="Z119" s="81" t="str">
        <f>IF(COUNTIF($A119:$S119,"&lt;&gt;")=0,"",IF(OR($D119="",$D119&lt;=0),"Trage einen Betrag größer als null ein.",IF($E119="","Wähle aus, wer bezahlt hat.",IF(COUNTIF($G119:$L119,"Ja")=0,"Wähle mindestens eine beteiligte Person aus.",IF($F119="Gleichmäßig unter Beteiligten","Geprüft",IF($F119="Vereinbarte Beträge",IF(OR(AND(G119="Ja",M119=""),AND(H119="Ja",N119=""),AND(I119="Ja",O119=""),AND(J119="Ja",P119=""),AND(K119="Ja",Q119=""),AND(L119="Ja",R119="")),"Trage die vereinbarten Beträge so ein, dass ihre Summe der Ausgabe entspricht.",IF(ABS(SUM($M119:$R119))&lt;0.005,"Trage die vereinbarten Beträge so ein, dass ihre Summe der Ausgabe entspricht.",IF(SUM($M119:$R119)&lt;$D119-0.005,"Bei der Aufteilung fehlen "&amp;ROUND($D119-SUM($M119:$R119),2)&amp;".",IF(SUM($M119:$R119)&gt;$D119+0.005,"Die Aufteilung übersteigt die Ausgabe um "&amp;ROUND(SUM($M119:$R119)-$D119,2)&amp;".","Geprüft")))),"Trage die vereinbarten Beträge so ein, dass ihre Summe der Ausgabe entspricht."))))))</f>
      </c>
    </row>
    <row r="120">
      <c r="A120" s="83"/>
      <c r="B120" s="57"/>
      <c r="C120" s="57"/>
      <c r="D120" s="85"/>
      <c r="E120" s="57"/>
      <c r="F120" s="57"/>
      <c r="G120" s="57"/>
      <c r="H120" s="57"/>
      <c r="I120" s="57"/>
      <c r="J120" s="57"/>
      <c r="K120" s="57"/>
      <c r="L120" s="57"/>
      <c r="M120" s="85"/>
      <c r="N120" s="85"/>
      <c r="O120" s="85"/>
      <c r="P120" s="85"/>
      <c r="Q120" s="85"/>
      <c r="R120" s="85"/>
      <c r="S120" s="57"/>
      <c r="T120" s="87" t="str">
        <f>IF(COUNTIF($A120:$S120,"&lt;&gt;")=0,"",IF($F120="Gleichmäßig unter Beteiligten",IF(G120&lt;&gt;"Ja",0,IF(COUNTIF($H120:$L120,"Ja")=0,$D120-0,ROUND($D120/COUNTIF($G120:$L120,"Ja"),2))),IF($F120="Vereinbarte Beträge",IF(G120="Ja",M120,0),"")))</f>
      </c>
      <c r="U120" s="87" t="str">
        <f>IF(COUNTIF($A120:$S120,"&lt;&gt;")=0,"",IF($F120="Gleichmäßig unter Beteiligten",IF(H120&lt;&gt;"Ja",0,IF(COUNTIF($I120:$L120,"Ja")=0,$D120-SUM($T120:T120),ROUND($D120/COUNTIF($G120:$L120,"Ja"),2))),IF($F120="Vereinbarte Beträge",IF(H120="Ja",N120,0),"")))</f>
      </c>
      <c r="V120" s="87" t="str">
        <f>IF(COUNTIF($A120:$S120,"&lt;&gt;")=0,"",IF($F120="Gleichmäßig unter Beteiligten",IF(I120&lt;&gt;"Ja",0,IF(COUNTIF($J120:$L120,"Ja")=0,$D120-SUM($T120:U120),ROUND($D120/COUNTIF($G120:$L120,"Ja"),2))),IF($F120="Vereinbarte Beträge",IF(I120="Ja",O120,0),"")))</f>
      </c>
      <c r="W120" s="87" t="str">
        <f>IF(COUNTIF($A120:$S120,"&lt;&gt;")=0,"",IF($F120="Gleichmäßig unter Beteiligten",IF(J120&lt;&gt;"Ja",0,IF(COUNTIF($K120:$L120,"Ja")=0,$D120-SUM($T120:V120),ROUND($D120/COUNTIF($G120:$L120,"Ja"),2))),IF($F120="Vereinbarte Beträge",IF(J120="Ja",P120,0),"")))</f>
      </c>
      <c r="X120" s="87" t="str">
        <f>IF(COUNTIF($A120:$S120,"&lt;&gt;")=0,"",IF($F120="Gleichmäßig unter Beteiligten",IF(K120&lt;&gt;"Ja",0,IF(COUNTIF($L120:$L120,"Ja")=0,$D120-SUM($T120:W120),ROUND($D120/COUNTIF($G120:$L120,"Ja"),2))),IF($F120="Vereinbarte Beträge",IF(K120="Ja",Q120,0),"")))</f>
      </c>
      <c r="Y120" s="87" t="str">
        <f>IF(COUNTIF($A120:$S120,"&lt;&gt;")=0,"",IF($F120="Gleichmäßig unter Beteiligten",IF(L120&lt;&gt;"Ja",0,IF(0=0,$D120-SUM($T120:X120),ROUND($D120/COUNTIF($G120:$L120,"Ja"),2))),IF($F120="Vereinbarte Beträge",IF(L120="Ja",R120,0),"")))</f>
      </c>
      <c r="Z120" s="81" t="str">
        <f>IF(COUNTIF($A120:$S120,"&lt;&gt;")=0,"",IF(OR($D120="",$D120&lt;=0),"Trage einen Betrag größer als null ein.",IF($E120="","Wähle aus, wer bezahlt hat.",IF(COUNTIF($G120:$L120,"Ja")=0,"Wähle mindestens eine beteiligte Person aus.",IF($F120="Gleichmäßig unter Beteiligten","Geprüft",IF($F120="Vereinbarte Beträge",IF(OR(AND(G120="Ja",M120=""),AND(H120="Ja",N120=""),AND(I120="Ja",O120=""),AND(J120="Ja",P120=""),AND(K120="Ja",Q120=""),AND(L120="Ja",R120="")),"Trage die vereinbarten Beträge so ein, dass ihre Summe der Ausgabe entspricht.",IF(ABS(SUM($M120:$R120))&lt;0.005,"Trage die vereinbarten Beträge so ein, dass ihre Summe der Ausgabe entspricht.",IF(SUM($M120:$R120)&lt;$D120-0.005,"Bei der Aufteilung fehlen "&amp;ROUND($D120-SUM($M120:$R120),2)&amp;".",IF(SUM($M120:$R120)&gt;$D120+0.005,"Die Aufteilung übersteigt die Ausgabe um "&amp;ROUND(SUM($M120:$R120)-$D120,2)&amp;".","Geprüft")))),"Trage die vereinbarten Beträge so ein, dass ihre Summe der Ausgabe entspricht."))))))</f>
      </c>
    </row>
    <row r="121">
      <c r="A121" s="83"/>
      <c r="B121" s="57"/>
      <c r="C121" s="57"/>
      <c r="D121" s="85"/>
      <c r="E121" s="57"/>
      <c r="F121" s="57"/>
      <c r="G121" s="57"/>
      <c r="H121" s="57"/>
      <c r="I121" s="57"/>
      <c r="J121" s="57"/>
      <c r="K121" s="57"/>
      <c r="L121" s="57"/>
      <c r="M121" s="85"/>
      <c r="N121" s="85"/>
      <c r="O121" s="85"/>
      <c r="P121" s="85"/>
      <c r="Q121" s="85"/>
      <c r="R121" s="85"/>
      <c r="S121" s="57"/>
      <c r="T121" s="87" t="str">
        <f>IF(COUNTIF($A121:$S121,"&lt;&gt;")=0,"",IF($F121="Gleichmäßig unter Beteiligten",IF(G121&lt;&gt;"Ja",0,IF(COUNTIF($H121:$L121,"Ja")=0,$D121-0,ROUND($D121/COUNTIF($G121:$L121,"Ja"),2))),IF($F121="Vereinbarte Beträge",IF(G121="Ja",M121,0),"")))</f>
      </c>
      <c r="U121" s="87" t="str">
        <f>IF(COUNTIF($A121:$S121,"&lt;&gt;")=0,"",IF($F121="Gleichmäßig unter Beteiligten",IF(H121&lt;&gt;"Ja",0,IF(COUNTIF($I121:$L121,"Ja")=0,$D121-SUM($T121:T121),ROUND($D121/COUNTIF($G121:$L121,"Ja"),2))),IF($F121="Vereinbarte Beträge",IF(H121="Ja",N121,0),"")))</f>
      </c>
      <c r="V121" s="87" t="str">
        <f>IF(COUNTIF($A121:$S121,"&lt;&gt;")=0,"",IF($F121="Gleichmäßig unter Beteiligten",IF(I121&lt;&gt;"Ja",0,IF(COUNTIF($J121:$L121,"Ja")=0,$D121-SUM($T121:U121),ROUND($D121/COUNTIF($G121:$L121,"Ja"),2))),IF($F121="Vereinbarte Beträge",IF(I121="Ja",O121,0),"")))</f>
      </c>
      <c r="W121" s="87" t="str">
        <f>IF(COUNTIF($A121:$S121,"&lt;&gt;")=0,"",IF($F121="Gleichmäßig unter Beteiligten",IF(J121&lt;&gt;"Ja",0,IF(COUNTIF($K121:$L121,"Ja")=0,$D121-SUM($T121:V121),ROUND($D121/COUNTIF($G121:$L121,"Ja"),2))),IF($F121="Vereinbarte Beträge",IF(J121="Ja",P121,0),"")))</f>
      </c>
      <c r="X121" s="87" t="str">
        <f>IF(COUNTIF($A121:$S121,"&lt;&gt;")=0,"",IF($F121="Gleichmäßig unter Beteiligten",IF(K121&lt;&gt;"Ja",0,IF(COUNTIF($L121:$L121,"Ja")=0,$D121-SUM($T121:W121),ROUND($D121/COUNTIF($G121:$L121,"Ja"),2))),IF($F121="Vereinbarte Beträge",IF(K121="Ja",Q121,0),"")))</f>
      </c>
      <c r="Y121" s="87" t="str">
        <f>IF(COUNTIF($A121:$S121,"&lt;&gt;")=0,"",IF($F121="Gleichmäßig unter Beteiligten",IF(L121&lt;&gt;"Ja",0,IF(0=0,$D121-SUM($T121:X121),ROUND($D121/COUNTIF($G121:$L121,"Ja"),2))),IF($F121="Vereinbarte Beträge",IF(L121="Ja",R121,0),"")))</f>
      </c>
      <c r="Z121" s="81" t="str">
        <f>IF(COUNTIF($A121:$S121,"&lt;&gt;")=0,"",IF(OR($D121="",$D121&lt;=0),"Trage einen Betrag größer als null ein.",IF($E121="","Wähle aus, wer bezahlt hat.",IF(COUNTIF($G121:$L121,"Ja")=0,"Wähle mindestens eine beteiligte Person aus.",IF($F121="Gleichmäßig unter Beteiligten","Geprüft",IF($F121="Vereinbarte Beträge",IF(OR(AND(G121="Ja",M121=""),AND(H121="Ja",N121=""),AND(I121="Ja",O121=""),AND(J121="Ja",P121=""),AND(K121="Ja",Q121=""),AND(L121="Ja",R121="")),"Trage die vereinbarten Beträge so ein, dass ihre Summe der Ausgabe entspricht.",IF(ABS(SUM($M121:$R121))&lt;0.005,"Trage die vereinbarten Beträge so ein, dass ihre Summe der Ausgabe entspricht.",IF(SUM($M121:$R121)&lt;$D121-0.005,"Bei der Aufteilung fehlen "&amp;ROUND($D121-SUM($M121:$R121),2)&amp;".",IF(SUM($M121:$R121)&gt;$D121+0.005,"Die Aufteilung übersteigt die Ausgabe um "&amp;ROUND(SUM($M121:$R121)-$D121,2)&amp;".","Geprüft")))),"Trage die vereinbarten Beträge so ein, dass ihre Summe der Ausgabe entspricht."))))))</f>
      </c>
    </row>
    <row r="122">
      <c r="A122" s="83"/>
      <c r="B122" s="57"/>
      <c r="C122" s="57"/>
      <c r="D122" s="85"/>
      <c r="E122" s="57"/>
      <c r="F122" s="57"/>
      <c r="G122" s="57"/>
      <c r="H122" s="57"/>
      <c r="I122" s="57"/>
      <c r="J122" s="57"/>
      <c r="K122" s="57"/>
      <c r="L122" s="57"/>
      <c r="M122" s="85"/>
      <c r="N122" s="85"/>
      <c r="O122" s="85"/>
      <c r="P122" s="85"/>
      <c r="Q122" s="85"/>
      <c r="R122" s="85"/>
      <c r="S122" s="57"/>
      <c r="T122" s="87" t="str">
        <f>IF(COUNTIF($A122:$S122,"&lt;&gt;")=0,"",IF($F122="Gleichmäßig unter Beteiligten",IF(G122&lt;&gt;"Ja",0,IF(COUNTIF($H122:$L122,"Ja")=0,$D122-0,ROUND($D122/COUNTIF($G122:$L122,"Ja"),2))),IF($F122="Vereinbarte Beträge",IF(G122="Ja",M122,0),"")))</f>
      </c>
      <c r="U122" s="87" t="str">
        <f>IF(COUNTIF($A122:$S122,"&lt;&gt;")=0,"",IF($F122="Gleichmäßig unter Beteiligten",IF(H122&lt;&gt;"Ja",0,IF(COUNTIF($I122:$L122,"Ja")=0,$D122-SUM($T122:T122),ROUND($D122/COUNTIF($G122:$L122,"Ja"),2))),IF($F122="Vereinbarte Beträge",IF(H122="Ja",N122,0),"")))</f>
      </c>
      <c r="V122" s="87" t="str">
        <f>IF(COUNTIF($A122:$S122,"&lt;&gt;")=0,"",IF($F122="Gleichmäßig unter Beteiligten",IF(I122&lt;&gt;"Ja",0,IF(COUNTIF($J122:$L122,"Ja")=0,$D122-SUM($T122:U122),ROUND($D122/COUNTIF($G122:$L122,"Ja"),2))),IF($F122="Vereinbarte Beträge",IF(I122="Ja",O122,0),"")))</f>
      </c>
      <c r="W122" s="87" t="str">
        <f>IF(COUNTIF($A122:$S122,"&lt;&gt;")=0,"",IF($F122="Gleichmäßig unter Beteiligten",IF(J122&lt;&gt;"Ja",0,IF(COUNTIF($K122:$L122,"Ja")=0,$D122-SUM($T122:V122),ROUND($D122/COUNTIF($G122:$L122,"Ja"),2))),IF($F122="Vereinbarte Beträge",IF(J122="Ja",P122,0),"")))</f>
      </c>
      <c r="X122" s="87" t="str">
        <f>IF(COUNTIF($A122:$S122,"&lt;&gt;")=0,"",IF($F122="Gleichmäßig unter Beteiligten",IF(K122&lt;&gt;"Ja",0,IF(COUNTIF($L122:$L122,"Ja")=0,$D122-SUM($T122:W122),ROUND($D122/COUNTIF($G122:$L122,"Ja"),2))),IF($F122="Vereinbarte Beträge",IF(K122="Ja",Q122,0),"")))</f>
      </c>
      <c r="Y122" s="87" t="str">
        <f>IF(COUNTIF($A122:$S122,"&lt;&gt;")=0,"",IF($F122="Gleichmäßig unter Beteiligten",IF(L122&lt;&gt;"Ja",0,IF(0=0,$D122-SUM($T122:X122),ROUND($D122/COUNTIF($G122:$L122,"Ja"),2))),IF($F122="Vereinbarte Beträge",IF(L122="Ja",R122,0),"")))</f>
      </c>
      <c r="Z122" s="81" t="str">
        <f>IF(COUNTIF($A122:$S122,"&lt;&gt;")=0,"",IF(OR($D122="",$D122&lt;=0),"Trage einen Betrag größer als null ein.",IF($E122="","Wähle aus, wer bezahlt hat.",IF(COUNTIF($G122:$L122,"Ja")=0,"Wähle mindestens eine beteiligte Person aus.",IF($F122="Gleichmäßig unter Beteiligten","Geprüft",IF($F122="Vereinbarte Beträge",IF(OR(AND(G122="Ja",M122=""),AND(H122="Ja",N122=""),AND(I122="Ja",O122=""),AND(J122="Ja",P122=""),AND(K122="Ja",Q122=""),AND(L122="Ja",R122="")),"Trage die vereinbarten Beträge so ein, dass ihre Summe der Ausgabe entspricht.",IF(ABS(SUM($M122:$R122))&lt;0.005,"Trage die vereinbarten Beträge so ein, dass ihre Summe der Ausgabe entspricht.",IF(SUM($M122:$R122)&lt;$D122-0.005,"Bei der Aufteilung fehlen "&amp;ROUND($D122-SUM($M122:$R122),2)&amp;".",IF(SUM($M122:$R122)&gt;$D122+0.005,"Die Aufteilung übersteigt die Ausgabe um "&amp;ROUND(SUM($M122:$R122)-$D122,2)&amp;".","Geprüft")))),"Trage die vereinbarten Beträge so ein, dass ihre Summe der Ausgabe entspricht."))))))</f>
      </c>
    </row>
    <row r="123">
      <c r="A123" s="83"/>
      <c r="B123" s="57"/>
      <c r="C123" s="57"/>
      <c r="D123" s="85"/>
      <c r="E123" s="57"/>
      <c r="F123" s="57"/>
      <c r="G123" s="57"/>
      <c r="H123" s="57"/>
      <c r="I123" s="57"/>
      <c r="J123" s="57"/>
      <c r="K123" s="57"/>
      <c r="L123" s="57"/>
      <c r="M123" s="85"/>
      <c r="N123" s="85"/>
      <c r="O123" s="85"/>
      <c r="P123" s="85"/>
      <c r="Q123" s="85"/>
      <c r="R123" s="85"/>
      <c r="S123" s="57"/>
      <c r="T123" s="87" t="str">
        <f>IF(COUNTIF($A123:$S123,"&lt;&gt;")=0,"",IF($F123="Gleichmäßig unter Beteiligten",IF(G123&lt;&gt;"Ja",0,IF(COUNTIF($H123:$L123,"Ja")=0,$D123-0,ROUND($D123/COUNTIF($G123:$L123,"Ja"),2))),IF($F123="Vereinbarte Beträge",IF(G123="Ja",M123,0),"")))</f>
      </c>
      <c r="U123" s="87" t="str">
        <f>IF(COUNTIF($A123:$S123,"&lt;&gt;")=0,"",IF($F123="Gleichmäßig unter Beteiligten",IF(H123&lt;&gt;"Ja",0,IF(COUNTIF($I123:$L123,"Ja")=0,$D123-SUM($T123:T123),ROUND($D123/COUNTIF($G123:$L123,"Ja"),2))),IF($F123="Vereinbarte Beträge",IF(H123="Ja",N123,0),"")))</f>
      </c>
      <c r="V123" s="87" t="str">
        <f>IF(COUNTIF($A123:$S123,"&lt;&gt;")=0,"",IF($F123="Gleichmäßig unter Beteiligten",IF(I123&lt;&gt;"Ja",0,IF(COUNTIF($J123:$L123,"Ja")=0,$D123-SUM($T123:U123),ROUND($D123/COUNTIF($G123:$L123,"Ja"),2))),IF($F123="Vereinbarte Beträge",IF(I123="Ja",O123,0),"")))</f>
      </c>
      <c r="W123" s="87" t="str">
        <f>IF(COUNTIF($A123:$S123,"&lt;&gt;")=0,"",IF($F123="Gleichmäßig unter Beteiligten",IF(J123&lt;&gt;"Ja",0,IF(COUNTIF($K123:$L123,"Ja")=0,$D123-SUM($T123:V123),ROUND($D123/COUNTIF($G123:$L123,"Ja"),2))),IF($F123="Vereinbarte Beträge",IF(J123="Ja",P123,0),"")))</f>
      </c>
      <c r="X123" s="87" t="str">
        <f>IF(COUNTIF($A123:$S123,"&lt;&gt;")=0,"",IF($F123="Gleichmäßig unter Beteiligten",IF(K123&lt;&gt;"Ja",0,IF(COUNTIF($L123:$L123,"Ja")=0,$D123-SUM($T123:W123),ROUND($D123/COUNTIF($G123:$L123,"Ja"),2))),IF($F123="Vereinbarte Beträge",IF(K123="Ja",Q123,0),"")))</f>
      </c>
      <c r="Y123" s="87" t="str">
        <f>IF(COUNTIF($A123:$S123,"&lt;&gt;")=0,"",IF($F123="Gleichmäßig unter Beteiligten",IF(L123&lt;&gt;"Ja",0,IF(0=0,$D123-SUM($T123:X123),ROUND($D123/COUNTIF($G123:$L123,"Ja"),2))),IF($F123="Vereinbarte Beträge",IF(L123="Ja",R123,0),"")))</f>
      </c>
      <c r="Z123" s="81" t="str">
        <f>IF(COUNTIF($A123:$S123,"&lt;&gt;")=0,"",IF(OR($D123="",$D123&lt;=0),"Trage einen Betrag größer als null ein.",IF($E123="","Wähle aus, wer bezahlt hat.",IF(COUNTIF($G123:$L123,"Ja")=0,"Wähle mindestens eine beteiligte Person aus.",IF($F123="Gleichmäßig unter Beteiligten","Geprüft",IF($F123="Vereinbarte Beträge",IF(OR(AND(G123="Ja",M123=""),AND(H123="Ja",N123=""),AND(I123="Ja",O123=""),AND(J123="Ja",P123=""),AND(K123="Ja",Q123=""),AND(L123="Ja",R123="")),"Trage die vereinbarten Beträge so ein, dass ihre Summe der Ausgabe entspricht.",IF(ABS(SUM($M123:$R123))&lt;0.005,"Trage die vereinbarten Beträge so ein, dass ihre Summe der Ausgabe entspricht.",IF(SUM($M123:$R123)&lt;$D123-0.005,"Bei der Aufteilung fehlen "&amp;ROUND($D123-SUM($M123:$R123),2)&amp;".",IF(SUM($M123:$R123)&gt;$D123+0.005,"Die Aufteilung übersteigt die Ausgabe um "&amp;ROUND(SUM($M123:$R123)-$D123,2)&amp;".","Geprüft")))),"Trage die vereinbarten Beträge so ein, dass ihre Summe der Ausgabe entspricht."))))))</f>
      </c>
    </row>
    <row r="124">
      <c r="A124" s="83"/>
      <c r="B124" s="57"/>
      <c r="C124" s="57"/>
      <c r="D124" s="85"/>
      <c r="E124" s="57"/>
      <c r="F124" s="57"/>
      <c r="G124" s="57"/>
      <c r="H124" s="57"/>
      <c r="I124" s="57"/>
      <c r="J124" s="57"/>
      <c r="K124" s="57"/>
      <c r="L124" s="57"/>
      <c r="M124" s="85"/>
      <c r="N124" s="85"/>
      <c r="O124" s="85"/>
      <c r="P124" s="85"/>
      <c r="Q124" s="85"/>
      <c r="R124" s="85"/>
      <c r="S124" s="57"/>
      <c r="T124" s="87" t="str">
        <f>IF(COUNTIF($A124:$S124,"&lt;&gt;")=0,"",IF($F124="Gleichmäßig unter Beteiligten",IF(G124&lt;&gt;"Ja",0,IF(COUNTIF($H124:$L124,"Ja")=0,$D124-0,ROUND($D124/COUNTIF($G124:$L124,"Ja"),2))),IF($F124="Vereinbarte Beträge",IF(G124="Ja",M124,0),"")))</f>
      </c>
      <c r="U124" s="87" t="str">
        <f>IF(COUNTIF($A124:$S124,"&lt;&gt;")=0,"",IF($F124="Gleichmäßig unter Beteiligten",IF(H124&lt;&gt;"Ja",0,IF(COUNTIF($I124:$L124,"Ja")=0,$D124-SUM($T124:T124),ROUND($D124/COUNTIF($G124:$L124,"Ja"),2))),IF($F124="Vereinbarte Beträge",IF(H124="Ja",N124,0),"")))</f>
      </c>
      <c r="V124" s="87" t="str">
        <f>IF(COUNTIF($A124:$S124,"&lt;&gt;")=0,"",IF($F124="Gleichmäßig unter Beteiligten",IF(I124&lt;&gt;"Ja",0,IF(COUNTIF($J124:$L124,"Ja")=0,$D124-SUM($T124:U124),ROUND($D124/COUNTIF($G124:$L124,"Ja"),2))),IF($F124="Vereinbarte Beträge",IF(I124="Ja",O124,0),"")))</f>
      </c>
      <c r="W124" s="87" t="str">
        <f>IF(COUNTIF($A124:$S124,"&lt;&gt;")=0,"",IF($F124="Gleichmäßig unter Beteiligten",IF(J124&lt;&gt;"Ja",0,IF(COUNTIF($K124:$L124,"Ja")=0,$D124-SUM($T124:V124),ROUND($D124/COUNTIF($G124:$L124,"Ja"),2))),IF($F124="Vereinbarte Beträge",IF(J124="Ja",P124,0),"")))</f>
      </c>
      <c r="X124" s="87" t="str">
        <f>IF(COUNTIF($A124:$S124,"&lt;&gt;")=0,"",IF($F124="Gleichmäßig unter Beteiligten",IF(K124&lt;&gt;"Ja",0,IF(COUNTIF($L124:$L124,"Ja")=0,$D124-SUM($T124:W124),ROUND($D124/COUNTIF($G124:$L124,"Ja"),2))),IF($F124="Vereinbarte Beträge",IF(K124="Ja",Q124,0),"")))</f>
      </c>
      <c r="Y124" s="87" t="str">
        <f>IF(COUNTIF($A124:$S124,"&lt;&gt;")=0,"",IF($F124="Gleichmäßig unter Beteiligten",IF(L124&lt;&gt;"Ja",0,IF(0=0,$D124-SUM($T124:X124),ROUND($D124/COUNTIF($G124:$L124,"Ja"),2))),IF($F124="Vereinbarte Beträge",IF(L124="Ja",R124,0),"")))</f>
      </c>
      <c r="Z124" s="81" t="str">
        <f>IF(COUNTIF($A124:$S124,"&lt;&gt;")=0,"",IF(OR($D124="",$D124&lt;=0),"Trage einen Betrag größer als null ein.",IF($E124="","Wähle aus, wer bezahlt hat.",IF(COUNTIF($G124:$L124,"Ja")=0,"Wähle mindestens eine beteiligte Person aus.",IF($F124="Gleichmäßig unter Beteiligten","Geprüft",IF($F124="Vereinbarte Beträge",IF(OR(AND(G124="Ja",M124=""),AND(H124="Ja",N124=""),AND(I124="Ja",O124=""),AND(J124="Ja",P124=""),AND(K124="Ja",Q124=""),AND(L124="Ja",R124="")),"Trage die vereinbarten Beträge so ein, dass ihre Summe der Ausgabe entspricht.",IF(ABS(SUM($M124:$R124))&lt;0.005,"Trage die vereinbarten Beträge so ein, dass ihre Summe der Ausgabe entspricht.",IF(SUM($M124:$R124)&lt;$D124-0.005,"Bei der Aufteilung fehlen "&amp;ROUND($D124-SUM($M124:$R124),2)&amp;".",IF(SUM($M124:$R124)&gt;$D124+0.005,"Die Aufteilung übersteigt die Ausgabe um "&amp;ROUND(SUM($M124:$R124)-$D124,2)&amp;".","Geprüft")))),"Trage die vereinbarten Beträge so ein, dass ihre Summe der Ausgabe entspricht."))))))</f>
      </c>
    </row>
    <row r="125">
      <c r="A125" s="83"/>
      <c r="B125" s="57"/>
      <c r="C125" s="57"/>
      <c r="D125" s="85"/>
      <c r="E125" s="57"/>
      <c r="F125" s="57"/>
      <c r="G125" s="57"/>
      <c r="H125" s="57"/>
      <c r="I125" s="57"/>
      <c r="J125" s="57"/>
      <c r="K125" s="57"/>
      <c r="L125" s="57"/>
      <c r="M125" s="85"/>
      <c r="N125" s="85"/>
      <c r="O125" s="85"/>
      <c r="P125" s="85"/>
      <c r="Q125" s="85"/>
      <c r="R125" s="85"/>
      <c r="S125" s="57"/>
      <c r="T125" s="87" t="str">
        <f>IF(COUNTIF($A125:$S125,"&lt;&gt;")=0,"",IF($F125="Gleichmäßig unter Beteiligten",IF(G125&lt;&gt;"Ja",0,IF(COUNTIF($H125:$L125,"Ja")=0,$D125-0,ROUND($D125/COUNTIF($G125:$L125,"Ja"),2))),IF($F125="Vereinbarte Beträge",IF(G125="Ja",M125,0),"")))</f>
      </c>
      <c r="U125" s="87" t="str">
        <f>IF(COUNTIF($A125:$S125,"&lt;&gt;")=0,"",IF($F125="Gleichmäßig unter Beteiligten",IF(H125&lt;&gt;"Ja",0,IF(COUNTIF($I125:$L125,"Ja")=0,$D125-SUM($T125:T125),ROUND($D125/COUNTIF($G125:$L125,"Ja"),2))),IF($F125="Vereinbarte Beträge",IF(H125="Ja",N125,0),"")))</f>
      </c>
      <c r="V125" s="87" t="str">
        <f>IF(COUNTIF($A125:$S125,"&lt;&gt;")=0,"",IF($F125="Gleichmäßig unter Beteiligten",IF(I125&lt;&gt;"Ja",0,IF(COUNTIF($J125:$L125,"Ja")=0,$D125-SUM($T125:U125),ROUND($D125/COUNTIF($G125:$L125,"Ja"),2))),IF($F125="Vereinbarte Beträge",IF(I125="Ja",O125,0),"")))</f>
      </c>
      <c r="W125" s="87" t="str">
        <f>IF(COUNTIF($A125:$S125,"&lt;&gt;")=0,"",IF($F125="Gleichmäßig unter Beteiligten",IF(J125&lt;&gt;"Ja",0,IF(COUNTIF($K125:$L125,"Ja")=0,$D125-SUM($T125:V125),ROUND($D125/COUNTIF($G125:$L125,"Ja"),2))),IF($F125="Vereinbarte Beträge",IF(J125="Ja",P125,0),"")))</f>
      </c>
      <c r="X125" s="87" t="str">
        <f>IF(COUNTIF($A125:$S125,"&lt;&gt;")=0,"",IF($F125="Gleichmäßig unter Beteiligten",IF(K125&lt;&gt;"Ja",0,IF(COUNTIF($L125:$L125,"Ja")=0,$D125-SUM($T125:W125),ROUND($D125/COUNTIF($G125:$L125,"Ja"),2))),IF($F125="Vereinbarte Beträge",IF(K125="Ja",Q125,0),"")))</f>
      </c>
      <c r="Y125" s="87" t="str">
        <f>IF(COUNTIF($A125:$S125,"&lt;&gt;")=0,"",IF($F125="Gleichmäßig unter Beteiligten",IF(L125&lt;&gt;"Ja",0,IF(0=0,$D125-SUM($T125:X125),ROUND($D125/COUNTIF($G125:$L125,"Ja"),2))),IF($F125="Vereinbarte Beträge",IF(L125="Ja",R125,0),"")))</f>
      </c>
      <c r="Z125" s="81" t="str">
        <f>IF(COUNTIF($A125:$S125,"&lt;&gt;")=0,"",IF(OR($D125="",$D125&lt;=0),"Trage einen Betrag größer als null ein.",IF($E125="","Wähle aus, wer bezahlt hat.",IF(COUNTIF($G125:$L125,"Ja")=0,"Wähle mindestens eine beteiligte Person aus.",IF($F125="Gleichmäßig unter Beteiligten","Geprüft",IF($F125="Vereinbarte Beträge",IF(OR(AND(G125="Ja",M125=""),AND(H125="Ja",N125=""),AND(I125="Ja",O125=""),AND(J125="Ja",P125=""),AND(K125="Ja",Q125=""),AND(L125="Ja",R125="")),"Trage die vereinbarten Beträge so ein, dass ihre Summe der Ausgabe entspricht.",IF(ABS(SUM($M125:$R125))&lt;0.005,"Trage die vereinbarten Beträge so ein, dass ihre Summe der Ausgabe entspricht.",IF(SUM($M125:$R125)&lt;$D125-0.005,"Bei der Aufteilung fehlen "&amp;ROUND($D125-SUM($M125:$R125),2)&amp;".",IF(SUM($M125:$R125)&gt;$D125+0.005,"Die Aufteilung übersteigt die Ausgabe um "&amp;ROUND(SUM($M125:$R125)-$D125,2)&amp;".","Geprüft")))),"Trage die vereinbarten Beträge so ein, dass ihre Summe der Ausgabe entspricht."))))))</f>
      </c>
    </row>
    <row r="126">
      <c r="A126" s="83"/>
      <c r="B126" s="57"/>
      <c r="C126" s="57"/>
      <c r="D126" s="85"/>
      <c r="E126" s="57"/>
      <c r="F126" s="57"/>
      <c r="G126" s="57"/>
      <c r="H126" s="57"/>
      <c r="I126" s="57"/>
      <c r="J126" s="57"/>
      <c r="K126" s="57"/>
      <c r="L126" s="57"/>
      <c r="M126" s="85"/>
      <c r="N126" s="85"/>
      <c r="O126" s="85"/>
      <c r="P126" s="85"/>
      <c r="Q126" s="85"/>
      <c r="R126" s="85"/>
      <c r="S126" s="57"/>
      <c r="T126" s="87" t="str">
        <f>IF(COUNTIF($A126:$S126,"&lt;&gt;")=0,"",IF($F126="Gleichmäßig unter Beteiligten",IF(G126&lt;&gt;"Ja",0,IF(COUNTIF($H126:$L126,"Ja")=0,$D126-0,ROUND($D126/COUNTIF($G126:$L126,"Ja"),2))),IF($F126="Vereinbarte Beträge",IF(G126="Ja",M126,0),"")))</f>
      </c>
      <c r="U126" s="87" t="str">
        <f>IF(COUNTIF($A126:$S126,"&lt;&gt;")=0,"",IF($F126="Gleichmäßig unter Beteiligten",IF(H126&lt;&gt;"Ja",0,IF(COUNTIF($I126:$L126,"Ja")=0,$D126-SUM($T126:T126),ROUND($D126/COUNTIF($G126:$L126,"Ja"),2))),IF($F126="Vereinbarte Beträge",IF(H126="Ja",N126,0),"")))</f>
      </c>
      <c r="V126" s="87" t="str">
        <f>IF(COUNTIF($A126:$S126,"&lt;&gt;")=0,"",IF($F126="Gleichmäßig unter Beteiligten",IF(I126&lt;&gt;"Ja",0,IF(COUNTIF($J126:$L126,"Ja")=0,$D126-SUM($T126:U126),ROUND($D126/COUNTIF($G126:$L126,"Ja"),2))),IF($F126="Vereinbarte Beträge",IF(I126="Ja",O126,0),"")))</f>
      </c>
      <c r="W126" s="87" t="str">
        <f>IF(COUNTIF($A126:$S126,"&lt;&gt;")=0,"",IF($F126="Gleichmäßig unter Beteiligten",IF(J126&lt;&gt;"Ja",0,IF(COUNTIF($K126:$L126,"Ja")=0,$D126-SUM($T126:V126),ROUND($D126/COUNTIF($G126:$L126,"Ja"),2))),IF($F126="Vereinbarte Beträge",IF(J126="Ja",P126,0),"")))</f>
      </c>
      <c r="X126" s="87" t="str">
        <f>IF(COUNTIF($A126:$S126,"&lt;&gt;")=0,"",IF($F126="Gleichmäßig unter Beteiligten",IF(K126&lt;&gt;"Ja",0,IF(COUNTIF($L126:$L126,"Ja")=0,$D126-SUM($T126:W126),ROUND($D126/COUNTIF($G126:$L126,"Ja"),2))),IF($F126="Vereinbarte Beträge",IF(K126="Ja",Q126,0),"")))</f>
      </c>
      <c r="Y126" s="87" t="str">
        <f>IF(COUNTIF($A126:$S126,"&lt;&gt;")=0,"",IF($F126="Gleichmäßig unter Beteiligten",IF(L126&lt;&gt;"Ja",0,IF(0=0,$D126-SUM($T126:X126),ROUND($D126/COUNTIF($G126:$L126,"Ja"),2))),IF($F126="Vereinbarte Beträge",IF(L126="Ja",R126,0),"")))</f>
      </c>
      <c r="Z126" s="81" t="str">
        <f>IF(COUNTIF($A126:$S126,"&lt;&gt;")=0,"",IF(OR($D126="",$D126&lt;=0),"Trage einen Betrag größer als null ein.",IF($E126="","Wähle aus, wer bezahlt hat.",IF(COUNTIF($G126:$L126,"Ja")=0,"Wähle mindestens eine beteiligte Person aus.",IF($F126="Gleichmäßig unter Beteiligten","Geprüft",IF($F126="Vereinbarte Beträge",IF(OR(AND(G126="Ja",M126=""),AND(H126="Ja",N126=""),AND(I126="Ja",O126=""),AND(J126="Ja",P126=""),AND(K126="Ja",Q126=""),AND(L126="Ja",R126="")),"Trage die vereinbarten Beträge so ein, dass ihre Summe der Ausgabe entspricht.",IF(ABS(SUM($M126:$R126))&lt;0.005,"Trage die vereinbarten Beträge so ein, dass ihre Summe der Ausgabe entspricht.",IF(SUM($M126:$R126)&lt;$D126-0.005,"Bei der Aufteilung fehlen "&amp;ROUND($D126-SUM($M126:$R126),2)&amp;".",IF(SUM($M126:$R126)&gt;$D126+0.005,"Die Aufteilung übersteigt die Ausgabe um "&amp;ROUND(SUM($M126:$R126)-$D126,2)&amp;".","Geprüft")))),"Trage die vereinbarten Beträge so ein, dass ihre Summe der Ausgabe entspricht."))))))</f>
      </c>
    </row>
    <row r="127">
      <c r="A127" s="83"/>
      <c r="B127" s="57"/>
      <c r="C127" s="57"/>
      <c r="D127" s="85"/>
      <c r="E127" s="57"/>
      <c r="F127" s="57"/>
      <c r="G127" s="57"/>
      <c r="H127" s="57"/>
      <c r="I127" s="57"/>
      <c r="J127" s="57"/>
      <c r="K127" s="57"/>
      <c r="L127" s="57"/>
      <c r="M127" s="85"/>
      <c r="N127" s="85"/>
      <c r="O127" s="85"/>
      <c r="P127" s="85"/>
      <c r="Q127" s="85"/>
      <c r="R127" s="85"/>
      <c r="S127" s="57"/>
      <c r="T127" s="87" t="str">
        <f>IF(COUNTIF($A127:$S127,"&lt;&gt;")=0,"",IF($F127="Gleichmäßig unter Beteiligten",IF(G127&lt;&gt;"Ja",0,IF(COUNTIF($H127:$L127,"Ja")=0,$D127-0,ROUND($D127/COUNTIF($G127:$L127,"Ja"),2))),IF($F127="Vereinbarte Beträge",IF(G127="Ja",M127,0),"")))</f>
      </c>
      <c r="U127" s="87" t="str">
        <f>IF(COUNTIF($A127:$S127,"&lt;&gt;")=0,"",IF($F127="Gleichmäßig unter Beteiligten",IF(H127&lt;&gt;"Ja",0,IF(COUNTIF($I127:$L127,"Ja")=0,$D127-SUM($T127:T127),ROUND($D127/COUNTIF($G127:$L127,"Ja"),2))),IF($F127="Vereinbarte Beträge",IF(H127="Ja",N127,0),"")))</f>
      </c>
      <c r="V127" s="87" t="str">
        <f>IF(COUNTIF($A127:$S127,"&lt;&gt;")=0,"",IF($F127="Gleichmäßig unter Beteiligten",IF(I127&lt;&gt;"Ja",0,IF(COUNTIF($J127:$L127,"Ja")=0,$D127-SUM($T127:U127),ROUND($D127/COUNTIF($G127:$L127,"Ja"),2))),IF($F127="Vereinbarte Beträge",IF(I127="Ja",O127,0),"")))</f>
      </c>
      <c r="W127" s="87" t="str">
        <f>IF(COUNTIF($A127:$S127,"&lt;&gt;")=0,"",IF($F127="Gleichmäßig unter Beteiligten",IF(J127&lt;&gt;"Ja",0,IF(COUNTIF($K127:$L127,"Ja")=0,$D127-SUM($T127:V127),ROUND($D127/COUNTIF($G127:$L127,"Ja"),2))),IF($F127="Vereinbarte Beträge",IF(J127="Ja",P127,0),"")))</f>
      </c>
      <c r="X127" s="87" t="str">
        <f>IF(COUNTIF($A127:$S127,"&lt;&gt;")=0,"",IF($F127="Gleichmäßig unter Beteiligten",IF(K127&lt;&gt;"Ja",0,IF(COUNTIF($L127:$L127,"Ja")=0,$D127-SUM($T127:W127),ROUND($D127/COUNTIF($G127:$L127,"Ja"),2))),IF($F127="Vereinbarte Beträge",IF(K127="Ja",Q127,0),"")))</f>
      </c>
      <c r="Y127" s="87" t="str">
        <f>IF(COUNTIF($A127:$S127,"&lt;&gt;")=0,"",IF($F127="Gleichmäßig unter Beteiligten",IF(L127&lt;&gt;"Ja",0,IF(0=0,$D127-SUM($T127:X127),ROUND($D127/COUNTIF($G127:$L127,"Ja"),2))),IF($F127="Vereinbarte Beträge",IF(L127="Ja",R127,0),"")))</f>
      </c>
      <c r="Z127" s="81" t="str">
        <f>IF(COUNTIF($A127:$S127,"&lt;&gt;")=0,"",IF(OR($D127="",$D127&lt;=0),"Trage einen Betrag größer als null ein.",IF($E127="","Wähle aus, wer bezahlt hat.",IF(COUNTIF($G127:$L127,"Ja")=0,"Wähle mindestens eine beteiligte Person aus.",IF($F127="Gleichmäßig unter Beteiligten","Geprüft",IF($F127="Vereinbarte Beträge",IF(OR(AND(G127="Ja",M127=""),AND(H127="Ja",N127=""),AND(I127="Ja",O127=""),AND(J127="Ja",P127=""),AND(K127="Ja",Q127=""),AND(L127="Ja",R127="")),"Trage die vereinbarten Beträge so ein, dass ihre Summe der Ausgabe entspricht.",IF(ABS(SUM($M127:$R127))&lt;0.005,"Trage die vereinbarten Beträge so ein, dass ihre Summe der Ausgabe entspricht.",IF(SUM($M127:$R127)&lt;$D127-0.005,"Bei der Aufteilung fehlen "&amp;ROUND($D127-SUM($M127:$R127),2)&amp;".",IF(SUM($M127:$R127)&gt;$D127+0.005,"Die Aufteilung übersteigt die Ausgabe um "&amp;ROUND(SUM($M127:$R127)-$D127,2)&amp;".","Geprüft")))),"Trage die vereinbarten Beträge so ein, dass ihre Summe der Ausgabe entspricht."))))))</f>
      </c>
    </row>
    <row r="128">
      <c r="A128" s="83"/>
      <c r="B128" s="57"/>
      <c r="C128" s="57"/>
      <c r="D128" s="85"/>
      <c r="E128" s="57"/>
      <c r="F128" s="57"/>
      <c r="G128" s="57"/>
      <c r="H128" s="57"/>
      <c r="I128" s="57"/>
      <c r="J128" s="57"/>
      <c r="K128" s="57"/>
      <c r="L128" s="57"/>
      <c r="M128" s="85"/>
      <c r="N128" s="85"/>
      <c r="O128" s="85"/>
      <c r="P128" s="85"/>
      <c r="Q128" s="85"/>
      <c r="R128" s="85"/>
      <c r="S128" s="57"/>
      <c r="T128" s="87" t="str">
        <f>IF(COUNTIF($A128:$S128,"&lt;&gt;")=0,"",IF($F128="Gleichmäßig unter Beteiligten",IF(G128&lt;&gt;"Ja",0,IF(COUNTIF($H128:$L128,"Ja")=0,$D128-0,ROUND($D128/COUNTIF($G128:$L128,"Ja"),2))),IF($F128="Vereinbarte Beträge",IF(G128="Ja",M128,0),"")))</f>
      </c>
      <c r="U128" s="87" t="str">
        <f>IF(COUNTIF($A128:$S128,"&lt;&gt;")=0,"",IF($F128="Gleichmäßig unter Beteiligten",IF(H128&lt;&gt;"Ja",0,IF(COUNTIF($I128:$L128,"Ja")=0,$D128-SUM($T128:T128),ROUND($D128/COUNTIF($G128:$L128,"Ja"),2))),IF($F128="Vereinbarte Beträge",IF(H128="Ja",N128,0),"")))</f>
      </c>
      <c r="V128" s="87" t="str">
        <f>IF(COUNTIF($A128:$S128,"&lt;&gt;")=0,"",IF($F128="Gleichmäßig unter Beteiligten",IF(I128&lt;&gt;"Ja",0,IF(COUNTIF($J128:$L128,"Ja")=0,$D128-SUM($T128:U128),ROUND($D128/COUNTIF($G128:$L128,"Ja"),2))),IF($F128="Vereinbarte Beträge",IF(I128="Ja",O128,0),"")))</f>
      </c>
      <c r="W128" s="87" t="str">
        <f>IF(COUNTIF($A128:$S128,"&lt;&gt;")=0,"",IF($F128="Gleichmäßig unter Beteiligten",IF(J128&lt;&gt;"Ja",0,IF(COUNTIF($K128:$L128,"Ja")=0,$D128-SUM($T128:V128),ROUND($D128/COUNTIF($G128:$L128,"Ja"),2))),IF($F128="Vereinbarte Beträge",IF(J128="Ja",P128,0),"")))</f>
      </c>
      <c r="X128" s="87" t="str">
        <f>IF(COUNTIF($A128:$S128,"&lt;&gt;")=0,"",IF($F128="Gleichmäßig unter Beteiligten",IF(K128&lt;&gt;"Ja",0,IF(COUNTIF($L128:$L128,"Ja")=0,$D128-SUM($T128:W128),ROUND($D128/COUNTIF($G128:$L128,"Ja"),2))),IF($F128="Vereinbarte Beträge",IF(K128="Ja",Q128,0),"")))</f>
      </c>
      <c r="Y128" s="87" t="str">
        <f>IF(COUNTIF($A128:$S128,"&lt;&gt;")=0,"",IF($F128="Gleichmäßig unter Beteiligten",IF(L128&lt;&gt;"Ja",0,IF(0=0,$D128-SUM($T128:X128),ROUND($D128/COUNTIF($G128:$L128,"Ja"),2))),IF($F128="Vereinbarte Beträge",IF(L128="Ja",R128,0),"")))</f>
      </c>
      <c r="Z128" s="81" t="str">
        <f>IF(COUNTIF($A128:$S128,"&lt;&gt;")=0,"",IF(OR($D128="",$D128&lt;=0),"Trage einen Betrag größer als null ein.",IF($E128="","Wähle aus, wer bezahlt hat.",IF(COUNTIF($G128:$L128,"Ja")=0,"Wähle mindestens eine beteiligte Person aus.",IF($F128="Gleichmäßig unter Beteiligten","Geprüft",IF($F128="Vereinbarte Beträge",IF(OR(AND(G128="Ja",M128=""),AND(H128="Ja",N128=""),AND(I128="Ja",O128=""),AND(J128="Ja",P128=""),AND(K128="Ja",Q128=""),AND(L128="Ja",R128="")),"Trage die vereinbarten Beträge so ein, dass ihre Summe der Ausgabe entspricht.",IF(ABS(SUM($M128:$R128))&lt;0.005,"Trage die vereinbarten Beträge so ein, dass ihre Summe der Ausgabe entspricht.",IF(SUM($M128:$R128)&lt;$D128-0.005,"Bei der Aufteilung fehlen "&amp;ROUND($D128-SUM($M128:$R128),2)&amp;".",IF(SUM($M128:$R128)&gt;$D128+0.005,"Die Aufteilung übersteigt die Ausgabe um "&amp;ROUND(SUM($M128:$R128)-$D128,2)&amp;".","Geprüft")))),"Trage die vereinbarten Beträge so ein, dass ihre Summe der Ausgabe entspricht."))))))</f>
      </c>
    </row>
    <row r="129">
      <c r="A129" s="83"/>
      <c r="B129" s="57"/>
      <c r="C129" s="57"/>
      <c r="D129" s="85"/>
      <c r="E129" s="57"/>
      <c r="F129" s="57"/>
      <c r="G129" s="57"/>
      <c r="H129" s="57"/>
      <c r="I129" s="57"/>
      <c r="J129" s="57"/>
      <c r="K129" s="57"/>
      <c r="L129" s="57"/>
      <c r="M129" s="85"/>
      <c r="N129" s="85"/>
      <c r="O129" s="85"/>
      <c r="P129" s="85"/>
      <c r="Q129" s="85"/>
      <c r="R129" s="85"/>
      <c r="S129" s="57"/>
      <c r="T129" s="87" t="str">
        <f>IF(COUNTIF($A129:$S129,"&lt;&gt;")=0,"",IF($F129="Gleichmäßig unter Beteiligten",IF(G129&lt;&gt;"Ja",0,IF(COUNTIF($H129:$L129,"Ja")=0,$D129-0,ROUND($D129/COUNTIF($G129:$L129,"Ja"),2))),IF($F129="Vereinbarte Beträge",IF(G129="Ja",M129,0),"")))</f>
      </c>
      <c r="U129" s="87" t="str">
        <f>IF(COUNTIF($A129:$S129,"&lt;&gt;")=0,"",IF($F129="Gleichmäßig unter Beteiligten",IF(H129&lt;&gt;"Ja",0,IF(COUNTIF($I129:$L129,"Ja")=0,$D129-SUM($T129:T129),ROUND($D129/COUNTIF($G129:$L129,"Ja"),2))),IF($F129="Vereinbarte Beträge",IF(H129="Ja",N129,0),"")))</f>
      </c>
      <c r="V129" s="87" t="str">
        <f>IF(COUNTIF($A129:$S129,"&lt;&gt;")=0,"",IF($F129="Gleichmäßig unter Beteiligten",IF(I129&lt;&gt;"Ja",0,IF(COUNTIF($J129:$L129,"Ja")=0,$D129-SUM($T129:U129),ROUND($D129/COUNTIF($G129:$L129,"Ja"),2))),IF($F129="Vereinbarte Beträge",IF(I129="Ja",O129,0),"")))</f>
      </c>
      <c r="W129" s="87" t="str">
        <f>IF(COUNTIF($A129:$S129,"&lt;&gt;")=0,"",IF($F129="Gleichmäßig unter Beteiligten",IF(J129&lt;&gt;"Ja",0,IF(COUNTIF($K129:$L129,"Ja")=0,$D129-SUM($T129:V129),ROUND($D129/COUNTIF($G129:$L129,"Ja"),2))),IF($F129="Vereinbarte Beträge",IF(J129="Ja",P129,0),"")))</f>
      </c>
      <c r="X129" s="87" t="str">
        <f>IF(COUNTIF($A129:$S129,"&lt;&gt;")=0,"",IF($F129="Gleichmäßig unter Beteiligten",IF(K129&lt;&gt;"Ja",0,IF(COUNTIF($L129:$L129,"Ja")=0,$D129-SUM($T129:W129),ROUND($D129/COUNTIF($G129:$L129,"Ja"),2))),IF($F129="Vereinbarte Beträge",IF(K129="Ja",Q129,0),"")))</f>
      </c>
      <c r="Y129" s="87" t="str">
        <f>IF(COUNTIF($A129:$S129,"&lt;&gt;")=0,"",IF($F129="Gleichmäßig unter Beteiligten",IF(L129&lt;&gt;"Ja",0,IF(0=0,$D129-SUM($T129:X129),ROUND($D129/COUNTIF($G129:$L129,"Ja"),2))),IF($F129="Vereinbarte Beträge",IF(L129="Ja",R129,0),"")))</f>
      </c>
      <c r="Z129" s="81" t="str">
        <f>IF(COUNTIF($A129:$S129,"&lt;&gt;")=0,"",IF(OR($D129="",$D129&lt;=0),"Trage einen Betrag größer als null ein.",IF($E129="","Wähle aus, wer bezahlt hat.",IF(COUNTIF($G129:$L129,"Ja")=0,"Wähle mindestens eine beteiligte Person aus.",IF($F129="Gleichmäßig unter Beteiligten","Geprüft",IF($F129="Vereinbarte Beträge",IF(OR(AND(G129="Ja",M129=""),AND(H129="Ja",N129=""),AND(I129="Ja",O129=""),AND(J129="Ja",P129=""),AND(K129="Ja",Q129=""),AND(L129="Ja",R129="")),"Trage die vereinbarten Beträge so ein, dass ihre Summe der Ausgabe entspricht.",IF(ABS(SUM($M129:$R129))&lt;0.005,"Trage die vereinbarten Beträge so ein, dass ihre Summe der Ausgabe entspricht.",IF(SUM($M129:$R129)&lt;$D129-0.005,"Bei der Aufteilung fehlen "&amp;ROUND($D129-SUM($M129:$R129),2)&amp;".",IF(SUM($M129:$R129)&gt;$D129+0.005,"Die Aufteilung übersteigt die Ausgabe um "&amp;ROUND(SUM($M129:$R129)-$D129,2)&amp;".","Geprüft")))),"Trage die vereinbarten Beträge so ein, dass ihre Summe der Ausgabe entspricht."))))))</f>
      </c>
    </row>
    <row r="130">
      <c r="A130" s="83"/>
      <c r="B130" s="57"/>
      <c r="C130" s="57"/>
      <c r="D130" s="85"/>
      <c r="E130" s="57"/>
      <c r="F130" s="57"/>
      <c r="G130" s="57"/>
      <c r="H130" s="57"/>
      <c r="I130" s="57"/>
      <c r="J130" s="57"/>
      <c r="K130" s="57"/>
      <c r="L130" s="57"/>
      <c r="M130" s="85"/>
      <c r="N130" s="85"/>
      <c r="O130" s="85"/>
      <c r="P130" s="85"/>
      <c r="Q130" s="85"/>
      <c r="R130" s="85"/>
      <c r="S130" s="57"/>
      <c r="T130" s="87" t="str">
        <f>IF(COUNTIF($A130:$S130,"&lt;&gt;")=0,"",IF($F130="Gleichmäßig unter Beteiligten",IF(G130&lt;&gt;"Ja",0,IF(COUNTIF($H130:$L130,"Ja")=0,$D130-0,ROUND($D130/COUNTIF($G130:$L130,"Ja"),2))),IF($F130="Vereinbarte Beträge",IF(G130="Ja",M130,0),"")))</f>
      </c>
      <c r="U130" s="87" t="str">
        <f>IF(COUNTIF($A130:$S130,"&lt;&gt;")=0,"",IF($F130="Gleichmäßig unter Beteiligten",IF(H130&lt;&gt;"Ja",0,IF(COUNTIF($I130:$L130,"Ja")=0,$D130-SUM($T130:T130),ROUND($D130/COUNTIF($G130:$L130,"Ja"),2))),IF($F130="Vereinbarte Beträge",IF(H130="Ja",N130,0),"")))</f>
      </c>
      <c r="V130" s="87" t="str">
        <f>IF(COUNTIF($A130:$S130,"&lt;&gt;")=0,"",IF($F130="Gleichmäßig unter Beteiligten",IF(I130&lt;&gt;"Ja",0,IF(COUNTIF($J130:$L130,"Ja")=0,$D130-SUM($T130:U130),ROUND($D130/COUNTIF($G130:$L130,"Ja"),2))),IF($F130="Vereinbarte Beträge",IF(I130="Ja",O130,0),"")))</f>
      </c>
      <c r="W130" s="87" t="str">
        <f>IF(COUNTIF($A130:$S130,"&lt;&gt;")=0,"",IF($F130="Gleichmäßig unter Beteiligten",IF(J130&lt;&gt;"Ja",0,IF(COUNTIF($K130:$L130,"Ja")=0,$D130-SUM($T130:V130),ROUND($D130/COUNTIF($G130:$L130,"Ja"),2))),IF($F130="Vereinbarte Beträge",IF(J130="Ja",P130,0),"")))</f>
      </c>
      <c r="X130" s="87" t="str">
        <f>IF(COUNTIF($A130:$S130,"&lt;&gt;")=0,"",IF($F130="Gleichmäßig unter Beteiligten",IF(K130&lt;&gt;"Ja",0,IF(COUNTIF($L130:$L130,"Ja")=0,$D130-SUM($T130:W130),ROUND($D130/COUNTIF($G130:$L130,"Ja"),2))),IF($F130="Vereinbarte Beträge",IF(K130="Ja",Q130,0),"")))</f>
      </c>
      <c r="Y130" s="87" t="str">
        <f>IF(COUNTIF($A130:$S130,"&lt;&gt;")=0,"",IF($F130="Gleichmäßig unter Beteiligten",IF(L130&lt;&gt;"Ja",0,IF(0=0,$D130-SUM($T130:X130),ROUND($D130/COUNTIF($G130:$L130,"Ja"),2))),IF($F130="Vereinbarte Beträge",IF(L130="Ja",R130,0),"")))</f>
      </c>
      <c r="Z130" s="81" t="str">
        <f>IF(COUNTIF($A130:$S130,"&lt;&gt;")=0,"",IF(OR($D130="",$D130&lt;=0),"Trage einen Betrag größer als null ein.",IF($E130="","Wähle aus, wer bezahlt hat.",IF(COUNTIF($G130:$L130,"Ja")=0,"Wähle mindestens eine beteiligte Person aus.",IF($F130="Gleichmäßig unter Beteiligten","Geprüft",IF($F130="Vereinbarte Beträge",IF(OR(AND(G130="Ja",M130=""),AND(H130="Ja",N130=""),AND(I130="Ja",O130=""),AND(J130="Ja",P130=""),AND(K130="Ja",Q130=""),AND(L130="Ja",R130="")),"Trage die vereinbarten Beträge so ein, dass ihre Summe der Ausgabe entspricht.",IF(ABS(SUM($M130:$R130))&lt;0.005,"Trage die vereinbarten Beträge so ein, dass ihre Summe der Ausgabe entspricht.",IF(SUM($M130:$R130)&lt;$D130-0.005,"Bei der Aufteilung fehlen "&amp;ROUND($D130-SUM($M130:$R130),2)&amp;".",IF(SUM($M130:$R130)&gt;$D130+0.005,"Die Aufteilung übersteigt die Ausgabe um "&amp;ROUND(SUM($M130:$R130)-$D130,2)&amp;".","Geprüft")))),"Trage die vereinbarten Beträge so ein, dass ihre Summe der Ausgabe entspricht."))))))</f>
      </c>
    </row>
    <row r="131">
      <c r="A131" s="83"/>
      <c r="B131" s="57"/>
      <c r="C131" s="57"/>
      <c r="D131" s="85"/>
      <c r="E131" s="57"/>
      <c r="F131" s="57"/>
      <c r="G131" s="57"/>
      <c r="H131" s="57"/>
      <c r="I131" s="57"/>
      <c r="J131" s="57"/>
      <c r="K131" s="57"/>
      <c r="L131" s="57"/>
      <c r="M131" s="85"/>
      <c r="N131" s="85"/>
      <c r="O131" s="85"/>
      <c r="P131" s="85"/>
      <c r="Q131" s="85"/>
      <c r="R131" s="85"/>
      <c r="S131" s="57"/>
      <c r="T131" s="87" t="str">
        <f>IF(COUNTIF($A131:$S131,"&lt;&gt;")=0,"",IF($F131="Gleichmäßig unter Beteiligten",IF(G131&lt;&gt;"Ja",0,IF(COUNTIF($H131:$L131,"Ja")=0,$D131-0,ROUND($D131/COUNTIF($G131:$L131,"Ja"),2))),IF($F131="Vereinbarte Beträge",IF(G131="Ja",M131,0),"")))</f>
      </c>
      <c r="U131" s="87" t="str">
        <f>IF(COUNTIF($A131:$S131,"&lt;&gt;")=0,"",IF($F131="Gleichmäßig unter Beteiligten",IF(H131&lt;&gt;"Ja",0,IF(COUNTIF($I131:$L131,"Ja")=0,$D131-SUM($T131:T131),ROUND($D131/COUNTIF($G131:$L131,"Ja"),2))),IF($F131="Vereinbarte Beträge",IF(H131="Ja",N131,0),"")))</f>
      </c>
      <c r="V131" s="87" t="str">
        <f>IF(COUNTIF($A131:$S131,"&lt;&gt;")=0,"",IF($F131="Gleichmäßig unter Beteiligten",IF(I131&lt;&gt;"Ja",0,IF(COUNTIF($J131:$L131,"Ja")=0,$D131-SUM($T131:U131),ROUND($D131/COUNTIF($G131:$L131,"Ja"),2))),IF($F131="Vereinbarte Beträge",IF(I131="Ja",O131,0),"")))</f>
      </c>
      <c r="W131" s="87" t="str">
        <f>IF(COUNTIF($A131:$S131,"&lt;&gt;")=0,"",IF($F131="Gleichmäßig unter Beteiligten",IF(J131&lt;&gt;"Ja",0,IF(COUNTIF($K131:$L131,"Ja")=0,$D131-SUM($T131:V131),ROUND($D131/COUNTIF($G131:$L131,"Ja"),2))),IF($F131="Vereinbarte Beträge",IF(J131="Ja",P131,0),"")))</f>
      </c>
      <c r="X131" s="87" t="str">
        <f>IF(COUNTIF($A131:$S131,"&lt;&gt;")=0,"",IF($F131="Gleichmäßig unter Beteiligten",IF(K131&lt;&gt;"Ja",0,IF(COUNTIF($L131:$L131,"Ja")=0,$D131-SUM($T131:W131),ROUND($D131/COUNTIF($G131:$L131,"Ja"),2))),IF($F131="Vereinbarte Beträge",IF(K131="Ja",Q131,0),"")))</f>
      </c>
      <c r="Y131" s="87" t="str">
        <f>IF(COUNTIF($A131:$S131,"&lt;&gt;")=0,"",IF($F131="Gleichmäßig unter Beteiligten",IF(L131&lt;&gt;"Ja",0,IF(0=0,$D131-SUM($T131:X131),ROUND($D131/COUNTIF($G131:$L131,"Ja"),2))),IF($F131="Vereinbarte Beträge",IF(L131="Ja",R131,0),"")))</f>
      </c>
      <c r="Z131" s="81" t="str">
        <f>IF(COUNTIF($A131:$S131,"&lt;&gt;")=0,"",IF(OR($D131="",$D131&lt;=0),"Trage einen Betrag größer als null ein.",IF($E131="","Wähle aus, wer bezahlt hat.",IF(COUNTIF($G131:$L131,"Ja")=0,"Wähle mindestens eine beteiligte Person aus.",IF($F131="Gleichmäßig unter Beteiligten","Geprüft",IF($F131="Vereinbarte Beträge",IF(OR(AND(G131="Ja",M131=""),AND(H131="Ja",N131=""),AND(I131="Ja",O131=""),AND(J131="Ja",P131=""),AND(K131="Ja",Q131=""),AND(L131="Ja",R131="")),"Trage die vereinbarten Beträge so ein, dass ihre Summe der Ausgabe entspricht.",IF(ABS(SUM($M131:$R131))&lt;0.005,"Trage die vereinbarten Beträge so ein, dass ihre Summe der Ausgabe entspricht.",IF(SUM($M131:$R131)&lt;$D131-0.005,"Bei der Aufteilung fehlen "&amp;ROUND($D131-SUM($M131:$R131),2)&amp;".",IF(SUM($M131:$R131)&gt;$D131+0.005,"Die Aufteilung übersteigt die Ausgabe um "&amp;ROUND(SUM($M131:$R131)-$D131,2)&amp;".","Geprüft")))),"Trage die vereinbarten Beträge so ein, dass ihre Summe der Ausgabe entspricht."))))))</f>
      </c>
    </row>
    <row r="132">
      <c r="A132" s="83"/>
      <c r="B132" s="57"/>
      <c r="C132" s="57"/>
      <c r="D132" s="85"/>
      <c r="E132" s="57"/>
      <c r="F132" s="57"/>
      <c r="G132" s="57"/>
      <c r="H132" s="57"/>
      <c r="I132" s="57"/>
      <c r="J132" s="57"/>
      <c r="K132" s="57"/>
      <c r="L132" s="57"/>
      <c r="M132" s="85"/>
      <c r="N132" s="85"/>
      <c r="O132" s="85"/>
      <c r="P132" s="85"/>
      <c r="Q132" s="85"/>
      <c r="R132" s="85"/>
      <c r="S132" s="57"/>
      <c r="T132" s="87" t="str">
        <f>IF(COUNTIF($A132:$S132,"&lt;&gt;")=0,"",IF($F132="Gleichmäßig unter Beteiligten",IF(G132&lt;&gt;"Ja",0,IF(COUNTIF($H132:$L132,"Ja")=0,$D132-0,ROUND($D132/COUNTIF($G132:$L132,"Ja"),2))),IF($F132="Vereinbarte Beträge",IF(G132="Ja",M132,0),"")))</f>
      </c>
      <c r="U132" s="87" t="str">
        <f>IF(COUNTIF($A132:$S132,"&lt;&gt;")=0,"",IF($F132="Gleichmäßig unter Beteiligten",IF(H132&lt;&gt;"Ja",0,IF(COUNTIF($I132:$L132,"Ja")=0,$D132-SUM($T132:T132),ROUND($D132/COUNTIF($G132:$L132,"Ja"),2))),IF($F132="Vereinbarte Beträge",IF(H132="Ja",N132,0),"")))</f>
      </c>
      <c r="V132" s="87" t="str">
        <f>IF(COUNTIF($A132:$S132,"&lt;&gt;")=0,"",IF($F132="Gleichmäßig unter Beteiligten",IF(I132&lt;&gt;"Ja",0,IF(COUNTIF($J132:$L132,"Ja")=0,$D132-SUM($T132:U132),ROUND($D132/COUNTIF($G132:$L132,"Ja"),2))),IF($F132="Vereinbarte Beträge",IF(I132="Ja",O132,0),"")))</f>
      </c>
      <c r="W132" s="87" t="str">
        <f>IF(COUNTIF($A132:$S132,"&lt;&gt;")=0,"",IF($F132="Gleichmäßig unter Beteiligten",IF(J132&lt;&gt;"Ja",0,IF(COUNTIF($K132:$L132,"Ja")=0,$D132-SUM($T132:V132),ROUND($D132/COUNTIF($G132:$L132,"Ja"),2))),IF($F132="Vereinbarte Beträge",IF(J132="Ja",P132,0),"")))</f>
      </c>
      <c r="X132" s="87" t="str">
        <f>IF(COUNTIF($A132:$S132,"&lt;&gt;")=0,"",IF($F132="Gleichmäßig unter Beteiligten",IF(K132&lt;&gt;"Ja",0,IF(COUNTIF($L132:$L132,"Ja")=0,$D132-SUM($T132:W132),ROUND($D132/COUNTIF($G132:$L132,"Ja"),2))),IF($F132="Vereinbarte Beträge",IF(K132="Ja",Q132,0),"")))</f>
      </c>
      <c r="Y132" s="87" t="str">
        <f>IF(COUNTIF($A132:$S132,"&lt;&gt;")=0,"",IF($F132="Gleichmäßig unter Beteiligten",IF(L132&lt;&gt;"Ja",0,IF(0=0,$D132-SUM($T132:X132),ROUND($D132/COUNTIF($G132:$L132,"Ja"),2))),IF($F132="Vereinbarte Beträge",IF(L132="Ja",R132,0),"")))</f>
      </c>
      <c r="Z132" s="81" t="str">
        <f>IF(COUNTIF($A132:$S132,"&lt;&gt;")=0,"",IF(OR($D132="",$D132&lt;=0),"Trage einen Betrag größer als null ein.",IF($E132="","Wähle aus, wer bezahlt hat.",IF(COUNTIF($G132:$L132,"Ja")=0,"Wähle mindestens eine beteiligte Person aus.",IF($F132="Gleichmäßig unter Beteiligten","Geprüft",IF($F132="Vereinbarte Beträge",IF(OR(AND(G132="Ja",M132=""),AND(H132="Ja",N132=""),AND(I132="Ja",O132=""),AND(J132="Ja",P132=""),AND(K132="Ja",Q132=""),AND(L132="Ja",R132="")),"Trage die vereinbarten Beträge so ein, dass ihre Summe der Ausgabe entspricht.",IF(ABS(SUM($M132:$R132))&lt;0.005,"Trage die vereinbarten Beträge so ein, dass ihre Summe der Ausgabe entspricht.",IF(SUM($M132:$R132)&lt;$D132-0.005,"Bei der Aufteilung fehlen "&amp;ROUND($D132-SUM($M132:$R132),2)&amp;".",IF(SUM($M132:$R132)&gt;$D132+0.005,"Die Aufteilung übersteigt die Ausgabe um "&amp;ROUND(SUM($M132:$R132)-$D132,2)&amp;".","Geprüft")))),"Trage die vereinbarten Beträge so ein, dass ihre Summe der Ausgabe entspricht."))))))</f>
      </c>
    </row>
    <row r="133">
      <c r="A133" s="83"/>
      <c r="B133" s="57"/>
      <c r="C133" s="57"/>
      <c r="D133" s="85"/>
      <c r="E133" s="57"/>
      <c r="F133" s="57"/>
      <c r="G133" s="57"/>
      <c r="H133" s="57"/>
      <c r="I133" s="57"/>
      <c r="J133" s="57"/>
      <c r="K133" s="57"/>
      <c r="L133" s="57"/>
      <c r="M133" s="85"/>
      <c r="N133" s="85"/>
      <c r="O133" s="85"/>
      <c r="P133" s="85"/>
      <c r="Q133" s="85"/>
      <c r="R133" s="85"/>
      <c r="S133" s="57"/>
      <c r="T133" s="87" t="str">
        <f>IF(COUNTIF($A133:$S133,"&lt;&gt;")=0,"",IF($F133="Gleichmäßig unter Beteiligten",IF(G133&lt;&gt;"Ja",0,IF(COUNTIF($H133:$L133,"Ja")=0,$D133-0,ROUND($D133/COUNTIF($G133:$L133,"Ja"),2))),IF($F133="Vereinbarte Beträge",IF(G133="Ja",M133,0),"")))</f>
      </c>
      <c r="U133" s="87" t="str">
        <f>IF(COUNTIF($A133:$S133,"&lt;&gt;")=0,"",IF($F133="Gleichmäßig unter Beteiligten",IF(H133&lt;&gt;"Ja",0,IF(COUNTIF($I133:$L133,"Ja")=0,$D133-SUM($T133:T133),ROUND($D133/COUNTIF($G133:$L133,"Ja"),2))),IF($F133="Vereinbarte Beträge",IF(H133="Ja",N133,0),"")))</f>
      </c>
      <c r="V133" s="87" t="str">
        <f>IF(COUNTIF($A133:$S133,"&lt;&gt;")=0,"",IF($F133="Gleichmäßig unter Beteiligten",IF(I133&lt;&gt;"Ja",0,IF(COUNTIF($J133:$L133,"Ja")=0,$D133-SUM($T133:U133),ROUND($D133/COUNTIF($G133:$L133,"Ja"),2))),IF($F133="Vereinbarte Beträge",IF(I133="Ja",O133,0),"")))</f>
      </c>
      <c r="W133" s="87" t="str">
        <f>IF(COUNTIF($A133:$S133,"&lt;&gt;")=0,"",IF($F133="Gleichmäßig unter Beteiligten",IF(J133&lt;&gt;"Ja",0,IF(COUNTIF($K133:$L133,"Ja")=0,$D133-SUM($T133:V133),ROUND($D133/COUNTIF($G133:$L133,"Ja"),2))),IF($F133="Vereinbarte Beträge",IF(J133="Ja",P133,0),"")))</f>
      </c>
      <c r="X133" s="87" t="str">
        <f>IF(COUNTIF($A133:$S133,"&lt;&gt;")=0,"",IF($F133="Gleichmäßig unter Beteiligten",IF(K133&lt;&gt;"Ja",0,IF(COUNTIF($L133:$L133,"Ja")=0,$D133-SUM($T133:W133),ROUND($D133/COUNTIF($G133:$L133,"Ja"),2))),IF($F133="Vereinbarte Beträge",IF(K133="Ja",Q133,0),"")))</f>
      </c>
      <c r="Y133" s="87" t="str">
        <f>IF(COUNTIF($A133:$S133,"&lt;&gt;")=0,"",IF($F133="Gleichmäßig unter Beteiligten",IF(L133&lt;&gt;"Ja",0,IF(0=0,$D133-SUM($T133:X133),ROUND($D133/COUNTIF($G133:$L133,"Ja"),2))),IF($F133="Vereinbarte Beträge",IF(L133="Ja",R133,0),"")))</f>
      </c>
      <c r="Z133" s="81" t="str">
        <f>IF(COUNTIF($A133:$S133,"&lt;&gt;")=0,"",IF(OR($D133="",$D133&lt;=0),"Trage einen Betrag größer als null ein.",IF($E133="","Wähle aus, wer bezahlt hat.",IF(COUNTIF($G133:$L133,"Ja")=0,"Wähle mindestens eine beteiligte Person aus.",IF($F133="Gleichmäßig unter Beteiligten","Geprüft",IF($F133="Vereinbarte Beträge",IF(OR(AND(G133="Ja",M133=""),AND(H133="Ja",N133=""),AND(I133="Ja",O133=""),AND(J133="Ja",P133=""),AND(K133="Ja",Q133=""),AND(L133="Ja",R133="")),"Trage die vereinbarten Beträge so ein, dass ihre Summe der Ausgabe entspricht.",IF(ABS(SUM($M133:$R133))&lt;0.005,"Trage die vereinbarten Beträge so ein, dass ihre Summe der Ausgabe entspricht.",IF(SUM($M133:$R133)&lt;$D133-0.005,"Bei der Aufteilung fehlen "&amp;ROUND($D133-SUM($M133:$R133),2)&amp;".",IF(SUM($M133:$R133)&gt;$D133+0.005,"Die Aufteilung übersteigt die Ausgabe um "&amp;ROUND(SUM($M133:$R133)-$D133,2)&amp;".","Geprüft")))),"Trage die vereinbarten Beträge so ein, dass ihre Summe der Ausgabe entspricht."))))))</f>
      </c>
    </row>
    <row r="134">
      <c r="A134" s="83"/>
      <c r="B134" s="57"/>
      <c r="C134" s="57"/>
      <c r="D134" s="85"/>
      <c r="E134" s="57"/>
      <c r="F134" s="57"/>
      <c r="G134" s="57"/>
      <c r="H134" s="57"/>
      <c r="I134" s="57"/>
      <c r="J134" s="57"/>
      <c r="K134" s="57"/>
      <c r="L134" s="57"/>
      <c r="M134" s="85"/>
      <c r="N134" s="85"/>
      <c r="O134" s="85"/>
      <c r="P134" s="85"/>
      <c r="Q134" s="85"/>
      <c r="R134" s="85"/>
      <c r="S134" s="57"/>
      <c r="T134" s="87" t="str">
        <f>IF(COUNTIF($A134:$S134,"&lt;&gt;")=0,"",IF($F134="Gleichmäßig unter Beteiligten",IF(G134&lt;&gt;"Ja",0,IF(COUNTIF($H134:$L134,"Ja")=0,$D134-0,ROUND($D134/COUNTIF($G134:$L134,"Ja"),2))),IF($F134="Vereinbarte Beträge",IF(G134="Ja",M134,0),"")))</f>
      </c>
      <c r="U134" s="87" t="str">
        <f>IF(COUNTIF($A134:$S134,"&lt;&gt;")=0,"",IF($F134="Gleichmäßig unter Beteiligten",IF(H134&lt;&gt;"Ja",0,IF(COUNTIF($I134:$L134,"Ja")=0,$D134-SUM($T134:T134),ROUND($D134/COUNTIF($G134:$L134,"Ja"),2))),IF($F134="Vereinbarte Beträge",IF(H134="Ja",N134,0),"")))</f>
      </c>
      <c r="V134" s="87" t="str">
        <f>IF(COUNTIF($A134:$S134,"&lt;&gt;")=0,"",IF($F134="Gleichmäßig unter Beteiligten",IF(I134&lt;&gt;"Ja",0,IF(COUNTIF($J134:$L134,"Ja")=0,$D134-SUM($T134:U134),ROUND($D134/COUNTIF($G134:$L134,"Ja"),2))),IF($F134="Vereinbarte Beträge",IF(I134="Ja",O134,0),"")))</f>
      </c>
      <c r="W134" s="87" t="str">
        <f>IF(COUNTIF($A134:$S134,"&lt;&gt;")=0,"",IF($F134="Gleichmäßig unter Beteiligten",IF(J134&lt;&gt;"Ja",0,IF(COUNTIF($K134:$L134,"Ja")=0,$D134-SUM($T134:V134),ROUND($D134/COUNTIF($G134:$L134,"Ja"),2))),IF($F134="Vereinbarte Beträge",IF(J134="Ja",P134,0),"")))</f>
      </c>
      <c r="X134" s="87" t="str">
        <f>IF(COUNTIF($A134:$S134,"&lt;&gt;")=0,"",IF($F134="Gleichmäßig unter Beteiligten",IF(K134&lt;&gt;"Ja",0,IF(COUNTIF($L134:$L134,"Ja")=0,$D134-SUM($T134:W134),ROUND($D134/COUNTIF($G134:$L134,"Ja"),2))),IF($F134="Vereinbarte Beträge",IF(K134="Ja",Q134,0),"")))</f>
      </c>
      <c r="Y134" s="87" t="str">
        <f>IF(COUNTIF($A134:$S134,"&lt;&gt;")=0,"",IF($F134="Gleichmäßig unter Beteiligten",IF(L134&lt;&gt;"Ja",0,IF(0=0,$D134-SUM($T134:X134),ROUND($D134/COUNTIF($G134:$L134,"Ja"),2))),IF($F134="Vereinbarte Beträge",IF(L134="Ja",R134,0),"")))</f>
      </c>
      <c r="Z134" s="81" t="str">
        <f>IF(COUNTIF($A134:$S134,"&lt;&gt;")=0,"",IF(OR($D134="",$D134&lt;=0),"Trage einen Betrag größer als null ein.",IF($E134="","Wähle aus, wer bezahlt hat.",IF(COUNTIF($G134:$L134,"Ja")=0,"Wähle mindestens eine beteiligte Person aus.",IF($F134="Gleichmäßig unter Beteiligten","Geprüft",IF($F134="Vereinbarte Beträge",IF(OR(AND(G134="Ja",M134=""),AND(H134="Ja",N134=""),AND(I134="Ja",O134=""),AND(J134="Ja",P134=""),AND(K134="Ja",Q134=""),AND(L134="Ja",R134="")),"Trage die vereinbarten Beträge so ein, dass ihre Summe der Ausgabe entspricht.",IF(ABS(SUM($M134:$R134))&lt;0.005,"Trage die vereinbarten Beträge so ein, dass ihre Summe der Ausgabe entspricht.",IF(SUM($M134:$R134)&lt;$D134-0.005,"Bei der Aufteilung fehlen "&amp;ROUND($D134-SUM($M134:$R134),2)&amp;".",IF(SUM($M134:$R134)&gt;$D134+0.005,"Die Aufteilung übersteigt die Ausgabe um "&amp;ROUND(SUM($M134:$R134)-$D134,2)&amp;".","Geprüft")))),"Trage die vereinbarten Beträge so ein, dass ihre Summe der Ausgabe entspricht."))))))</f>
      </c>
    </row>
    <row r="135">
      <c r="A135" s="83"/>
      <c r="B135" s="57"/>
      <c r="C135" s="57"/>
      <c r="D135" s="85"/>
      <c r="E135" s="57"/>
      <c r="F135" s="57"/>
      <c r="G135" s="57"/>
      <c r="H135" s="57"/>
      <c r="I135" s="57"/>
      <c r="J135" s="57"/>
      <c r="K135" s="57"/>
      <c r="L135" s="57"/>
      <c r="M135" s="85"/>
      <c r="N135" s="85"/>
      <c r="O135" s="85"/>
      <c r="P135" s="85"/>
      <c r="Q135" s="85"/>
      <c r="R135" s="85"/>
      <c r="S135" s="57"/>
      <c r="T135" s="87" t="str">
        <f>IF(COUNTIF($A135:$S135,"&lt;&gt;")=0,"",IF($F135="Gleichmäßig unter Beteiligten",IF(G135&lt;&gt;"Ja",0,IF(COUNTIF($H135:$L135,"Ja")=0,$D135-0,ROUND($D135/COUNTIF($G135:$L135,"Ja"),2))),IF($F135="Vereinbarte Beträge",IF(G135="Ja",M135,0),"")))</f>
      </c>
      <c r="U135" s="87" t="str">
        <f>IF(COUNTIF($A135:$S135,"&lt;&gt;")=0,"",IF($F135="Gleichmäßig unter Beteiligten",IF(H135&lt;&gt;"Ja",0,IF(COUNTIF($I135:$L135,"Ja")=0,$D135-SUM($T135:T135),ROUND($D135/COUNTIF($G135:$L135,"Ja"),2))),IF($F135="Vereinbarte Beträge",IF(H135="Ja",N135,0),"")))</f>
      </c>
      <c r="V135" s="87" t="str">
        <f>IF(COUNTIF($A135:$S135,"&lt;&gt;")=0,"",IF($F135="Gleichmäßig unter Beteiligten",IF(I135&lt;&gt;"Ja",0,IF(COUNTIF($J135:$L135,"Ja")=0,$D135-SUM($T135:U135),ROUND($D135/COUNTIF($G135:$L135,"Ja"),2))),IF($F135="Vereinbarte Beträge",IF(I135="Ja",O135,0),"")))</f>
      </c>
      <c r="W135" s="87" t="str">
        <f>IF(COUNTIF($A135:$S135,"&lt;&gt;")=0,"",IF($F135="Gleichmäßig unter Beteiligten",IF(J135&lt;&gt;"Ja",0,IF(COUNTIF($K135:$L135,"Ja")=0,$D135-SUM($T135:V135),ROUND($D135/COUNTIF($G135:$L135,"Ja"),2))),IF($F135="Vereinbarte Beträge",IF(J135="Ja",P135,0),"")))</f>
      </c>
      <c r="X135" s="87" t="str">
        <f>IF(COUNTIF($A135:$S135,"&lt;&gt;")=0,"",IF($F135="Gleichmäßig unter Beteiligten",IF(K135&lt;&gt;"Ja",0,IF(COUNTIF($L135:$L135,"Ja")=0,$D135-SUM($T135:W135),ROUND($D135/COUNTIF($G135:$L135,"Ja"),2))),IF($F135="Vereinbarte Beträge",IF(K135="Ja",Q135,0),"")))</f>
      </c>
      <c r="Y135" s="87" t="str">
        <f>IF(COUNTIF($A135:$S135,"&lt;&gt;")=0,"",IF($F135="Gleichmäßig unter Beteiligten",IF(L135&lt;&gt;"Ja",0,IF(0=0,$D135-SUM($T135:X135),ROUND($D135/COUNTIF($G135:$L135,"Ja"),2))),IF($F135="Vereinbarte Beträge",IF(L135="Ja",R135,0),"")))</f>
      </c>
      <c r="Z135" s="81" t="str">
        <f>IF(COUNTIF($A135:$S135,"&lt;&gt;")=0,"",IF(OR($D135="",$D135&lt;=0),"Trage einen Betrag größer als null ein.",IF($E135="","Wähle aus, wer bezahlt hat.",IF(COUNTIF($G135:$L135,"Ja")=0,"Wähle mindestens eine beteiligte Person aus.",IF($F135="Gleichmäßig unter Beteiligten","Geprüft",IF($F135="Vereinbarte Beträge",IF(OR(AND(G135="Ja",M135=""),AND(H135="Ja",N135=""),AND(I135="Ja",O135=""),AND(J135="Ja",P135=""),AND(K135="Ja",Q135=""),AND(L135="Ja",R135="")),"Trage die vereinbarten Beträge so ein, dass ihre Summe der Ausgabe entspricht.",IF(ABS(SUM($M135:$R135))&lt;0.005,"Trage die vereinbarten Beträge so ein, dass ihre Summe der Ausgabe entspricht.",IF(SUM($M135:$R135)&lt;$D135-0.005,"Bei der Aufteilung fehlen "&amp;ROUND($D135-SUM($M135:$R135),2)&amp;".",IF(SUM($M135:$R135)&gt;$D135+0.005,"Die Aufteilung übersteigt die Ausgabe um "&amp;ROUND(SUM($M135:$R135)-$D135,2)&amp;".","Geprüft")))),"Trage die vereinbarten Beträge so ein, dass ihre Summe der Ausgabe entspricht."))))))</f>
      </c>
    </row>
    <row r="136">
      <c r="A136" s="83"/>
      <c r="B136" s="57"/>
      <c r="C136" s="57"/>
      <c r="D136" s="85"/>
      <c r="E136" s="57"/>
      <c r="F136" s="57"/>
      <c r="G136" s="57"/>
      <c r="H136" s="57"/>
      <c r="I136" s="57"/>
      <c r="J136" s="57"/>
      <c r="K136" s="57"/>
      <c r="L136" s="57"/>
      <c r="M136" s="85"/>
      <c r="N136" s="85"/>
      <c r="O136" s="85"/>
      <c r="P136" s="85"/>
      <c r="Q136" s="85"/>
      <c r="R136" s="85"/>
      <c r="S136" s="57"/>
      <c r="T136" s="87" t="str">
        <f>IF(COUNTIF($A136:$S136,"&lt;&gt;")=0,"",IF($F136="Gleichmäßig unter Beteiligten",IF(G136&lt;&gt;"Ja",0,IF(COUNTIF($H136:$L136,"Ja")=0,$D136-0,ROUND($D136/COUNTIF($G136:$L136,"Ja"),2))),IF($F136="Vereinbarte Beträge",IF(G136="Ja",M136,0),"")))</f>
      </c>
      <c r="U136" s="87" t="str">
        <f>IF(COUNTIF($A136:$S136,"&lt;&gt;")=0,"",IF($F136="Gleichmäßig unter Beteiligten",IF(H136&lt;&gt;"Ja",0,IF(COUNTIF($I136:$L136,"Ja")=0,$D136-SUM($T136:T136),ROUND($D136/COUNTIF($G136:$L136,"Ja"),2))),IF($F136="Vereinbarte Beträge",IF(H136="Ja",N136,0),"")))</f>
      </c>
      <c r="V136" s="87" t="str">
        <f>IF(COUNTIF($A136:$S136,"&lt;&gt;")=0,"",IF($F136="Gleichmäßig unter Beteiligten",IF(I136&lt;&gt;"Ja",0,IF(COUNTIF($J136:$L136,"Ja")=0,$D136-SUM($T136:U136),ROUND($D136/COUNTIF($G136:$L136,"Ja"),2))),IF($F136="Vereinbarte Beträge",IF(I136="Ja",O136,0),"")))</f>
      </c>
      <c r="W136" s="87" t="str">
        <f>IF(COUNTIF($A136:$S136,"&lt;&gt;")=0,"",IF($F136="Gleichmäßig unter Beteiligten",IF(J136&lt;&gt;"Ja",0,IF(COUNTIF($K136:$L136,"Ja")=0,$D136-SUM($T136:V136),ROUND($D136/COUNTIF($G136:$L136,"Ja"),2))),IF($F136="Vereinbarte Beträge",IF(J136="Ja",P136,0),"")))</f>
      </c>
      <c r="X136" s="87" t="str">
        <f>IF(COUNTIF($A136:$S136,"&lt;&gt;")=0,"",IF($F136="Gleichmäßig unter Beteiligten",IF(K136&lt;&gt;"Ja",0,IF(COUNTIF($L136:$L136,"Ja")=0,$D136-SUM($T136:W136),ROUND($D136/COUNTIF($G136:$L136,"Ja"),2))),IF($F136="Vereinbarte Beträge",IF(K136="Ja",Q136,0),"")))</f>
      </c>
      <c r="Y136" s="87" t="str">
        <f>IF(COUNTIF($A136:$S136,"&lt;&gt;")=0,"",IF($F136="Gleichmäßig unter Beteiligten",IF(L136&lt;&gt;"Ja",0,IF(0=0,$D136-SUM($T136:X136),ROUND($D136/COUNTIF($G136:$L136,"Ja"),2))),IF($F136="Vereinbarte Beträge",IF(L136="Ja",R136,0),"")))</f>
      </c>
      <c r="Z136" s="81" t="str">
        <f>IF(COUNTIF($A136:$S136,"&lt;&gt;")=0,"",IF(OR($D136="",$D136&lt;=0),"Trage einen Betrag größer als null ein.",IF($E136="","Wähle aus, wer bezahlt hat.",IF(COUNTIF($G136:$L136,"Ja")=0,"Wähle mindestens eine beteiligte Person aus.",IF($F136="Gleichmäßig unter Beteiligten","Geprüft",IF($F136="Vereinbarte Beträge",IF(OR(AND(G136="Ja",M136=""),AND(H136="Ja",N136=""),AND(I136="Ja",O136=""),AND(J136="Ja",P136=""),AND(K136="Ja",Q136=""),AND(L136="Ja",R136="")),"Trage die vereinbarten Beträge so ein, dass ihre Summe der Ausgabe entspricht.",IF(ABS(SUM($M136:$R136))&lt;0.005,"Trage die vereinbarten Beträge so ein, dass ihre Summe der Ausgabe entspricht.",IF(SUM($M136:$R136)&lt;$D136-0.005,"Bei der Aufteilung fehlen "&amp;ROUND($D136-SUM($M136:$R136),2)&amp;".",IF(SUM($M136:$R136)&gt;$D136+0.005,"Die Aufteilung übersteigt die Ausgabe um "&amp;ROUND(SUM($M136:$R136)-$D136,2)&amp;".","Geprüft")))),"Trage die vereinbarten Beträge so ein, dass ihre Summe der Ausgabe entspricht."))))))</f>
      </c>
    </row>
    <row r="137">
      <c r="A137" s="83"/>
      <c r="B137" s="57"/>
      <c r="C137" s="57"/>
      <c r="D137" s="85"/>
      <c r="E137" s="57"/>
      <c r="F137" s="57"/>
      <c r="G137" s="57"/>
      <c r="H137" s="57"/>
      <c r="I137" s="57"/>
      <c r="J137" s="57"/>
      <c r="K137" s="57"/>
      <c r="L137" s="57"/>
      <c r="M137" s="85"/>
      <c r="N137" s="85"/>
      <c r="O137" s="85"/>
      <c r="P137" s="85"/>
      <c r="Q137" s="85"/>
      <c r="R137" s="85"/>
      <c r="S137" s="57"/>
      <c r="T137" s="87" t="str">
        <f>IF(COUNTIF($A137:$S137,"&lt;&gt;")=0,"",IF($F137="Gleichmäßig unter Beteiligten",IF(G137&lt;&gt;"Ja",0,IF(COUNTIF($H137:$L137,"Ja")=0,$D137-0,ROUND($D137/COUNTIF($G137:$L137,"Ja"),2))),IF($F137="Vereinbarte Beträge",IF(G137="Ja",M137,0),"")))</f>
      </c>
      <c r="U137" s="87" t="str">
        <f>IF(COUNTIF($A137:$S137,"&lt;&gt;")=0,"",IF($F137="Gleichmäßig unter Beteiligten",IF(H137&lt;&gt;"Ja",0,IF(COUNTIF($I137:$L137,"Ja")=0,$D137-SUM($T137:T137),ROUND($D137/COUNTIF($G137:$L137,"Ja"),2))),IF($F137="Vereinbarte Beträge",IF(H137="Ja",N137,0),"")))</f>
      </c>
      <c r="V137" s="87" t="str">
        <f>IF(COUNTIF($A137:$S137,"&lt;&gt;")=0,"",IF($F137="Gleichmäßig unter Beteiligten",IF(I137&lt;&gt;"Ja",0,IF(COUNTIF($J137:$L137,"Ja")=0,$D137-SUM($T137:U137),ROUND($D137/COUNTIF($G137:$L137,"Ja"),2))),IF($F137="Vereinbarte Beträge",IF(I137="Ja",O137,0),"")))</f>
      </c>
      <c r="W137" s="87" t="str">
        <f>IF(COUNTIF($A137:$S137,"&lt;&gt;")=0,"",IF($F137="Gleichmäßig unter Beteiligten",IF(J137&lt;&gt;"Ja",0,IF(COUNTIF($K137:$L137,"Ja")=0,$D137-SUM($T137:V137),ROUND($D137/COUNTIF($G137:$L137,"Ja"),2))),IF($F137="Vereinbarte Beträge",IF(J137="Ja",P137,0),"")))</f>
      </c>
      <c r="X137" s="87" t="str">
        <f>IF(COUNTIF($A137:$S137,"&lt;&gt;")=0,"",IF($F137="Gleichmäßig unter Beteiligten",IF(K137&lt;&gt;"Ja",0,IF(COUNTIF($L137:$L137,"Ja")=0,$D137-SUM($T137:W137),ROUND($D137/COUNTIF($G137:$L137,"Ja"),2))),IF($F137="Vereinbarte Beträge",IF(K137="Ja",Q137,0),"")))</f>
      </c>
      <c r="Y137" s="87" t="str">
        <f>IF(COUNTIF($A137:$S137,"&lt;&gt;")=0,"",IF($F137="Gleichmäßig unter Beteiligten",IF(L137&lt;&gt;"Ja",0,IF(0=0,$D137-SUM($T137:X137),ROUND($D137/COUNTIF($G137:$L137,"Ja"),2))),IF($F137="Vereinbarte Beträge",IF(L137="Ja",R137,0),"")))</f>
      </c>
      <c r="Z137" s="81" t="str">
        <f>IF(COUNTIF($A137:$S137,"&lt;&gt;")=0,"",IF(OR($D137="",$D137&lt;=0),"Trage einen Betrag größer als null ein.",IF($E137="","Wähle aus, wer bezahlt hat.",IF(COUNTIF($G137:$L137,"Ja")=0,"Wähle mindestens eine beteiligte Person aus.",IF($F137="Gleichmäßig unter Beteiligten","Geprüft",IF($F137="Vereinbarte Beträge",IF(OR(AND(G137="Ja",M137=""),AND(H137="Ja",N137=""),AND(I137="Ja",O137=""),AND(J137="Ja",P137=""),AND(K137="Ja",Q137=""),AND(L137="Ja",R137="")),"Trage die vereinbarten Beträge so ein, dass ihre Summe der Ausgabe entspricht.",IF(ABS(SUM($M137:$R137))&lt;0.005,"Trage die vereinbarten Beträge so ein, dass ihre Summe der Ausgabe entspricht.",IF(SUM($M137:$R137)&lt;$D137-0.005,"Bei der Aufteilung fehlen "&amp;ROUND($D137-SUM($M137:$R137),2)&amp;".",IF(SUM($M137:$R137)&gt;$D137+0.005,"Die Aufteilung übersteigt die Ausgabe um "&amp;ROUND(SUM($M137:$R137)-$D137,2)&amp;".","Geprüft")))),"Trage die vereinbarten Beträge so ein, dass ihre Summe der Ausgabe entspricht."))))))</f>
      </c>
    </row>
    <row r="138">
      <c r="A138" s="83"/>
      <c r="B138" s="57"/>
      <c r="C138" s="57"/>
      <c r="D138" s="85"/>
      <c r="E138" s="57"/>
      <c r="F138" s="57"/>
      <c r="G138" s="57"/>
      <c r="H138" s="57"/>
      <c r="I138" s="57"/>
      <c r="J138" s="57"/>
      <c r="K138" s="57"/>
      <c r="L138" s="57"/>
      <c r="M138" s="85"/>
      <c r="N138" s="85"/>
      <c r="O138" s="85"/>
      <c r="P138" s="85"/>
      <c r="Q138" s="85"/>
      <c r="R138" s="85"/>
      <c r="S138" s="57"/>
      <c r="T138" s="87" t="str">
        <f>IF(COUNTIF($A138:$S138,"&lt;&gt;")=0,"",IF($F138="Gleichmäßig unter Beteiligten",IF(G138&lt;&gt;"Ja",0,IF(COUNTIF($H138:$L138,"Ja")=0,$D138-0,ROUND($D138/COUNTIF($G138:$L138,"Ja"),2))),IF($F138="Vereinbarte Beträge",IF(G138="Ja",M138,0),"")))</f>
      </c>
      <c r="U138" s="87" t="str">
        <f>IF(COUNTIF($A138:$S138,"&lt;&gt;")=0,"",IF($F138="Gleichmäßig unter Beteiligten",IF(H138&lt;&gt;"Ja",0,IF(COUNTIF($I138:$L138,"Ja")=0,$D138-SUM($T138:T138),ROUND($D138/COUNTIF($G138:$L138,"Ja"),2))),IF($F138="Vereinbarte Beträge",IF(H138="Ja",N138,0),"")))</f>
      </c>
      <c r="V138" s="87" t="str">
        <f>IF(COUNTIF($A138:$S138,"&lt;&gt;")=0,"",IF($F138="Gleichmäßig unter Beteiligten",IF(I138&lt;&gt;"Ja",0,IF(COUNTIF($J138:$L138,"Ja")=0,$D138-SUM($T138:U138),ROUND($D138/COUNTIF($G138:$L138,"Ja"),2))),IF($F138="Vereinbarte Beträge",IF(I138="Ja",O138,0),"")))</f>
      </c>
      <c r="W138" s="87" t="str">
        <f>IF(COUNTIF($A138:$S138,"&lt;&gt;")=0,"",IF($F138="Gleichmäßig unter Beteiligten",IF(J138&lt;&gt;"Ja",0,IF(COUNTIF($K138:$L138,"Ja")=0,$D138-SUM($T138:V138),ROUND($D138/COUNTIF($G138:$L138,"Ja"),2))),IF($F138="Vereinbarte Beträge",IF(J138="Ja",P138,0),"")))</f>
      </c>
      <c r="X138" s="87" t="str">
        <f>IF(COUNTIF($A138:$S138,"&lt;&gt;")=0,"",IF($F138="Gleichmäßig unter Beteiligten",IF(K138&lt;&gt;"Ja",0,IF(COUNTIF($L138:$L138,"Ja")=0,$D138-SUM($T138:W138),ROUND($D138/COUNTIF($G138:$L138,"Ja"),2))),IF($F138="Vereinbarte Beträge",IF(K138="Ja",Q138,0),"")))</f>
      </c>
      <c r="Y138" s="87" t="str">
        <f>IF(COUNTIF($A138:$S138,"&lt;&gt;")=0,"",IF($F138="Gleichmäßig unter Beteiligten",IF(L138&lt;&gt;"Ja",0,IF(0=0,$D138-SUM($T138:X138),ROUND($D138/COUNTIF($G138:$L138,"Ja"),2))),IF($F138="Vereinbarte Beträge",IF(L138="Ja",R138,0),"")))</f>
      </c>
      <c r="Z138" s="81" t="str">
        <f>IF(COUNTIF($A138:$S138,"&lt;&gt;")=0,"",IF(OR($D138="",$D138&lt;=0),"Trage einen Betrag größer als null ein.",IF($E138="","Wähle aus, wer bezahlt hat.",IF(COUNTIF($G138:$L138,"Ja")=0,"Wähle mindestens eine beteiligte Person aus.",IF($F138="Gleichmäßig unter Beteiligten","Geprüft",IF($F138="Vereinbarte Beträge",IF(OR(AND(G138="Ja",M138=""),AND(H138="Ja",N138=""),AND(I138="Ja",O138=""),AND(J138="Ja",P138=""),AND(K138="Ja",Q138=""),AND(L138="Ja",R138="")),"Trage die vereinbarten Beträge so ein, dass ihre Summe der Ausgabe entspricht.",IF(ABS(SUM($M138:$R138))&lt;0.005,"Trage die vereinbarten Beträge so ein, dass ihre Summe der Ausgabe entspricht.",IF(SUM($M138:$R138)&lt;$D138-0.005,"Bei der Aufteilung fehlen "&amp;ROUND($D138-SUM($M138:$R138),2)&amp;".",IF(SUM($M138:$R138)&gt;$D138+0.005,"Die Aufteilung übersteigt die Ausgabe um "&amp;ROUND(SUM($M138:$R138)-$D138,2)&amp;".","Geprüft")))),"Trage die vereinbarten Beträge so ein, dass ihre Summe der Ausgabe entspricht."))))))</f>
      </c>
    </row>
    <row r="139">
      <c r="A139" s="83"/>
      <c r="B139" s="57"/>
      <c r="C139" s="57"/>
      <c r="D139" s="85"/>
      <c r="E139" s="57"/>
      <c r="F139" s="57"/>
      <c r="G139" s="57"/>
      <c r="H139" s="57"/>
      <c r="I139" s="57"/>
      <c r="J139" s="57"/>
      <c r="K139" s="57"/>
      <c r="L139" s="57"/>
      <c r="M139" s="85"/>
      <c r="N139" s="85"/>
      <c r="O139" s="85"/>
      <c r="P139" s="85"/>
      <c r="Q139" s="85"/>
      <c r="R139" s="85"/>
      <c r="S139" s="57"/>
      <c r="T139" s="87" t="str">
        <f>IF(COUNTIF($A139:$S139,"&lt;&gt;")=0,"",IF($F139="Gleichmäßig unter Beteiligten",IF(G139&lt;&gt;"Ja",0,IF(COUNTIF($H139:$L139,"Ja")=0,$D139-0,ROUND($D139/COUNTIF($G139:$L139,"Ja"),2))),IF($F139="Vereinbarte Beträge",IF(G139="Ja",M139,0),"")))</f>
      </c>
      <c r="U139" s="87" t="str">
        <f>IF(COUNTIF($A139:$S139,"&lt;&gt;")=0,"",IF($F139="Gleichmäßig unter Beteiligten",IF(H139&lt;&gt;"Ja",0,IF(COUNTIF($I139:$L139,"Ja")=0,$D139-SUM($T139:T139),ROUND($D139/COUNTIF($G139:$L139,"Ja"),2))),IF($F139="Vereinbarte Beträge",IF(H139="Ja",N139,0),"")))</f>
      </c>
      <c r="V139" s="87" t="str">
        <f>IF(COUNTIF($A139:$S139,"&lt;&gt;")=0,"",IF($F139="Gleichmäßig unter Beteiligten",IF(I139&lt;&gt;"Ja",0,IF(COUNTIF($J139:$L139,"Ja")=0,$D139-SUM($T139:U139),ROUND($D139/COUNTIF($G139:$L139,"Ja"),2))),IF($F139="Vereinbarte Beträge",IF(I139="Ja",O139,0),"")))</f>
      </c>
      <c r="W139" s="87" t="str">
        <f>IF(COUNTIF($A139:$S139,"&lt;&gt;")=0,"",IF($F139="Gleichmäßig unter Beteiligten",IF(J139&lt;&gt;"Ja",0,IF(COUNTIF($K139:$L139,"Ja")=0,$D139-SUM($T139:V139),ROUND($D139/COUNTIF($G139:$L139,"Ja"),2))),IF($F139="Vereinbarte Beträge",IF(J139="Ja",P139,0),"")))</f>
      </c>
      <c r="X139" s="87" t="str">
        <f>IF(COUNTIF($A139:$S139,"&lt;&gt;")=0,"",IF($F139="Gleichmäßig unter Beteiligten",IF(K139&lt;&gt;"Ja",0,IF(COUNTIF($L139:$L139,"Ja")=0,$D139-SUM($T139:W139),ROUND($D139/COUNTIF($G139:$L139,"Ja"),2))),IF($F139="Vereinbarte Beträge",IF(K139="Ja",Q139,0),"")))</f>
      </c>
      <c r="Y139" s="87" t="str">
        <f>IF(COUNTIF($A139:$S139,"&lt;&gt;")=0,"",IF($F139="Gleichmäßig unter Beteiligten",IF(L139&lt;&gt;"Ja",0,IF(0=0,$D139-SUM($T139:X139),ROUND($D139/COUNTIF($G139:$L139,"Ja"),2))),IF($F139="Vereinbarte Beträge",IF(L139="Ja",R139,0),"")))</f>
      </c>
      <c r="Z139" s="81" t="str">
        <f>IF(COUNTIF($A139:$S139,"&lt;&gt;")=0,"",IF(OR($D139="",$D139&lt;=0),"Trage einen Betrag größer als null ein.",IF($E139="","Wähle aus, wer bezahlt hat.",IF(COUNTIF($G139:$L139,"Ja")=0,"Wähle mindestens eine beteiligte Person aus.",IF($F139="Gleichmäßig unter Beteiligten","Geprüft",IF($F139="Vereinbarte Beträge",IF(OR(AND(G139="Ja",M139=""),AND(H139="Ja",N139=""),AND(I139="Ja",O139=""),AND(J139="Ja",P139=""),AND(K139="Ja",Q139=""),AND(L139="Ja",R139="")),"Trage die vereinbarten Beträge so ein, dass ihre Summe der Ausgabe entspricht.",IF(ABS(SUM($M139:$R139))&lt;0.005,"Trage die vereinbarten Beträge so ein, dass ihre Summe der Ausgabe entspricht.",IF(SUM($M139:$R139)&lt;$D139-0.005,"Bei der Aufteilung fehlen "&amp;ROUND($D139-SUM($M139:$R139),2)&amp;".",IF(SUM($M139:$R139)&gt;$D139+0.005,"Die Aufteilung übersteigt die Ausgabe um "&amp;ROUND(SUM($M139:$R139)-$D139,2)&amp;".","Geprüft")))),"Trage die vereinbarten Beträge so ein, dass ihre Summe der Ausgabe entspricht."))))))</f>
      </c>
    </row>
    <row r="140">
      <c r="A140" s="83"/>
      <c r="B140" s="57"/>
      <c r="C140" s="57"/>
      <c r="D140" s="85"/>
      <c r="E140" s="57"/>
      <c r="F140" s="57"/>
      <c r="G140" s="57"/>
      <c r="H140" s="57"/>
      <c r="I140" s="57"/>
      <c r="J140" s="57"/>
      <c r="K140" s="57"/>
      <c r="L140" s="57"/>
      <c r="M140" s="85"/>
      <c r="N140" s="85"/>
      <c r="O140" s="85"/>
      <c r="P140" s="85"/>
      <c r="Q140" s="85"/>
      <c r="R140" s="85"/>
      <c r="S140" s="57"/>
      <c r="T140" s="87" t="str">
        <f>IF(COUNTIF($A140:$S140,"&lt;&gt;")=0,"",IF($F140="Gleichmäßig unter Beteiligten",IF(G140&lt;&gt;"Ja",0,IF(COUNTIF($H140:$L140,"Ja")=0,$D140-0,ROUND($D140/COUNTIF($G140:$L140,"Ja"),2))),IF($F140="Vereinbarte Beträge",IF(G140="Ja",M140,0),"")))</f>
      </c>
      <c r="U140" s="87" t="str">
        <f>IF(COUNTIF($A140:$S140,"&lt;&gt;")=0,"",IF($F140="Gleichmäßig unter Beteiligten",IF(H140&lt;&gt;"Ja",0,IF(COUNTIF($I140:$L140,"Ja")=0,$D140-SUM($T140:T140),ROUND($D140/COUNTIF($G140:$L140,"Ja"),2))),IF($F140="Vereinbarte Beträge",IF(H140="Ja",N140,0),"")))</f>
      </c>
      <c r="V140" s="87" t="str">
        <f>IF(COUNTIF($A140:$S140,"&lt;&gt;")=0,"",IF($F140="Gleichmäßig unter Beteiligten",IF(I140&lt;&gt;"Ja",0,IF(COUNTIF($J140:$L140,"Ja")=0,$D140-SUM($T140:U140),ROUND($D140/COUNTIF($G140:$L140,"Ja"),2))),IF($F140="Vereinbarte Beträge",IF(I140="Ja",O140,0),"")))</f>
      </c>
      <c r="W140" s="87" t="str">
        <f>IF(COUNTIF($A140:$S140,"&lt;&gt;")=0,"",IF($F140="Gleichmäßig unter Beteiligten",IF(J140&lt;&gt;"Ja",0,IF(COUNTIF($K140:$L140,"Ja")=0,$D140-SUM($T140:V140),ROUND($D140/COUNTIF($G140:$L140,"Ja"),2))),IF($F140="Vereinbarte Beträge",IF(J140="Ja",P140,0),"")))</f>
      </c>
      <c r="X140" s="87" t="str">
        <f>IF(COUNTIF($A140:$S140,"&lt;&gt;")=0,"",IF($F140="Gleichmäßig unter Beteiligten",IF(K140&lt;&gt;"Ja",0,IF(COUNTIF($L140:$L140,"Ja")=0,$D140-SUM($T140:W140),ROUND($D140/COUNTIF($G140:$L140,"Ja"),2))),IF($F140="Vereinbarte Beträge",IF(K140="Ja",Q140,0),"")))</f>
      </c>
      <c r="Y140" s="87" t="str">
        <f>IF(COUNTIF($A140:$S140,"&lt;&gt;")=0,"",IF($F140="Gleichmäßig unter Beteiligten",IF(L140&lt;&gt;"Ja",0,IF(0=0,$D140-SUM($T140:X140),ROUND($D140/COUNTIF($G140:$L140,"Ja"),2))),IF($F140="Vereinbarte Beträge",IF(L140="Ja",R140,0),"")))</f>
      </c>
      <c r="Z140" s="81" t="str">
        <f>IF(COUNTIF($A140:$S140,"&lt;&gt;")=0,"",IF(OR($D140="",$D140&lt;=0),"Trage einen Betrag größer als null ein.",IF($E140="","Wähle aus, wer bezahlt hat.",IF(COUNTIF($G140:$L140,"Ja")=0,"Wähle mindestens eine beteiligte Person aus.",IF($F140="Gleichmäßig unter Beteiligten","Geprüft",IF($F140="Vereinbarte Beträge",IF(OR(AND(G140="Ja",M140=""),AND(H140="Ja",N140=""),AND(I140="Ja",O140=""),AND(J140="Ja",P140=""),AND(K140="Ja",Q140=""),AND(L140="Ja",R140="")),"Trage die vereinbarten Beträge so ein, dass ihre Summe der Ausgabe entspricht.",IF(ABS(SUM($M140:$R140))&lt;0.005,"Trage die vereinbarten Beträge so ein, dass ihre Summe der Ausgabe entspricht.",IF(SUM($M140:$R140)&lt;$D140-0.005,"Bei der Aufteilung fehlen "&amp;ROUND($D140-SUM($M140:$R140),2)&amp;".",IF(SUM($M140:$R140)&gt;$D140+0.005,"Die Aufteilung übersteigt die Ausgabe um "&amp;ROUND(SUM($M140:$R140)-$D140,2)&amp;".","Geprüft")))),"Trage die vereinbarten Beträge so ein, dass ihre Summe der Ausgabe entspricht."))))))</f>
      </c>
    </row>
    <row r="141">
      <c r="A141" s="83"/>
      <c r="B141" s="57"/>
      <c r="C141" s="57"/>
      <c r="D141" s="85"/>
      <c r="E141" s="57"/>
      <c r="F141" s="57"/>
      <c r="G141" s="57"/>
      <c r="H141" s="57"/>
      <c r="I141" s="57"/>
      <c r="J141" s="57"/>
      <c r="K141" s="57"/>
      <c r="L141" s="57"/>
      <c r="M141" s="85"/>
      <c r="N141" s="85"/>
      <c r="O141" s="85"/>
      <c r="P141" s="85"/>
      <c r="Q141" s="85"/>
      <c r="R141" s="85"/>
      <c r="S141" s="57"/>
      <c r="T141" s="87" t="str">
        <f>IF(COUNTIF($A141:$S141,"&lt;&gt;")=0,"",IF($F141="Gleichmäßig unter Beteiligten",IF(G141&lt;&gt;"Ja",0,IF(COUNTIF($H141:$L141,"Ja")=0,$D141-0,ROUND($D141/COUNTIF($G141:$L141,"Ja"),2))),IF($F141="Vereinbarte Beträge",IF(G141="Ja",M141,0),"")))</f>
      </c>
      <c r="U141" s="87" t="str">
        <f>IF(COUNTIF($A141:$S141,"&lt;&gt;")=0,"",IF($F141="Gleichmäßig unter Beteiligten",IF(H141&lt;&gt;"Ja",0,IF(COUNTIF($I141:$L141,"Ja")=0,$D141-SUM($T141:T141),ROUND($D141/COUNTIF($G141:$L141,"Ja"),2))),IF($F141="Vereinbarte Beträge",IF(H141="Ja",N141,0),"")))</f>
      </c>
      <c r="V141" s="87" t="str">
        <f>IF(COUNTIF($A141:$S141,"&lt;&gt;")=0,"",IF($F141="Gleichmäßig unter Beteiligten",IF(I141&lt;&gt;"Ja",0,IF(COUNTIF($J141:$L141,"Ja")=0,$D141-SUM($T141:U141),ROUND($D141/COUNTIF($G141:$L141,"Ja"),2))),IF($F141="Vereinbarte Beträge",IF(I141="Ja",O141,0),"")))</f>
      </c>
      <c r="W141" s="87" t="str">
        <f>IF(COUNTIF($A141:$S141,"&lt;&gt;")=0,"",IF($F141="Gleichmäßig unter Beteiligten",IF(J141&lt;&gt;"Ja",0,IF(COUNTIF($K141:$L141,"Ja")=0,$D141-SUM($T141:V141),ROUND($D141/COUNTIF($G141:$L141,"Ja"),2))),IF($F141="Vereinbarte Beträge",IF(J141="Ja",P141,0),"")))</f>
      </c>
      <c r="X141" s="87" t="str">
        <f>IF(COUNTIF($A141:$S141,"&lt;&gt;")=0,"",IF($F141="Gleichmäßig unter Beteiligten",IF(K141&lt;&gt;"Ja",0,IF(COUNTIF($L141:$L141,"Ja")=0,$D141-SUM($T141:W141),ROUND($D141/COUNTIF($G141:$L141,"Ja"),2))),IF($F141="Vereinbarte Beträge",IF(K141="Ja",Q141,0),"")))</f>
      </c>
      <c r="Y141" s="87" t="str">
        <f>IF(COUNTIF($A141:$S141,"&lt;&gt;")=0,"",IF($F141="Gleichmäßig unter Beteiligten",IF(L141&lt;&gt;"Ja",0,IF(0=0,$D141-SUM($T141:X141),ROUND($D141/COUNTIF($G141:$L141,"Ja"),2))),IF($F141="Vereinbarte Beträge",IF(L141="Ja",R141,0),"")))</f>
      </c>
      <c r="Z141" s="81" t="str">
        <f>IF(COUNTIF($A141:$S141,"&lt;&gt;")=0,"",IF(OR($D141="",$D141&lt;=0),"Trage einen Betrag größer als null ein.",IF($E141="","Wähle aus, wer bezahlt hat.",IF(COUNTIF($G141:$L141,"Ja")=0,"Wähle mindestens eine beteiligte Person aus.",IF($F141="Gleichmäßig unter Beteiligten","Geprüft",IF($F141="Vereinbarte Beträge",IF(OR(AND(G141="Ja",M141=""),AND(H141="Ja",N141=""),AND(I141="Ja",O141=""),AND(J141="Ja",P141=""),AND(K141="Ja",Q141=""),AND(L141="Ja",R141="")),"Trage die vereinbarten Beträge so ein, dass ihre Summe der Ausgabe entspricht.",IF(ABS(SUM($M141:$R141))&lt;0.005,"Trage die vereinbarten Beträge so ein, dass ihre Summe der Ausgabe entspricht.",IF(SUM($M141:$R141)&lt;$D141-0.005,"Bei der Aufteilung fehlen "&amp;ROUND($D141-SUM($M141:$R141),2)&amp;".",IF(SUM($M141:$R141)&gt;$D141+0.005,"Die Aufteilung übersteigt die Ausgabe um "&amp;ROUND(SUM($M141:$R141)-$D141,2)&amp;".","Geprüft")))),"Trage die vereinbarten Beträge so ein, dass ihre Summe der Ausgabe entspricht."))))))</f>
      </c>
    </row>
    <row r="142">
      <c r="A142" s="83"/>
      <c r="B142" s="57"/>
      <c r="C142" s="57"/>
      <c r="D142" s="85"/>
      <c r="E142" s="57"/>
      <c r="F142" s="57"/>
      <c r="G142" s="57"/>
      <c r="H142" s="57"/>
      <c r="I142" s="57"/>
      <c r="J142" s="57"/>
      <c r="K142" s="57"/>
      <c r="L142" s="57"/>
      <c r="M142" s="85"/>
      <c r="N142" s="85"/>
      <c r="O142" s="85"/>
      <c r="P142" s="85"/>
      <c r="Q142" s="85"/>
      <c r="R142" s="85"/>
      <c r="S142" s="57"/>
      <c r="T142" s="87" t="str">
        <f>IF(COUNTIF($A142:$S142,"&lt;&gt;")=0,"",IF($F142="Gleichmäßig unter Beteiligten",IF(G142&lt;&gt;"Ja",0,IF(COUNTIF($H142:$L142,"Ja")=0,$D142-0,ROUND($D142/COUNTIF($G142:$L142,"Ja"),2))),IF($F142="Vereinbarte Beträge",IF(G142="Ja",M142,0),"")))</f>
      </c>
      <c r="U142" s="87" t="str">
        <f>IF(COUNTIF($A142:$S142,"&lt;&gt;")=0,"",IF($F142="Gleichmäßig unter Beteiligten",IF(H142&lt;&gt;"Ja",0,IF(COUNTIF($I142:$L142,"Ja")=0,$D142-SUM($T142:T142),ROUND($D142/COUNTIF($G142:$L142,"Ja"),2))),IF($F142="Vereinbarte Beträge",IF(H142="Ja",N142,0),"")))</f>
      </c>
      <c r="V142" s="87" t="str">
        <f>IF(COUNTIF($A142:$S142,"&lt;&gt;")=0,"",IF($F142="Gleichmäßig unter Beteiligten",IF(I142&lt;&gt;"Ja",0,IF(COUNTIF($J142:$L142,"Ja")=0,$D142-SUM($T142:U142),ROUND($D142/COUNTIF($G142:$L142,"Ja"),2))),IF($F142="Vereinbarte Beträge",IF(I142="Ja",O142,0),"")))</f>
      </c>
      <c r="W142" s="87" t="str">
        <f>IF(COUNTIF($A142:$S142,"&lt;&gt;")=0,"",IF($F142="Gleichmäßig unter Beteiligten",IF(J142&lt;&gt;"Ja",0,IF(COUNTIF($K142:$L142,"Ja")=0,$D142-SUM($T142:V142),ROUND($D142/COUNTIF($G142:$L142,"Ja"),2))),IF($F142="Vereinbarte Beträge",IF(J142="Ja",P142,0),"")))</f>
      </c>
      <c r="X142" s="87" t="str">
        <f>IF(COUNTIF($A142:$S142,"&lt;&gt;")=0,"",IF($F142="Gleichmäßig unter Beteiligten",IF(K142&lt;&gt;"Ja",0,IF(COUNTIF($L142:$L142,"Ja")=0,$D142-SUM($T142:W142),ROUND($D142/COUNTIF($G142:$L142,"Ja"),2))),IF($F142="Vereinbarte Beträge",IF(K142="Ja",Q142,0),"")))</f>
      </c>
      <c r="Y142" s="87" t="str">
        <f>IF(COUNTIF($A142:$S142,"&lt;&gt;")=0,"",IF($F142="Gleichmäßig unter Beteiligten",IF(L142&lt;&gt;"Ja",0,IF(0=0,$D142-SUM($T142:X142),ROUND($D142/COUNTIF($G142:$L142,"Ja"),2))),IF($F142="Vereinbarte Beträge",IF(L142="Ja",R142,0),"")))</f>
      </c>
      <c r="Z142" s="81" t="str">
        <f>IF(COUNTIF($A142:$S142,"&lt;&gt;")=0,"",IF(OR($D142="",$D142&lt;=0),"Trage einen Betrag größer als null ein.",IF($E142="","Wähle aus, wer bezahlt hat.",IF(COUNTIF($G142:$L142,"Ja")=0,"Wähle mindestens eine beteiligte Person aus.",IF($F142="Gleichmäßig unter Beteiligten","Geprüft",IF($F142="Vereinbarte Beträge",IF(OR(AND(G142="Ja",M142=""),AND(H142="Ja",N142=""),AND(I142="Ja",O142=""),AND(J142="Ja",P142=""),AND(K142="Ja",Q142=""),AND(L142="Ja",R142="")),"Trage die vereinbarten Beträge so ein, dass ihre Summe der Ausgabe entspricht.",IF(ABS(SUM($M142:$R142))&lt;0.005,"Trage die vereinbarten Beträge so ein, dass ihre Summe der Ausgabe entspricht.",IF(SUM($M142:$R142)&lt;$D142-0.005,"Bei der Aufteilung fehlen "&amp;ROUND($D142-SUM($M142:$R142),2)&amp;".",IF(SUM($M142:$R142)&gt;$D142+0.005,"Die Aufteilung übersteigt die Ausgabe um "&amp;ROUND(SUM($M142:$R142)-$D142,2)&amp;".","Geprüft")))),"Trage die vereinbarten Beträge so ein, dass ihre Summe der Ausgabe entspricht."))))))</f>
      </c>
    </row>
    <row r="143">
      <c r="A143" s="83"/>
      <c r="B143" s="57"/>
      <c r="C143" s="57"/>
      <c r="D143" s="85"/>
      <c r="E143" s="57"/>
      <c r="F143" s="57"/>
      <c r="G143" s="57"/>
      <c r="H143" s="57"/>
      <c r="I143" s="57"/>
      <c r="J143" s="57"/>
      <c r="K143" s="57"/>
      <c r="L143" s="57"/>
      <c r="M143" s="85"/>
      <c r="N143" s="85"/>
      <c r="O143" s="85"/>
      <c r="P143" s="85"/>
      <c r="Q143" s="85"/>
      <c r="R143" s="85"/>
      <c r="S143" s="57"/>
      <c r="T143" s="87" t="str">
        <f>IF(COUNTIF($A143:$S143,"&lt;&gt;")=0,"",IF($F143="Gleichmäßig unter Beteiligten",IF(G143&lt;&gt;"Ja",0,IF(COUNTIF($H143:$L143,"Ja")=0,$D143-0,ROUND($D143/COUNTIF($G143:$L143,"Ja"),2))),IF($F143="Vereinbarte Beträge",IF(G143="Ja",M143,0),"")))</f>
      </c>
      <c r="U143" s="87" t="str">
        <f>IF(COUNTIF($A143:$S143,"&lt;&gt;")=0,"",IF($F143="Gleichmäßig unter Beteiligten",IF(H143&lt;&gt;"Ja",0,IF(COUNTIF($I143:$L143,"Ja")=0,$D143-SUM($T143:T143),ROUND($D143/COUNTIF($G143:$L143,"Ja"),2))),IF($F143="Vereinbarte Beträge",IF(H143="Ja",N143,0),"")))</f>
      </c>
      <c r="V143" s="87" t="str">
        <f>IF(COUNTIF($A143:$S143,"&lt;&gt;")=0,"",IF($F143="Gleichmäßig unter Beteiligten",IF(I143&lt;&gt;"Ja",0,IF(COUNTIF($J143:$L143,"Ja")=0,$D143-SUM($T143:U143),ROUND($D143/COUNTIF($G143:$L143,"Ja"),2))),IF($F143="Vereinbarte Beträge",IF(I143="Ja",O143,0),"")))</f>
      </c>
      <c r="W143" s="87" t="str">
        <f>IF(COUNTIF($A143:$S143,"&lt;&gt;")=0,"",IF($F143="Gleichmäßig unter Beteiligten",IF(J143&lt;&gt;"Ja",0,IF(COUNTIF($K143:$L143,"Ja")=0,$D143-SUM($T143:V143),ROUND($D143/COUNTIF($G143:$L143,"Ja"),2))),IF($F143="Vereinbarte Beträge",IF(J143="Ja",P143,0),"")))</f>
      </c>
      <c r="X143" s="87" t="str">
        <f>IF(COUNTIF($A143:$S143,"&lt;&gt;")=0,"",IF($F143="Gleichmäßig unter Beteiligten",IF(K143&lt;&gt;"Ja",0,IF(COUNTIF($L143:$L143,"Ja")=0,$D143-SUM($T143:W143),ROUND($D143/COUNTIF($G143:$L143,"Ja"),2))),IF($F143="Vereinbarte Beträge",IF(K143="Ja",Q143,0),"")))</f>
      </c>
      <c r="Y143" s="87" t="str">
        <f>IF(COUNTIF($A143:$S143,"&lt;&gt;")=0,"",IF($F143="Gleichmäßig unter Beteiligten",IF(L143&lt;&gt;"Ja",0,IF(0=0,$D143-SUM($T143:X143),ROUND($D143/COUNTIF($G143:$L143,"Ja"),2))),IF($F143="Vereinbarte Beträge",IF(L143="Ja",R143,0),"")))</f>
      </c>
      <c r="Z143" s="81" t="str">
        <f>IF(COUNTIF($A143:$S143,"&lt;&gt;")=0,"",IF(OR($D143="",$D143&lt;=0),"Trage einen Betrag größer als null ein.",IF($E143="","Wähle aus, wer bezahlt hat.",IF(COUNTIF($G143:$L143,"Ja")=0,"Wähle mindestens eine beteiligte Person aus.",IF($F143="Gleichmäßig unter Beteiligten","Geprüft",IF($F143="Vereinbarte Beträge",IF(OR(AND(G143="Ja",M143=""),AND(H143="Ja",N143=""),AND(I143="Ja",O143=""),AND(J143="Ja",P143=""),AND(K143="Ja",Q143=""),AND(L143="Ja",R143="")),"Trage die vereinbarten Beträge so ein, dass ihre Summe der Ausgabe entspricht.",IF(ABS(SUM($M143:$R143))&lt;0.005,"Trage die vereinbarten Beträge so ein, dass ihre Summe der Ausgabe entspricht.",IF(SUM($M143:$R143)&lt;$D143-0.005,"Bei der Aufteilung fehlen "&amp;ROUND($D143-SUM($M143:$R143),2)&amp;".",IF(SUM($M143:$R143)&gt;$D143+0.005,"Die Aufteilung übersteigt die Ausgabe um "&amp;ROUND(SUM($M143:$R143)-$D143,2)&amp;".","Geprüft")))),"Trage die vereinbarten Beträge so ein, dass ihre Summe der Ausgabe entspricht."))))))</f>
      </c>
    </row>
    <row r="144">
      <c r="A144" s="83"/>
      <c r="B144" s="57"/>
      <c r="C144" s="57"/>
      <c r="D144" s="85"/>
      <c r="E144" s="57"/>
      <c r="F144" s="57"/>
      <c r="G144" s="57"/>
      <c r="H144" s="57"/>
      <c r="I144" s="57"/>
      <c r="J144" s="57"/>
      <c r="K144" s="57"/>
      <c r="L144" s="57"/>
      <c r="M144" s="85"/>
      <c r="N144" s="85"/>
      <c r="O144" s="85"/>
      <c r="P144" s="85"/>
      <c r="Q144" s="85"/>
      <c r="R144" s="85"/>
      <c r="S144" s="57"/>
      <c r="T144" s="87" t="str">
        <f>IF(COUNTIF($A144:$S144,"&lt;&gt;")=0,"",IF($F144="Gleichmäßig unter Beteiligten",IF(G144&lt;&gt;"Ja",0,IF(COUNTIF($H144:$L144,"Ja")=0,$D144-0,ROUND($D144/COUNTIF($G144:$L144,"Ja"),2))),IF($F144="Vereinbarte Beträge",IF(G144="Ja",M144,0),"")))</f>
      </c>
      <c r="U144" s="87" t="str">
        <f>IF(COUNTIF($A144:$S144,"&lt;&gt;")=0,"",IF($F144="Gleichmäßig unter Beteiligten",IF(H144&lt;&gt;"Ja",0,IF(COUNTIF($I144:$L144,"Ja")=0,$D144-SUM($T144:T144),ROUND($D144/COUNTIF($G144:$L144,"Ja"),2))),IF($F144="Vereinbarte Beträge",IF(H144="Ja",N144,0),"")))</f>
      </c>
      <c r="V144" s="87" t="str">
        <f>IF(COUNTIF($A144:$S144,"&lt;&gt;")=0,"",IF($F144="Gleichmäßig unter Beteiligten",IF(I144&lt;&gt;"Ja",0,IF(COUNTIF($J144:$L144,"Ja")=0,$D144-SUM($T144:U144),ROUND($D144/COUNTIF($G144:$L144,"Ja"),2))),IF($F144="Vereinbarte Beträge",IF(I144="Ja",O144,0),"")))</f>
      </c>
      <c r="W144" s="87" t="str">
        <f>IF(COUNTIF($A144:$S144,"&lt;&gt;")=0,"",IF($F144="Gleichmäßig unter Beteiligten",IF(J144&lt;&gt;"Ja",0,IF(COUNTIF($K144:$L144,"Ja")=0,$D144-SUM($T144:V144),ROUND($D144/COUNTIF($G144:$L144,"Ja"),2))),IF($F144="Vereinbarte Beträge",IF(J144="Ja",P144,0),"")))</f>
      </c>
      <c r="X144" s="87" t="str">
        <f>IF(COUNTIF($A144:$S144,"&lt;&gt;")=0,"",IF($F144="Gleichmäßig unter Beteiligten",IF(K144&lt;&gt;"Ja",0,IF(COUNTIF($L144:$L144,"Ja")=0,$D144-SUM($T144:W144),ROUND($D144/COUNTIF($G144:$L144,"Ja"),2))),IF($F144="Vereinbarte Beträge",IF(K144="Ja",Q144,0),"")))</f>
      </c>
      <c r="Y144" s="87" t="str">
        <f>IF(COUNTIF($A144:$S144,"&lt;&gt;")=0,"",IF($F144="Gleichmäßig unter Beteiligten",IF(L144&lt;&gt;"Ja",0,IF(0=0,$D144-SUM($T144:X144),ROUND($D144/COUNTIF($G144:$L144,"Ja"),2))),IF($F144="Vereinbarte Beträge",IF(L144="Ja",R144,0),"")))</f>
      </c>
      <c r="Z144" s="81" t="str">
        <f>IF(COUNTIF($A144:$S144,"&lt;&gt;")=0,"",IF(OR($D144="",$D144&lt;=0),"Trage einen Betrag größer als null ein.",IF($E144="","Wähle aus, wer bezahlt hat.",IF(COUNTIF($G144:$L144,"Ja")=0,"Wähle mindestens eine beteiligte Person aus.",IF($F144="Gleichmäßig unter Beteiligten","Geprüft",IF($F144="Vereinbarte Beträge",IF(OR(AND(G144="Ja",M144=""),AND(H144="Ja",N144=""),AND(I144="Ja",O144=""),AND(J144="Ja",P144=""),AND(K144="Ja",Q144=""),AND(L144="Ja",R144="")),"Trage die vereinbarten Beträge so ein, dass ihre Summe der Ausgabe entspricht.",IF(ABS(SUM($M144:$R144))&lt;0.005,"Trage die vereinbarten Beträge so ein, dass ihre Summe der Ausgabe entspricht.",IF(SUM($M144:$R144)&lt;$D144-0.005,"Bei der Aufteilung fehlen "&amp;ROUND($D144-SUM($M144:$R144),2)&amp;".",IF(SUM($M144:$R144)&gt;$D144+0.005,"Die Aufteilung übersteigt die Ausgabe um "&amp;ROUND(SUM($M144:$R144)-$D144,2)&amp;".","Geprüft")))),"Trage die vereinbarten Beträge so ein, dass ihre Summe der Ausgabe entspricht."))))))</f>
      </c>
    </row>
    <row r="145">
      <c r="A145" s="83"/>
      <c r="B145" s="57"/>
      <c r="C145" s="57"/>
      <c r="D145" s="85"/>
      <c r="E145" s="57"/>
      <c r="F145" s="57"/>
      <c r="G145" s="57"/>
      <c r="H145" s="57"/>
      <c r="I145" s="57"/>
      <c r="J145" s="57"/>
      <c r="K145" s="57"/>
      <c r="L145" s="57"/>
      <c r="M145" s="85"/>
      <c r="N145" s="85"/>
      <c r="O145" s="85"/>
      <c r="P145" s="85"/>
      <c r="Q145" s="85"/>
      <c r="R145" s="85"/>
      <c r="S145" s="57"/>
      <c r="T145" s="87" t="str">
        <f>IF(COUNTIF($A145:$S145,"&lt;&gt;")=0,"",IF($F145="Gleichmäßig unter Beteiligten",IF(G145&lt;&gt;"Ja",0,IF(COUNTIF($H145:$L145,"Ja")=0,$D145-0,ROUND($D145/COUNTIF($G145:$L145,"Ja"),2))),IF($F145="Vereinbarte Beträge",IF(G145="Ja",M145,0),"")))</f>
      </c>
      <c r="U145" s="87" t="str">
        <f>IF(COUNTIF($A145:$S145,"&lt;&gt;")=0,"",IF($F145="Gleichmäßig unter Beteiligten",IF(H145&lt;&gt;"Ja",0,IF(COUNTIF($I145:$L145,"Ja")=0,$D145-SUM($T145:T145),ROUND($D145/COUNTIF($G145:$L145,"Ja"),2))),IF($F145="Vereinbarte Beträge",IF(H145="Ja",N145,0),"")))</f>
      </c>
      <c r="V145" s="87" t="str">
        <f>IF(COUNTIF($A145:$S145,"&lt;&gt;")=0,"",IF($F145="Gleichmäßig unter Beteiligten",IF(I145&lt;&gt;"Ja",0,IF(COUNTIF($J145:$L145,"Ja")=0,$D145-SUM($T145:U145),ROUND($D145/COUNTIF($G145:$L145,"Ja"),2))),IF($F145="Vereinbarte Beträge",IF(I145="Ja",O145,0),"")))</f>
      </c>
      <c r="W145" s="87" t="str">
        <f>IF(COUNTIF($A145:$S145,"&lt;&gt;")=0,"",IF($F145="Gleichmäßig unter Beteiligten",IF(J145&lt;&gt;"Ja",0,IF(COUNTIF($K145:$L145,"Ja")=0,$D145-SUM($T145:V145),ROUND($D145/COUNTIF($G145:$L145,"Ja"),2))),IF($F145="Vereinbarte Beträge",IF(J145="Ja",P145,0),"")))</f>
      </c>
      <c r="X145" s="87" t="str">
        <f>IF(COUNTIF($A145:$S145,"&lt;&gt;")=0,"",IF($F145="Gleichmäßig unter Beteiligten",IF(K145&lt;&gt;"Ja",0,IF(COUNTIF($L145:$L145,"Ja")=0,$D145-SUM($T145:W145),ROUND($D145/COUNTIF($G145:$L145,"Ja"),2))),IF($F145="Vereinbarte Beträge",IF(K145="Ja",Q145,0),"")))</f>
      </c>
      <c r="Y145" s="87" t="str">
        <f>IF(COUNTIF($A145:$S145,"&lt;&gt;")=0,"",IF($F145="Gleichmäßig unter Beteiligten",IF(L145&lt;&gt;"Ja",0,IF(0=0,$D145-SUM($T145:X145),ROUND($D145/COUNTIF($G145:$L145,"Ja"),2))),IF($F145="Vereinbarte Beträge",IF(L145="Ja",R145,0),"")))</f>
      </c>
      <c r="Z145" s="81" t="str">
        <f>IF(COUNTIF($A145:$S145,"&lt;&gt;")=0,"",IF(OR($D145="",$D145&lt;=0),"Trage einen Betrag größer als null ein.",IF($E145="","Wähle aus, wer bezahlt hat.",IF(COUNTIF($G145:$L145,"Ja")=0,"Wähle mindestens eine beteiligte Person aus.",IF($F145="Gleichmäßig unter Beteiligten","Geprüft",IF($F145="Vereinbarte Beträge",IF(OR(AND(G145="Ja",M145=""),AND(H145="Ja",N145=""),AND(I145="Ja",O145=""),AND(J145="Ja",P145=""),AND(K145="Ja",Q145=""),AND(L145="Ja",R145="")),"Trage die vereinbarten Beträge so ein, dass ihre Summe der Ausgabe entspricht.",IF(ABS(SUM($M145:$R145))&lt;0.005,"Trage die vereinbarten Beträge so ein, dass ihre Summe der Ausgabe entspricht.",IF(SUM($M145:$R145)&lt;$D145-0.005,"Bei der Aufteilung fehlen "&amp;ROUND($D145-SUM($M145:$R145),2)&amp;".",IF(SUM($M145:$R145)&gt;$D145+0.005,"Die Aufteilung übersteigt die Ausgabe um "&amp;ROUND(SUM($M145:$R145)-$D145,2)&amp;".","Geprüft")))),"Trage die vereinbarten Beträge so ein, dass ihre Summe der Ausgabe entspricht."))))))</f>
      </c>
    </row>
    <row r="146">
      <c r="A146" s="83"/>
      <c r="B146" s="57"/>
      <c r="C146" s="57"/>
      <c r="D146" s="85"/>
      <c r="E146" s="57"/>
      <c r="F146" s="57"/>
      <c r="G146" s="57"/>
      <c r="H146" s="57"/>
      <c r="I146" s="57"/>
      <c r="J146" s="57"/>
      <c r="K146" s="57"/>
      <c r="L146" s="57"/>
      <c r="M146" s="85"/>
      <c r="N146" s="85"/>
      <c r="O146" s="85"/>
      <c r="P146" s="85"/>
      <c r="Q146" s="85"/>
      <c r="R146" s="85"/>
      <c r="S146" s="57"/>
      <c r="T146" s="87" t="str">
        <f>IF(COUNTIF($A146:$S146,"&lt;&gt;")=0,"",IF($F146="Gleichmäßig unter Beteiligten",IF(G146&lt;&gt;"Ja",0,IF(COUNTIF($H146:$L146,"Ja")=0,$D146-0,ROUND($D146/COUNTIF($G146:$L146,"Ja"),2))),IF($F146="Vereinbarte Beträge",IF(G146="Ja",M146,0),"")))</f>
      </c>
      <c r="U146" s="87" t="str">
        <f>IF(COUNTIF($A146:$S146,"&lt;&gt;")=0,"",IF($F146="Gleichmäßig unter Beteiligten",IF(H146&lt;&gt;"Ja",0,IF(COUNTIF($I146:$L146,"Ja")=0,$D146-SUM($T146:T146),ROUND($D146/COUNTIF($G146:$L146,"Ja"),2))),IF($F146="Vereinbarte Beträge",IF(H146="Ja",N146,0),"")))</f>
      </c>
      <c r="V146" s="87" t="str">
        <f>IF(COUNTIF($A146:$S146,"&lt;&gt;")=0,"",IF($F146="Gleichmäßig unter Beteiligten",IF(I146&lt;&gt;"Ja",0,IF(COUNTIF($J146:$L146,"Ja")=0,$D146-SUM($T146:U146),ROUND($D146/COUNTIF($G146:$L146,"Ja"),2))),IF($F146="Vereinbarte Beträge",IF(I146="Ja",O146,0),"")))</f>
      </c>
      <c r="W146" s="87" t="str">
        <f>IF(COUNTIF($A146:$S146,"&lt;&gt;")=0,"",IF($F146="Gleichmäßig unter Beteiligten",IF(J146&lt;&gt;"Ja",0,IF(COUNTIF($K146:$L146,"Ja")=0,$D146-SUM($T146:V146),ROUND($D146/COUNTIF($G146:$L146,"Ja"),2))),IF($F146="Vereinbarte Beträge",IF(J146="Ja",P146,0),"")))</f>
      </c>
      <c r="X146" s="87" t="str">
        <f>IF(COUNTIF($A146:$S146,"&lt;&gt;")=0,"",IF($F146="Gleichmäßig unter Beteiligten",IF(K146&lt;&gt;"Ja",0,IF(COUNTIF($L146:$L146,"Ja")=0,$D146-SUM($T146:W146),ROUND($D146/COUNTIF($G146:$L146,"Ja"),2))),IF($F146="Vereinbarte Beträge",IF(K146="Ja",Q146,0),"")))</f>
      </c>
      <c r="Y146" s="87" t="str">
        <f>IF(COUNTIF($A146:$S146,"&lt;&gt;")=0,"",IF($F146="Gleichmäßig unter Beteiligten",IF(L146&lt;&gt;"Ja",0,IF(0=0,$D146-SUM($T146:X146),ROUND($D146/COUNTIF($G146:$L146,"Ja"),2))),IF($F146="Vereinbarte Beträge",IF(L146="Ja",R146,0),"")))</f>
      </c>
      <c r="Z146" s="81" t="str">
        <f>IF(COUNTIF($A146:$S146,"&lt;&gt;")=0,"",IF(OR($D146="",$D146&lt;=0),"Trage einen Betrag größer als null ein.",IF($E146="","Wähle aus, wer bezahlt hat.",IF(COUNTIF($G146:$L146,"Ja")=0,"Wähle mindestens eine beteiligte Person aus.",IF($F146="Gleichmäßig unter Beteiligten","Geprüft",IF($F146="Vereinbarte Beträge",IF(OR(AND(G146="Ja",M146=""),AND(H146="Ja",N146=""),AND(I146="Ja",O146=""),AND(J146="Ja",P146=""),AND(K146="Ja",Q146=""),AND(L146="Ja",R146="")),"Trage die vereinbarten Beträge so ein, dass ihre Summe der Ausgabe entspricht.",IF(ABS(SUM($M146:$R146))&lt;0.005,"Trage die vereinbarten Beträge so ein, dass ihre Summe der Ausgabe entspricht.",IF(SUM($M146:$R146)&lt;$D146-0.005,"Bei der Aufteilung fehlen "&amp;ROUND($D146-SUM($M146:$R146),2)&amp;".",IF(SUM($M146:$R146)&gt;$D146+0.005,"Die Aufteilung übersteigt die Ausgabe um "&amp;ROUND(SUM($M146:$R146)-$D146,2)&amp;".","Geprüft")))),"Trage die vereinbarten Beträge so ein, dass ihre Summe der Ausgabe entspricht."))))))</f>
      </c>
    </row>
    <row r="147">
      <c r="A147" s="83"/>
      <c r="B147" s="57"/>
      <c r="C147" s="57"/>
      <c r="D147" s="85"/>
      <c r="E147" s="57"/>
      <c r="F147" s="57"/>
      <c r="G147" s="57"/>
      <c r="H147" s="57"/>
      <c r="I147" s="57"/>
      <c r="J147" s="57"/>
      <c r="K147" s="57"/>
      <c r="L147" s="57"/>
      <c r="M147" s="85"/>
      <c r="N147" s="85"/>
      <c r="O147" s="85"/>
      <c r="P147" s="85"/>
      <c r="Q147" s="85"/>
      <c r="R147" s="85"/>
      <c r="S147" s="57"/>
      <c r="T147" s="87" t="str">
        <f>IF(COUNTIF($A147:$S147,"&lt;&gt;")=0,"",IF($F147="Gleichmäßig unter Beteiligten",IF(G147&lt;&gt;"Ja",0,IF(COUNTIF($H147:$L147,"Ja")=0,$D147-0,ROUND($D147/COUNTIF($G147:$L147,"Ja"),2))),IF($F147="Vereinbarte Beträge",IF(G147="Ja",M147,0),"")))</f>
      </c>
      <c r="U147" s="87" t="str">
        <f>IF(COUNTIF($A147:$S147,"&lt;&gt;")=0,"",IF($F147="Gleichmäßig unter Beteiligten",IF(H147&lt;&gt;"Ja",0,IF(COUNTIF($I147:$L147,"Ja")=0,$D147-SUM($T147:T147),ROUND($D147/COUNTIF($G147:$L147,"Ja"),2))),IF($F147="Vereinbarte Beträge",IF(H147="Ja",N147,0),"")))</f>
      </c>
      <c r="V147" s="87" t="str">
        <f>IF(COUNTIF($A147:$S147,"&lt;&gt;")=0,"",IF($F147="Gleichmäßig unter Beteiligten",IF(I147&lt;&gt;"Ja",0,IF(COUNTIF($J147:$L147,"Ja")=0,$D147-SUM($T147:U147),ROUND($D147/COUNTIF($G147:$L147,"Ja"),2))),IF($F147="Vereinbarte Beträge",IF(I147="Ja",O147,0),"")))</f>
      </c>
      <c r="W147" s="87" t="str">
        <f>IF(COUNTIF($A147:$S147,"&lt;&gt;")=0,"",IF($F147="Gleichmäßig unter Beteiligten",IF(J147&lt;&gt;"Ja",0,IF(COUNTIF($K147:$L147,"Ja")=0,$D147-SUM($T147:V147),ROUND($D147/COUNTIF($G147:$L147,"Ja"),2))),IF($F147="Vereinbarte Beträge",IF(J147="Ja",P147,0),"")))</f>
      </c>
      <c r="X147" s="87" t="str">
        <f>IF(COUNTIF($A147:$S147,"&lt;&gt;")=0,"",IF($F147="Gleichmäßig unter Beteiligten",IF(K147&lt;&gt;"Ja",0,IF(COUNTIF($L147:$L147,"Ja")=0,$D147-SUM($T147:W147),ROUND($D147/COUNTIF($G147:$L147,"Ja"),2))),IF($F147="Vereinbarte Beträge",IF(K147="Ja",Q147,0),"")))</f>
      </c>
      <c r="Y147" s="87" t="str">
        <f>IF(COUNTIF($A147:$S147,"&lt;&gt;")=0,"",IF($F147="Gleichmäßig unter Beteiligten",IF(L147&lt;&gt;"Ja",0,IF(0=0,$D147-SUM($T147:X147),ROUND($D147/COUNTIF($G147:$L147,"Ja"),2))),IF($F147="Vereinbarte Beträge",IF(L147="Ja",R147,0),"")))</f>
      </c>
      <c r="Z147" s="81" t="str">
        <f>IF(COUNTIF($A147:$S147,"&lt;&gt;")=0,"",IF(OR($D147="",$D147&lt;=0),"Trage einen Betrag größer als null ein.",IF($E147="","Wähle aus, wer bezahlt hat.",IF(COUNTIF($G147:$L147,"Ja")=0,"Wähle mindestens eine beteiligte Person aus.",IF($F147="Gleichmäßig unter Beteiligten","Geprüft",IF($F147="Vereinbarte Beträge",IF(OR(AND(G147="Ja",M147=""),AND(H147="Ja",N147=""),AND(I147="Ja",O147=""),AND(J147="Ja",P147=""),AND(K147="Ja",Q147=""),AND(L147="Ja",R147="")),"Trage die vereinbarten Beträge so ein, dass ihre Summe der Ausgabe entspricht.",IF(ABS(SUM($M147:$R147))&lt;0.005,"Trage die vereinbarten Beträge so ein, dass ihre Summe der Ausgabe entspricht.",IF(SUM($M147:$R147)&lt;$D147-0.005,"Bei der Aufteilung fehlen "&amp;ROUND($D147-SUM($M147:$R147),2)&amp;".",IF(SUM($M147:$R147)&gt;$D147+0.005,"Die Aufteilung übersteigt die Ausgabe um "&amp;ROUND(SUM($M147:$R147)-$D147,2)&amp;".","Geprüft")))),"Trage die vereinbarten Beträge so ein, dass ihre Summe der Ausgabe entspricht."))))))</f>
      </c>
    </row>
    <row r="148">
      <c r="A148" s="83"/>
      <c r="B148" s="57"/>
      <c r="C148" s="57"/>
      <c r="D148" s="85"/>
      <c r="E148" s="57"/>
      <c r="F148" s="57"/>
      <c r="G148" s="57"/>
      <c r="H148" s="57"/>
      <c r="I148" s="57"/>
      <c r="J148" s="57"/>
      <c r="K148" s="57"/>
      <c r="L148" s="57"/>
      <c r="M148" s="85"/>
      <c r="N148" s="85"/>
      <c r="O148" s="85"/>
      <c r="P148" s="85"/>
      <c r="Q148" s="85"/>
      <c r="R148" s="85"/>
      <c r="S148" s="57"/>
      <c r="T148" s="87" t="str">
        <f>IF(COUNTIF($A148:$S148,"&lt;&gt;")=0,"",IF($F148="Gleichmäßig unter Beteiligten",IF(G148&lt;&gt;"Ja",0,IF(COUNTIF($H148:$L148,"Ja")=0,$D148-0,ROUND($D148/COUNTIF($G148:$L148,"Ja"),2))),IF($F148="Vereinbarte Beträge",IF(G148="Ja",M148,0),"")))</f>
      </c>
      <c r="U148" s="87" t="str">
        <f>IF(COUNTIF($A148:$S148,"&lt;&gt;")=0,"",IF($F148="Gleichmäßig unter Beteiligten",IF(H148&lt;&gt;"Ja",0,IF(COUNTIF($I148:$L148,"Ja")=0,$D148-SUM($T148:T148),ROUND($D148/COUNTIF($G148:$L148,"Ja"),2))),IF($F148="Vereinbarte Beträge",IF(H148="Ja",N148,0),"")))</f>
      </c>
      <c r="V148" s="87" t="str">
        <f>IF(COUNTIF($A148:$S148,"&lt;&gt;")=0,"",IF($F148="Gleichmäßig unter Beteiligten",IF(I148&lt;&gt;"Ja",0,IF(COUNTIF($J148:$L148,"Ja")=0,$D148-SUM($T148:U148),ROUND($D148/COUNTIF($G148:$L148,"Ja"),2))),IF($F148="Vereinbarte Beträge",IF(I148="Ja",O148,0),"")))</f>
      </c>
      <c r="W148" s="87" t="str">
        <f>IF(COUNTIF($A148:$S148,"&lt;&gt;")=0,"",IF($F148="Gleichmäßig unter Beteiligten",IF(J148&lt;&gt;"Ja",0,IF(COUNTIF($K148:$L148,"Ja")=0,$D148-SUM($T148:V148),ROUND($D148/COUNTIF($G148:$L148,"Ja"),2))),IF($F148="Vereinbarte Beträge",IF(J148="Ja",P148,0),"")))</f>
      </c>
      <c r="X148" s="87" t="str">
        <f>IF(COUNTIF($A148:$S148,"&lt;&gt;")=0,"",IF($F148="Gleichmäßig unter Beteiligten",IF(K148&lt;&gt;"Ja",0,IF(COUNTIF($L148:$L148,"Ja")=0,$D148-SUM($T148:W148),ROUND($D148/COUNTIF($G148:$L148,"Ja"),2))),IF($F148="Vereinbarte Beträge",IF(K148="Ja",Q148,0),"")))</f>
      </c>
      <c r="Y148" s="87" t="str">
        <f>IF(COUNTIF($A148:$S148,"&lt;&gt;")=0,"",IF($F148="Gleichmäßig unter Beteiligten",IF(L148&lt;&gt;"Ja",0,IF(0=0,$D148-SUM($T148:X148),ROUND($D148/COUNTIF($G148:$L148,"Ja"),2))),IF($F148="Vereinbarte Beträge",IF(L148="Ja",R148,0),"")))</f>
      </c>
      <c r="Z148" s="81" t="str">
        <f>IF(COUNTIF($A148:$S148,"&lt;&gt;")=0,"",IF(OR($D148="",$D148&lt;=0),"Trage einen Betrag größer als null ein.",IF($E148="","Wähle aus, wer bezahlt hat.",IF(COUNTIF($G148:$L148,"Ja")=0,"Wähle mindestens eine beteiligte Person aus.",IF($F148="Gleichmäßig unter Beteiligten","Geprüft",IF($F148="Vereinbarte Beträge",IF(OR(AND(G148="Ja",M148=""),AND(H148="Ja",N148=""),AND(I148="Ja",O148=""),AND(J148="Ja",P148=""),AND(K148="Ja",Q148=""),AND(L148="Ja",R148="")),"Trage die vereinbarten Beträge so ein, dass ihre Summe der Ausgabe entspricht.",IF(ABS(SUM($M148:$R148))&lt;0.005,"Trage die vereinbarten Beträge so ein, dass ihre Summe der Ausgabe entspricht.",IF(SUM($M148:$R148)&lt;$D148-0.005,"Bei der Aufteilung fehlen "&amp;ROUND($D148-SUM($M148:$R148),2)&amp;".",IF(SUM($M148:$R148)&gt;$D148+0.005,"Die Aufteilung übersteigt die Ausgabe um "&amp;ROUND(SUM($M148:$R148)-$D148,2)&amp;".","Geprüft")))),"Trage die vereinbarten Beträge so ein, dass ihre Summe der Ausgabe entspricht."))))))</f>
      </c>
    </row>
    <row r="149">
      <c r="A149" s="83"/>
      <c r="B149" s="57"/>
      <c r="C149" s="57"/>
      <c r="D149" s="85"/>
      <c r="E149" s="57"/>
      <c r="F149" s="57"/>
      <c r="G149" s="57"/>
      <c r="H149" s="57"/>
      <c r="I149" s="57"/>
      <c r="J149" s="57"/>
      <c r="K149" s="57"/>
      <c r="L149" s="57"/>
      <c r="M149" s="85"/>
      <c r="N149" s="85"/>
      <c r="O149" s="85"/>
      <c r="P149" s="85"/>
      <c r="Q149" s="85"/>
      <c r="R149" s="85"/>
      <c r="S149" s="57"/>
      <c r="T149" s="87" t="str">
        <f>IF(COUNTIF($A149:$S149,"&lt;&gt;")=0,"",IF($F149="Gleichmäßig unter Beteiligten",IF(G149&lt;&gt;"Ja",0,IF(COUNTIF($H149:$L149,"Ja")=0,$D149-0,ROUND($D149/COUNTIF($G149:$L149,"Ja"),2))),IF($F149="Vereinbarte Beträge",IF(G149="Ja",M149,0),"")))</f>
      </c>
      <c r="U149" s="87" t="str">
        <f>IF(COUNTIF($A149:$S149,"&lt;&gt;")=0,"",IF($F149="Gleichmäßig unter Beteiligten",IF(H149&lt;&gt;"Ja",0,IF(COUNTIF($I149:$L149,"Ja")=0,$D149-SUM($T149:T149),ROUND($D149/COUNTIF($G149:$L149,"Ja"),2))),IF($F149="Vereinbarte Beträge",IF(H149="Ja",N149,0),"")))</f>
      </c>
      <c r="V149" s="87" t="str">
        <f>IF(COUNTIF($A149:$S149,"&lt;&gt;")=0,"",IF($F149="Gleichmäßig unter Beteiligten",IF(I149&lt;&gt;"Ja",0,IF(COUNTIF($J149:$L149,"Ja")=0,$D149-SUM($T149:U149),ROUND($D149/COUNTIF($G149:$L149,"Ja"),2))),IF($F149="Vereinbarte Beträge",IF(I149="Ja",O149,0),"")))</f>
      </c>
      <c r="W149" s="87" t="str">
        <f>IF(COUNTIF($A149:$S149,"&lt;&gt;")=0,"",IF($F149="Gleichmäßig unter Beteiligten",IF(J149&lt;&gt;"Ja",0,IF(COUNTIF($K149:$L149,"Ja")=0,$D149-SUM($T149:V149),ROUND($D149/COUNTIF($G149:$L149,"Ja"),2))),IF($F149="Vereinbarte Beträge",IF(J149="Ja",P149,0),"")))</f>
      </c>
      <c r="X149" s="87" t="str">
        <f>IF(COUNTIF($A149:$S149,"&lt;&gt;")=0,"",IF($F149="Gleichmäßig unter Beteiligten",IF(K149&lt;&gt;"Ja",0,IF(COUNTIF($L149:$L149,"Ja")=0,$D149-SUM($T149:W149),ROUND($D149/COUNTIF($G149:$L149,"Ja"),2))),IF($F149="Vereinbarte Beträge",IF(K149="Ja",Q149,0),"")))</f>
      </c>
      <c r="Y149" s="87" t="str">
        <f>IF(COUNTIF($A149:$S149,"&lt;&gt;")=0,"",IF($F149="Gleichmäßig unter Beteiligten",IF(L149&lt;&gt;"Ja",0,IF(0=0,$D149-SUM($T149:X149),ROUND($D149/COUNTIF($G149:$L149,"Ja"),2))),IF($F149="Vereinbarte Beträge",IF(L149="Ja",R149,0),"")))</f>
      </c>
      <c r="Z149" s="81" t="str">
        <f>IF(COUNTIF($A149:$S149,"&lt;&gt;")=0,"",IF(OR($D149="",$D149&lt;=0),"Trage einen Betrag größer als null ein.",IF($E149="","Wähle aus, wer bezahlt hat.",IF(COUNTIF($G149:$L149,"Ja")=0,"Wähle mindestens eine beteiligte Person aus.",IF($F149="Gleichmäßig unter Beteiligten","Geprüft",IF($F149="Vereinbarte Beträge",IF(OR(AND(G149="Ja",M149=""),AND(H149="Ja",N149=""),AND(I149="Ja",O149=""),AND(J149="Ja",P149=""),AND(K149="Ja",Q149=""),AND(L149="Ja",R149="")),"Trage die vereinbarten Beträge so ein, dass ihre Summe der Ausgabe entspricht.",IF(ABS(SUM($M149:$R149))&lt;0.005,"Trage die vereinbarten Beträge so ein, dass ihre Summe der Ausgabe entspricht.",IF(SUM($M149:$R149)&lt;$D149-0.005,"Bei der Aufteilung fehlen "&amp;ROUND($D149-SUM($M149:$R149),2)&amp;".",IF(SUM($M149:$R149)&gt;$D149+0.005,"Die Aufteilung übersteigt die Ausgabe um "&amp;ROUND(SUM($M149:$R149)-$D149,2)&amp;".","Geprüft")))),"Trage die vereinbarten Beträge so ein, dass ihre Summe der Ausgabe entspricht."))))))</f>
      </c>
    </row>
    <row r="150">
      <c r="A150" s="83"/>
      <c r="B150" s="57"/>
      <c r="C150" s="57"/>
      <c r="D150" s="85"/>
      <c r="E150" s="57"/>
      <c r="F150" s="57"/>
      <c r="G150" s="57"/>
      <c r="H150" s="57"/>
      <c r="I150" s="57"/>
      <c r="J150" s="57"/>
      <c r="K150" s="57"/>
      <c r="L150" s="57"/>
      <c r="M150" s="85"/>
      <c r="N150" s="85"/>
      <c r="O150" s="85"/>
      <c r="P150" s="85"/>
      <c r="Q150" s="85"/>
      <c r="R150" s="85"/>
      <c r="S150" s="57"/>
      <c r="T150" s="87" t="str">
        <f>IF(COUNTIF($A150:$S150,"&lt;&gt;")=0,"",IF($F150="Gleichmäßig unter Beteiligten",IF(G150&lt;&gt;"Ja",0,IF(COUNTIF($H150:$L150,"Ja")=0,$D150-0,ROUND($D150/COUNTIF($G150:$L150,"Ja"),2))),IF($F150="Vereinbarte Beträge",IF(G150="Ja",M150,0),"")))</f>
      </c>
      <c r="U150" s="87" t="str">
        <f>IF(COUNTIF($A150:$S150,"&lt;&gt;")=0,"",IF($F150="Gleichmäßig unter Beteiligten",IF(H150&lt;&gt;"Ja",0,IF(COUNTIF($I150:$L150,"Ja")=0,$D150-SUM($T150:T150),ROUND($D150/COUNTIF($G150:$L150,"Ja"),2))),IF($F150="Vereinbarte Beträge",IF(H150="Ja",N150,0),"")))</f>
      </c>
      <c r="V150" s="87" t="str">
        <f>IF(COUNTIF($A150:$S150,"&lt;&gt;")=0,"",IF($F150="Gleichmäßig unter Beteiligten",IF(I150&lt;&gt;"Ja",0,IF(COUNTIF($J150:$L150,"Ja")=0,$D150-SUM($T150:U150),ROUND($D150/COUNTIF($G150:$L150,"Ja"),2))),IF($F150="Vereinbarte Beträge",IF(I150="Ja",O150,0),"")))</f>
      </c>
      <c r="W150" s="87" t="str">
        <f>IF(COUNTIF($A150:$S150,"&lt;&gt;")=0,"",IF($F150="Gleichmäßig unter Beteiligten",IF(J150&lt;&gt;"Ja",0,IF(COUNTIF($K150:$L150,"Ja")=0,$D150-SUM($T150:V150),ROUND($D150/COUNTIF($G150:$L150,"Ja"),2))),IF($F150="Vereinbarte Beträge",IF(J150="Ja",P150,0),"")))</f>
      </c>
      <c r="X150" s="87" t="str">
        <f>IF(COUNTIF($A150:$S150,"&lt;&gt;")=0,"",IF($F150="Gleichmäßig unter Beteiligten",IF(K150&lt;&gt;"Ja",0,IF(COUNTIF($L150:$L150,"Ja")=0,$D150-SUM($T150:W150),ROUND($D150/COUNTIF($G150:$L150,"Ja"),2))),IF($F150="Vereinbarte Beträge",IF(K150="Ja",Q150,0),"")))</f>
      </c>
      <c r="Y150" s="87" t="str">
        <f>IF(COUNTIF($A150:$S150,"&lt;&gt;")=0,"",IF($F150="Gleichmäßig unter Beteiligten",IF(L150&lt;&gt;"Ja",0,IF(0=0,$D150-SUM($T150:X150),ROUND($D150/COUNTIF($G150:$L150,"Ja"),2))),IF($F150="Vereinbarte Beträge",IF(L150="Ja",R150,0),"")))</f>
      </c>
      <c r="Z150" s="81" t="str">
        <f>IF(COUNTIF($A150:$S150,"&lt;&gt;")=0,"",IF(OR($D150="",$D150&lt;=0),"Trage einen Betrag größer als null ein.",IF($E150="","Wähle aus, wer bezahlt hat.",IF(COUNTIF($G150:$L150,"Ja")=0,"Wähle mindestens eine beteiligte Person aus.",IF($F150="Gleichmäßig unter Beteiligten","Geprüft",IF($F150="Vereinbarte Beträge",IF(OR(AND(G150="Ja",M150=""),AND(H150="Ja",N150=""),AND(I150="Ja",O150=""),AND(J150="Ja",P150=""),AND(K150="Ja",Q150=""),AND(L150="Ja",R150="")),"Trage die vereinbarten Beträge so ein, dass ihre Summe der Ausgabe entspricht.",IF(ABS(SUM($M150:$R150))&lt;0.005,"Trage die vereinbarten Beträge so ein, dass ihre Summe der Ausgabe entspricht.",IF(SUM($M150:$R150)&lt;$D150-0.005,"Bei der Aufteilung fehlen "&amp;ROUND($D150-SUM($M150:$R150),2)&amp;".",IF(SUM($M150:$R150)&gt;$D150+0.005,"Die Aufteilung übersteigt die Ausgabe um "&amp;ROUND(SUM($M150:$R150)-$D150,2)&amp;".","Geprüft")))),"Trage die vereinbarten Beträge so ein, dass ihre Summe der Ausgabe entspricht."))))))</f>
      </c>
    </row>
    <row r="151">
      <c r="A151" s="83"/>
      <c r="B151" s="57"/>
      <c r="C151" s="57"/>
      <c r="D151" s="85"/>
      <c r="E151" s="57"/>
      <c r="F151" s="57"/>
      <c r="G151" s="57"/>
      <c r="H151" s="57"/>
      <c r="I151" s="57"/>
      <c r="J151" s="57"/>
      <c r="K151" s="57"/>
      <c r="L151" s="57"/>
      <c r="M151" s="85"/>
      <c r="N151" s="85"/>
      <c r="O151" s="85"/>
      <c r="P151" s="85"/>
      <c r="Q151" s="85"/>
      <c r="R151" s="85"/>
      <c r="S151" s="57"/>
      <c r="T151" s="87" t="str">
        <f>IF(COUNTIF($A151:$S151,"&lt;&gt;")=0,"",IF($F151="Gleichmäßig unter Beteiligten",IF(G151&lt;&gt;"Ja",0,IF(COUNTIF($H151:$L151,"Ja")=0,$D151-0,ROUND($D151/COUNTIF($G151:$L151,"Ja"),2))),IF($F151="Vereinbarte Beträge",IF(G151="Ja",M151,0),"")))</f>
      </c>
      <c r="U151" s="87" t="str">
        <f>IF(COUNTIF($A151:$S151,"&lt;&gt;")=0,"",IF($F151="Gleichmäßig unter Beteiligten",IF(H151&lt;&gt;"Ja",0,IF(COUNTIF($I151:$L151,"Ja")=0,$D151-SUM($T151:T151),ROUND($D151/COUNTIF($G151:$L151,"Ja"),2))),IF($F151="Vereinbarte Beträge",IF(H151="Ja",N151,0),"")))</f>
      </c>
      <c r="V151" s="87" t="str">
        <f>IF(COUNTIF($A151:$S151,"&lt;&gt;")=0,"",IF($F151="Gleichmäßig unter Beteiligten",IF(I151&lt;&gt;"Ja",0,IF(COUNTIF($J151:$L151,"Ja")=0,$D151-SUM($T151:U151),ROUND($D151/COUNTIF($G151:$L151,"Ja"),2))),IF($F151="Vereinbarte Beträge",IF(I151="Ja",O151,0),"")))</f>
      </c>
      <c r="W151" s="87" t="str">
        <f>IF(COUNTIF($A151:$S151,"&lt;&gt;")=0,"",IF($F151="Gleichmäßig unter Beteiligten",IF(J151&lt;&gt;"Ja",0,IF(COUNTIF($K151:$L151,"Ja")=0,$D151-SUM($T151:V151),ROUND($D151/COUNTIF($G151:$L151,"Ja"),2))),IF($F151="Vereinbarte Beträge",IF(J151="Ja",P151,0),"")))</f>
      </c>
      <c r="X151" s="87" t="str">
        <f>IF(COUNTIF($A151:$S151,"&lt;&gt;")=0,"",IF($F151="Gleichmäßig unter Beteiligten",IF(K151&lt;&gt;"Ja",0,IF(COUNTIF($L151:$L151,"Ja")=0,$D151-SUM($T151:W151),ROUND($D151/COUNTIF($G151:$L151,"Ja"),2))),IF($F151="Vereinbarte Beträge",IF(K151="Ja",Q151,0),"")))</f>
      </c>
      <c r="Y151" s="87" t="str">
        <f>IF(COUNTIF($A151:$S151,"&lt;&gt;")=0,"",IF($F151="Gleichmäßig unter Beteiligten",IF(L151&lt;&gt;"Ja",0,IF(0=0,$D151-SUM($T151:X151),ROUND($D151/COUNTIF($G151:$L151,"Ja"),2))),IF($F151="Vereinbarte Beträge",IF(L151="Ja",R151,0),"")))</f>
      </c>
      <c r="Z151" s="81" t="str">
        <f>IF(COUNTIF($A151:$S151,"&lt;&gt;")=0,"",IF(OR($D151="",$D151&lt;=0),"Trage einen Betrag größer als null ein.",IF($E151="","Wähle aus, wer bezahlt hat.",IF(COUNTIF($G151:$L151,"Ja")=0,"Wähle mindestens eine beteiligte Person aus.",IF($F151="Gleichmäßig unter Beteiligten","Geprüft",IF($F151="Vereinbarte Beträge",IF(OR(AND(G151="Ja",M151=""),AND(H151="Ja",N151=""),AND(I151="Ja",O151=""),AND(J151="Ja",P151=""),AND(K151="Ja",Q151=""),AND(L151="Ja",R151="")),"Trage die vereinbarten Beträge so ein, dass ihre Summe der Ausgabe entspricht.",IF(ABS(SUM($M151:$R151))&lt;0.005,"Trage die vereinbarten Beträge so ein, dass ihre Summe der Ausgabe entspricht.",IF(SUM($M151:$R151)&lt;$D151-0.005,"Bei der Aufteilung fehlen "&amp;ROUND($D151-SUM($M151:$R151),2)&amp;".",IF(SUM($M151:$R151)&gt;$D151+0.005,"Die Aufteilung übersteigt die Ausgabe um "&amp;ROUND(SUM($M151:$R151)-$D151,2)&amp;".","Geprüft")))),"Trage die vereinbarten Beträge so ein, dass ihre Summe der Ausgabe entspricht."))))))</f>
      </c>
    </row>
    <row r="152">
      <c r="A152" s="83"/>
      <c r="B152" s="57"/>
      <c r="C152" s="57"/>
      <c r="D152" s="85"/>
      <c r="E152" s="57"/>
      <c r="F152" s="57"/>
      <c r="G152" s="57"/>
      <c r="H152" s="57"/>
      <c r="I152" s="57"/>
      <c r="J152" s="57"/>
      <c r="K152" s="57"/>
      <c r="L152" s="57"/>
      <c r="M152" s="85"/>
      <c r="N152" s="85"/>
      <c r="O152" s="85"/>
      <c r="P152" s="85"/>
      <c r="Q152" s="85"/>
      <c r="R152" s="85"/>
      <c r="S152" s="57"/>
      <c r="T152" s="87" t="str">
        <f>IF(COUNTIF($A152:$S152,"&lt;&gt;")=0,"",IF($F152="Gleichmäßig unter Beteiligten",IF(G152&lt;&gt;"Ja",0,IF(COUNTIF($H152:$L152,"Ja")=0,$D152-0,ROUND($D152/COUNTIF($G152:$L152,"Ja"),2))),IF($F152="Vereinbarte Beträge",IF(G152="Ja",M152,0),"")))</f>
      </c>
      <c r="U152" s="87" t="str">
        <f>IF(COUNTIF($A152:$S152,"&lt;&gt;")=0,"",IF($F152="Gleichmäßig unter Beteiligten",IF(H152&lt;&gt;"Ja",0,IF(COUNTIF($I152:$L152,"Ja")=0,$D152-SUM($T152:T152),ROUND($D152/COUNTIF($G152:$L152,"Ja"),2))),IF($F152="Vereinbarte Beträge",IF(H152="Ja",N152,0),"")))</f>
      </c>
      <c r="V152" s="87" t="str">
        <f>IF(COUNTIF($A152:$S152,"&lt;&gt;")=0,"",IF($F152="Gleichmäßig unter Beteiligten",IF(I152&lt;&gt;"Ja",0,IF(COUNTIF($J152:$L152,"Ja")=0,$D152-SUM($T152:U152),ROUND($D152/COUNTIF($G152:$L152,"Ja"),2))),IF($F152="Vereinbarte Beträge",IF(I152="Ja",O152,0),"")))</f>
      </c>
      <c r="W152" s="87" t="str">
        <f>IF(COUNTIF($A152:$S152,"&lt;&gt;")=0,"",IF($F152="Gleichmäßig unter Beteiligten",IF(J152&lt;&gt;"Ja",0,IF(COUNTIF($K152:$L152,"Ja")=0,$D152-SUM($T152:V152),ROUND($D152/COUNTIF($G152:$L152,"Ja"),2))),IF($F152="Vereinbarte Beträge",IF(J152="Ja",P152,0),"")))</f>
      </c>
      <c r="X152" s="87" t="str">
        <f>IF(COUNTIF($A152:$S152,"&lt;&gt;")=0,"",IF($F152="Gleichmäßig unter Beteiligten",IF(K152&lt;&gt;"Ja",0,IF(COUNTIF($L152:$L152,"Ja")=0,$D152-SUM($T152:W152),ROUND($D152/COUNTIF($G152:$L152,"Ja"),2))),IF($F152="Vereinbarte Beträge",IF(K152="Ja",Q152,0),"")))</f>
      </c>
      <c r="Y152" s="87" t="str">
        <f>IF(COUNTIF($A152:$S152,"&lt;&gt;")=0,"",IF($F152="Gleichmäßig unter Beteiligten",IF(L152&lt;&gt;"Ja",0,IF(0=0,$D152-SUM($T152:X152),ROUND($D152/COUNTIF($G152:$L152,"Ja"),2))),IF($F152="Vereinbarte Beträge",IF(L152="Ja",R152,0),"")))</f>
      </c>
      <c r="Z152" s="81" t="str">
        <f>IF(COUNTIF($A152:$S152,"&lt;&gt;")=0,"",IF(OR($D152="",$D152&lt;=0),"Trage einen Betrag größer als null ein.",IF($E152="","Wähle aus, wer bezahlt hat.",IF(COUNTIF($G152:$L152,"Ja")=0,"Wähle mindestens eine beteiligte Person aus.",IF($F152="Gleichmäßig unter Beteiligten","Geprüft",IF($F152="Vereinbarte Beträge",IF(OR(AND(G152="Ja",M152=""),AND(H152="Ja",N152=""),AND(I152="Ja",O152=""),AND(J152="Ja",P152=""),AND(K152="Ja",Q152=""),AND(L152="Ja",R152="")),"Trage die vereinbarten Beträge so ein, dass ihre Summe der Ausgabe entspricht.",IF(ABS(SUM($M152:$R152))&lt;0.005,"Trage die vereinbarten Beträge so ein, dass ihre Summe der Ausgabe entspricht.",IF(SUM($M152:$R152)&lt;$D152-0.005,"Bei der Aufteilung fehlen "&amp;ROUND($D152-SUM($M152:$R152),2)&amp;".",IF(SUM($M152:$R152)&gt;$D152+0.005,"Die Aufteilung übersteigt die Ausgabe um "&amp;ROUND(SUM($M152:$R152)-$D152,2)&amp;".","Geprüft")))),"Trage die vereinbarten Beträge so ein, dass ihre Summe der Ausgabe entspricht."))))))</f>
      </c>
    </row>
    <row r="153">
      <c r="A153" s="83"/>
      <c r="B153" s="57"/>
      <c r="C153" s="57"/>
      <c r="D153" s="85"/>
      <c r="E153" s="57"/>
      <c r="F153" s="57"/>
      <c r="G153" s="57"/>
      <c r="H153" s="57"/>
      <c r="I153" s="57"/>
      <c r="J153" s="57"/>
      <c r="K153" s="57"/>
      <c r="L153" s="57"/>
      <c r="M153" s="85"/>
      <c r="N153" s="85"/>
      <c r="O153" s="85"/>
      <c r="P153" s="85"/>
      <c r="Q153" s="85"/>
      <c r="R153" s="85"/>
      <c r="S153" s="57"/>
      <c r="T153" s="87" t="str">
        <f>IF(COUNTIF($A153:$S153,"&lt;&gt;")=0,"",IF($F153="Gleichmäßig unter Beteiligten",IF(G153&lt;&gt;"Ja",0,IF(COUNTIF($H153:$L153,"Ja")=0,$D153-0,ROUND($D153/COUNTIF($G153:$L153,"Ja"),2))),IF($F153="Vereinbarte Beträge",IF(G153="Ja",M153,0),"")))</f>
      </c>
      <c r="U153" s="87" t="str">
        <f>IF(COUNTIF($A153:$S153,"&lt;&gt;")=0,"",IF($F153="Gleichmäßig unter Beteiligten",IF(H153&lt;&gt;"Ja",0,IF(COUNTIF($I153:$L153,"Ja")=0,$D153-SUM($T153:T153),ROUND($D153/COUNTIF($G153:$L153,"Ja"),2))),IF($F153="Vereinbarte Beträge",IF(H153="Ja",N153,0),"")))</f>
      </c>
      <c r="V153" s="87" t="str">
        <f>IF(COUNTIF($A153:$S153,"&lt;&gt;")=0,"",IF($F153="Gleichmäßig unter Beteiligten",IF(I153&lt;&gt;"Ja",0,IF(COUNTIF($J153:$L153,"Ja")=0,$D153-SUM($T153:U153),ROUND($D153/COUNTIF($G153:$L153,"Ja"),2))),IF($F153="Vereinbarte Beträge",IF(I153="Ja",O153,0),"")))</f>
      </c>
      <c r="W153" s="87" t="str">
        <f>IF(COUNTIF($A153:$S153,"&lt;&gt;")=0,"",IF($F153="Gleichmäßig unter Beteiligten",IF(J153&lt;&gt;"Ja",0,IF(COUNTIF($K153:$L153,"Ja")=0,$D153-SUM($T153:V153),ROUND($D153/COUNTIF($G153:$L153,"Ja"),2))),IF($F153="Vereinbarte Beträge",IF(J153="Ja",P153,0),"")))</f>
      </c>
      <c r="X153" s="87" t="str">
        <f>IF(COUNTIF($A153:$S153,"&lt;&gt;")=0,"",IF($F153="Gleichmäßig unter Beteiligten",IF(K153&lt;&gt;"Ja",0,IF(COUNTIF($L153:$L153,"Ja")=0,$D153-SUM($T153:W153),ROUND($D153/COUNTIF($G153:$L153,"Ja"),2))),IF($F153="Vereinbarte Beträge",IF(K153="Ja",Q153,0),"")))</f>
      </c>
      <c r="Y153" s="87" t="str">
        <f>IF(COUNTIF($A153:$S153,"&lt;&gt;")=0,"",IF($F153="Gleichmäßig unter Beteiligten",IF(L153&lt;&gt;"Ja",0,IF(0=0,$D153-SUM($T153:X153),ROUND($D153/COUNTIF($G153:$L153,"Ja"),2))),IF($F153="Vereinbarte Beträge",IF(L153="Ja",R153,0),"")))</f>
      </c>
      <c r="Z153" s="81" t="str">
        <f>IF(COUNTIF($A153:$S153,"&lt;&gt;")=0,"",IF(OR($D153="",$D153&lt;=0),"Trage einen Betrag größer als null ein.",IF($E153="","Wähle aus, wer bezahlt hat.",IF(COUNTIF($G153:$L153,"Ja")=0,"Wähle mindestens eine beteiligte Person aus.",IF($F153="Gleichmäßig unter Beteiligten","Geprüft",IF($F153="Vereinbarte Beträge",IF(OR(AND(G153="Ja",M153=""),AND(H153="Ja",N153=""),AND(I153="Ja",O153=""),AND(J153="Ja",P153=""),AND(K153="Ja",Q153=""),AND(L153="Ja",R153="")),"Trage die vereinbarten Beträge so ein, dass ihre Summe der Ausgabe entspricht.",IF(ABS(SUM($M153:$R153))&lt;0.005,"Trage die vereinbarten Beträge so ein, dass ihre Summe der Ausgabe entspricht.",IF(SUM($M153:$R153)&lt;$D153-0.005,"Bei der Aufteilung fehlen "&amp;ROUND($D153-SUM($M153:$R153),2)&amp;".",IF(SUM($M153:$R153)&gt;$D153+0.005,"Die Aufteilung übersteigt die Ausgabe um "&amp;ROUND(SUM($M153:$R153)-$D153,2)&amp;".","Geprüft")))),"Trage die vereinbarten Beträge so ein, dass ihre Summe der Ausgabe entspricht."))))))</f>
      </c>
    </row>
    <row r="154">
      <c r="A154" s="83"/>
      <c r="B154" s="57"/>
      <c r="C154" s="57"/>
      <c r="D154" s="85"/>
      <c r="E154" s="57"/>
      <c r="F154" s="57"/>
      <c r="G154" s="57"/>
      <c r="H154" s="57"/>
      <c r="I154" s="57"/>
      <c r="J154" s="57"/>
      <c r="K154" s="57"/>
      <c r="L154" s="57"/>
      <c r="M154" s="85"/>
      <c r="N154" s="85"/>
      <c r="O154" s="85"/>
      <c r="P154" s="85"/>
      <c r="Q154" s="85"/>
      <c r="R154" s="85"/>
      <c r="S154" s="57"/>
      <c r="T154" s="87" t="str">
        <f>IF(COUNTIF($A154:$S154,"&lt;&gt;")=0,"",IF($F154="Gleichmäßig unter Beteiligten",IF(G154&lt;&gt;"Ja",0,IF(COUNTIF($H154:$L154,"Ja")=0,$D154-0,ROUND($D154/COUNTIF($G154:$L154,"Ja"),2))),IF($F154="Vereinbarte Beträge",IF(G154="Ja",M154,0),"")))</f>
      </c>
      <c r="U154" s="87" t="str">
        <f>IF(COUNTIF($A154:$S154,"&lt;&gt;")=0,"",IF($F154="Gleichmäßig unter Beteiligten",IF(H154&lt;&gt;"Ja",0,IF(COUNTIF($I154:$L154,"Ja")=0,$D154-SUM($T154:T154),ROUND($D154/COUNTIF($G154:$L154,"Ja"),2))),IF($F154="Vereinbarte Beträge",IF(H154="Ja",N154,0),"")))</f>
      </c>
      <c r="V154" s="87" t="str">
        <f>IF(COUNTIF($A154:$S154,"&lt;&gt;")=0,"",IF($F154="Gleichmäßig unter Beteiligten",IF(I154&lt;&gt;"Ja",0,IF(COUNTIF($J154:$L154,"Ja")=0,$D154-SUM($T154:U154),ROUND($D154/COUNTIF($G154:$L154,"Ja"),2))),IF($F154="Vereinbarte Beträge",IF(I154="Ja",O154,0),"")))</f>
      </c>
      <c r="W154" s="87" t="str">
        <f>IF(COUNTIF($A154:$S154,"&lt;&gt;")=0,"",IF($F154="Gleichmäßig unter Beteiligten",IF(J154&lt;&gt;"Ja",0,IF(COUNTIF($K154:$L154,"Ja")=0,$D154-SUM($T154:V154),ROUND($D154/COUNTIF($G154:$L154,"Ja"),2))),IF($F154="Vereinbarte Beträge",IF(J154="Ja",P154,0),"")))</f>
      </c>
      <c r="X154" s="87" t="str">
        <f>IF(COUNTIF($A154:$S154,"&lt;&gt;")=0,"",IF($F154="Gleichmäßig unter Beteiligten",IF(K154&lt;&gt;"Ja",0,IF(COUNTIF($L154:$L154,"Ja")=0,$D154-SUM($T154:W154),ROUND($D154/COUNTIF($G154:$L154,"Ja"),2))),IF($F154="Vereinbarte Beträge",IF(K154="Ja",Q154,0),"")))</f>
      </c>
      <c r="Y154" s="87" t="str">
        <f>IF(COUNTIF($A154:$S154,"&lt;&gt;")=0,"",IF($F154="Gleichmäßig unter Beteiligten",IF(L154&lt;&gt;"Ja",0,IF(0=0,$D154-SUM($T154:X154),ROUND($D154/COUNTIF($G154:$L154,"Ja"),2))),IF($F154="Vereinbarte Beträge",IF(L154="Ja",R154,0),"")))</f>
      </c>
      <c r="Z154" s="81" t="str">
        <f>IF(COUNTIF($A154:$S154,"&lt;&gt;")=0,"",IF(OR($D154="",$D154&lt;=0),"Trage einen Betrag größer als null ein.",IF($E154="","Wähle aus, wer bezahlt hat.",IF(COUNTIF($G154:$L154,"Ja")=0,"Wähle mindestens eine beteiligte Person aus.",IF($F154="Gleichmäßig unter Beteiligten","Geprüft",IF($F154="Vereinbarte Beträge",IF(OR(AND(G154="Ja",M154=""),AND(H154="Ja",N154=""),AND(I154="Ja",O154=""),AND(J154="Ja",P154=""),AND(K154="Ja",Q154=""),AND(L154="Ja",R154="")),"Trage die vereinbarten Beträge so ein, dass ihre Summe der Ausgabe entspricht.",IF(ABS(SUM($M154:$R154))&lt;0.005,"Trage die vereinbarten Beträge so ein, dass ihre Summe der Ausgabe entspricht.",IF(SUM($M154:$R154)&lt;$D154-0.005,"Bei der Aufteilung fehlen "&amp;ROUND($D154-SUM($M154:$R154),2)&amp;".",IF(SUM($M154:$R154)&gt;$D154+0.005,"Die Aufteilung übersteigt die Ausgabe um "&amp;ROUND(SUM($M154:$R154)-$D154,2)&amp;".","Geprüft")))),"Trage die vereinbarten Beträge so ein, dass ihre Summe der Ausgabe entspricht."))))))</f>
      </c>
    </row>
    <row r="155">
      <c r="A155" s="83"/>
      <c r="B155" s="57"/>
      <c r="C155" s="57"/>
      <c r="D155" s="85"/>
      <c r="E155" s="57"/>
      <c r="F155" s="57"/>
      <c r="G155" s="57"/>
      <c r="H155" s="57"/>
      <c r="I155" s="57"/>
      <c r="J155" s="57"/>
      <c r="K155" s="57"/>
      <c r="L155" s="57"/>
      <c r="M155" s="85"/>
      <c r="N155" s="85"/>
      <c r="O155" s="85"/>
      <c r="P155" s="85"/>
      <c r="Q155" s="85"/>
      <c r="R155" s="85"/>
      <c r="S155" s="57"/>
      <c r="T155" s="87" t="str">
        <f>IF(COUNTIF($A155:$S155,"&lt;&gt;")=0,"",IF($F155="Gleichmäßig unter Beteiligten",IF(G155&lt;&gt;"Ja",0,IF(COUNTIF($H155:$L155,"Ja")=0,$D155-0,ROUND($D155/COUNTIF($G155:$L155,"Ja"),2))),IF($F155="Vereinbarte Beträge",IF(G155="Ja",M155,0),"")))</f>
      </c>
      <c r="U155" s="87" t="str">
        <f>IF(COUNTIF($A155:$S155,"&lt;&gt;")=0,"",IF($F155="Gleichmäßig unter Beteiligten",IF(H155&lt;&gt;"Ja",0,IF(COUNTIF($I155:$L155,"Ja")=0,$D155-SUM($T155:T155),ROUND($D155/COUNTIF($G155:$L155,"Ja"),2))),IF($F155="Vereinbarte Beträge",IF(H155="Ja",N155,0),"")))</f>
      </c>
      <c r="V155" s="87" t="str">
        <f>IF(COUNTIF($A155:$S155,"&lt;&gt;")=0,"",IF($F155="Gleichmäßig unter Beteiligten",IF(I155&lt;&gt;"Ja",0,IF(COUNTIF($J155:$L155,"Ja")=0,$D155-SUM($T155:U155),ROUND($D155/COUNTIF($G155:$L155,"Ja"),2))),IF($F155="Vereinbarte Beträge",IF(I155="Ja",O155,0),"")))</f>
      </c>
      <c r="W155" s="87" t="str">
        <f>IF(COUNTIF($A155:$S155,"&lt;&gt;")=0,"",IF($F155="Gleichmäßig unter Beteiligten",IF(J155&lt;&gt;"Ja",0,IF(COUNTIF($K155:$L155,"Ja")=0,$D155-SUM($T155:V155),ROUND($D155/COUNTIF($G155:$L155,"Ja"),2))),IF($F155="Vereinbarte Beträge",IF(J155="Ja",P155,0),"")))</f>
      </c>
      <c r="X155" s="87" t="str">
        <f>IF(COUNTIF($A155:$S155,"&lt;&gt;")=0,"",IF($F155="Gleichmäßig unter Beteiligten",IF(K155&lt;&gt;"Ja",0,IF(COUNTIF($L155:$L155,"Ja")=0,$D155-SUM($T155:W155),ROUND($D155/COUNTIF($G155:$L155,"Ja"),2))),IF($F155="Vereinbarte Beträge",IF(K155="Ja",Q155,0),"")))</f>
      </c>
      <c r="Y155" s="87" t="str">
        <f>IF(COUNTIF($A155:$S155,"&lt;&gt;")=0,"",IF($F155="Gleichmäßig unter Beteiligten",IF(L155&lt;&gt;"Ja",0,IF(0=0,$D155-SUM($T155:X155),ROUND($D155/COUNTIF($G155:$L155,"Ja"),2))),IF($F155="Vereinbarte Beträge",IF(L155="Ja",R155,0),"")))</f>
      </c>
      <c r="Z155" s="81" t="str">
        <f>IF(COUNTIF($A155:$S155,"&lt;&gt;")=0,"",IF(OR($D155="",$D155&lt;=0),"Trage einen Betrag größer als null ein.",IF($E155="","Wähle aus, wer bezahlt hat.",IF(COUNTIF($G155:$L155,"Ja")=0,"Wähle mindestens eine beteiligte Person aus.",IF($F155="Gleichmäßig unter Beteiligten","Geprüft",IF($F155="Vereinbarte Beträge",IF(OR(AND(G155="Ja",M155=""),AND(H155="Ja",N155=""),AND(I155="Ja",O155=""),AND(J155="Ja",P155=""),AND(K155="Ja",Q155=""),AND(L155="Ja",R155="")),"Trage die vereinbarten Beträge so ein, dass ihre Summe der Ausgabe entspricht.",IF(ABS(SUM($M155:$R155))&lt;0.005,"Trage die vereinbarten Beträge so ein, dass ihre Summe der Ausgabe entspricht.",IF(SUM($M155:$R155)&lt;$D155-0.005,"Bei der Aufteilung fehlen "&amp;ROUND($D155-SUM($M155:$R155),2)&amp;".",IF(SUM($M155:$R155)&gt;$D155+0.005,"Die Aufteilung übersteigt die Ausgabe um "&amp;ROUND(SUM($M155:$R155)-$D155,2)&amp;".","Geprüft")))),"Trage die vereinbarten Beträge so ein, dass ihre Summe der Ausgabe entspricht."))))))</f>
      </c>
    </row>
    <row r="156">
      <c r="A156" s="83"/>
      <c r="B156" s="57"/>
      <c r="C156" s="57"/>
      <c r="D156" s="85"/>
      <c r="E156" s="57"/>
      <c r="F156" s="57"/>
      <c r="G156" s="57"/>
      <c r="H156" s="57"/>
      <c r="I156" s="57"/>
      <c r="J156" s="57"/>
      <c r="K156" s="57"/>
      <c r="L156" s="57"/>
      <c r="M156" s="85"/>
      <c r="N156" s="85"/>
      <c r="O156" s="85"/>
      <c r="P156" s="85"/>
      <c r="Q156" s="85"/>
      <c r="R156" s="85"/>
      <c r="S156" s="57"/>
      <c r="T156" s="87" t="str">
        <f>IF(COUNTIF($A156:$S156,"&lt;&gt;")=0,"",IF($F156="Gleichmäßig unter Beteiligten",IF(G156&lt;&gt;"Ja",0,IF(COUNTIF($H156:$L156,"Ja")=0,$D156-0,ROUND($D156/COUNTIF($G156:$L156,"Ja"),2))),IF($F156="Vereinbarte Beträge",IF(G156="Ja",M156,0),"")))</f>
      </c>
      <c r="U156" s="87" t="str">
        <f>IF(COUNTIF($A156:$S156,"&lt;&gt;")=0,"",IF($F156="Gleichmäßig unter Beteiligten",IF(H156&lt;&gt;"Ja",0,IF(COUNTIF($I156:$L156,"Ja")=0,$D156-SUM($T156:T156),ROUND($D156/COUNTIF($G156:$L156,"Ja"),2))),IF($F156="Vereinbarte Beträge",IF(H156="Ja",N156,0),"")))</f>
      </c>
      <c r="V156" s="87" t="str">
        <f>IF(COUNTIF($A156:$S156,"&lt;&gt;")=0,"",IF($F156="Gleichmäßig unter Beteiligten",IF(I156&lt;&gt;"Ja",0,IF(COUNTIF($J156:$L156,"Ja")=0,$D156-SUM($T156:U156),ROUND($D156/COUNTIF($G156:$L156,"Ja"),2))),IF($F156="Vereinbarte Beträge",IF(I156="Ja",O156,0),"")))</f>
      </c>
      <c r="W156" s="87" t="str">
        <f>IF(COUNTIF($A156:$S156,"&lt;&gt;")=0,"",IF($F156="Gleichmäßig unter Beteiligten",IF(J156&lt;&gt;"Ja",0,IF(COUNTIF($K156:$L156,"Ja")=0,$D156-SUM($T156:V156),ROUND($D156/COUNTIF($G156:$L156,"Ja"),2))),IF($F156="Vereinbarte Beträge",IF(J156="Ja",P156,0),"")))</f>
      </c>
      <c r="X156" s="87" t="str">
        <f>IF(COUNTIF($A156:$S156,"&lt;&gt;")=0,"",IF($F156="Gleichmäßig unter Beteiligten",IF(K156&lt;&gt;"Ja",0,IF(COUNTIF($L156:$L156,"Ja")=0,$D156-SUM($T156:W156),ROUND($D156/COUNTIF($G156:$L156,"Ja"),2))),IF($F156="Vereinbarte Beträge",IF(K156="Ja",Q156,0),"")))</f>
      </c>
      <c r="Y156" s="87" t="str">
        <f>IF(COUNTIF($A156:$S156,"&lt;&gt;")=0,"",IF($F156="Gleichmäßig unter Beteiligten",IF(L156&lt;&gt;"Ja",0,IF(0=0,$D156-SUM($T156:X156),ROUND($D156/COUNTIF($G156:$L156,"Ja"),2))),IF($F156="Vereinbarte Beträge",IF(L156="Ja",R156,0),"")))</f>
      </c>
      <c r="Z156" s="81" t="str">
        <f>IF(COUNTIF($A156:$S156,"&lt;&gt;")=0,"",IF(OR($D156="",$D156&lt;=0),"Trage einen Betrag größer als null ein.",IF($E156="","Wähle aus, wer bezahlt hat.",IF(COUNTIF($G156:$L156,"Ja")=0,"Wähle mindestens eine beteiligte Person aus.",IF($F156="Gleichmäßig unter Beteiligten","Geprüft",IF($F156="Vereinbarte Beträge",IF(OR(AND(G156="Ja",M156=""),AND(H156="Ja",N156=""),AND(I156="Ja",O156=""),AND(J156="Ja",P156=""),AND(K156="Ja",Q156=""),AND(L156="Ja",R156="")),"Trage die vereinbarten Beträge so ein, dass ihre Summe der Ausgabe entspricht.",IF(ABS(SUM($M156:$R156))&lt;0.005,"Trage die vereinbarten Beträge so ein, dass ihre Summe der Ausgabe entspricht.",IF(SUM($M156:$R156)&lt;$D156-0.005,"Bei der Aufteilung fehlen "&amp;ROUND($D156-SUM($M156:$R156),2)&amp;".",IF(SUM($M156:$R156)&gt;$D156+0.005,"Die Aufteilung übersteigt die Ausgabe um "&amp;ROUND(SUM($M156:$R156)-$D156,2)&amp;".","Geprüft")))),"Trage die vereinbarten Beträge so ein, dass ihre Summe der Ausgabe entspricht."))))))</f>
      </c>
    </row>
    <row r="157">
      <c r="A157" s="83"/>
      <c r="B157" s="57"/>
      <c r="C157" s="57"/>
      <c r="D157" s="85"/>
      <c r="E157" s="57"/>
      <c r="F157" s="57"/>
      <c r="G157" s="57"/>
      <c r="H157" s="57"/>
      <c r="I157" s="57"/>
      <c r="J157" s="57"/>
      <c r="K157" s="57"/>
      <c r="L157" s="57"/>
      <c r="M157" s="85"/>
      <c r="N157" s="85"/>
      <c r="O157" s="85"/>
      <c r="P157" s="85"/>
      <c r="Q157" s="85"/>
      <c r="R157" s="85"/>
      <c r="S157" s="57"/>
      <c r="T157" s="87" t="str">
        <f>IF(COUNTIF($A157:$S157,"&lt;&gt;")=0,"",IF($F157="Gleichmäßig unter Beteiligten",IF(G157&lt;&gt;"Ja",0,IF(COUNTIF($H157:$L157,"Ja")=0,$D157-0,ROUND($D157/COUNTIF($G157:$L157,"Ja"),2))),IF($F157="Vereinbarte Beträge",IF(G157="Ja",M157,0),"")))</f>
      </c>
      <c r="U157" s="87" t="str">
        <f>IF(COUNTIF($A157:$S157,"&lt;&gt;")=0,"",IF($F157="Gleichmäßig unter Beteiligten",IF(H157&lt;&gt;"Ja",0,IF(COUNTIF($I157:$L157,"Ja")=0,$D157-SUM($T157:T157),ROUND($D157/COUNTIF($G157:$L157,"Ja"),2))),IF($F157="Vereinbarte Beträge",IF(H157="Ja",N157,0),"")))</f>
      </c>
      <c r="V157" s="87" t="str">
        <f>IF(COUNTIF($A157:$S157,"&lt;&gt;")=0,"",IF($F157="Gleichmäßig unter Beteiligten",IF(I157&lt;&gt;"Ja",0,IF(COUNTIF($J157:$L157,"Ja")=0,$D157-SUM($T157:U157),ROUND($D157/COUNTIF($G157:$L157,"Ja"),2))),IF($F157="Vereinbarte Beträge",IF(I157="Ja",O157,0),"")))</f>
      </c>
      <c r="W157" s="87" t="str">
        <f>IF(COUNTIF($A157:$S157,"&lt;&gt;")=0,"",IF($F157="Gleichmäßig unter Beteiligten",IF(J157&lt;&gt;"Ja",0,IF(COUNTIF($K157:$L157,"Ja")=0,$D157-SUM($T157:V157),ROUND($D157/COUNTIF($G157:$L157,"Ja"),2))),IF($F157="Vereinbarte Beträge",IF(J157="Ja",P157,0),"")))</f>
      </c>
      <c r="X157" s="87" t="str">
        <f>IF(COUNTIF($A157:$S157,"&lt;&gt;")=0,"",IF($F157="Gleichmäßig unter Beteiligten",IF(K157&lt;&gt;"Ja",0,IF(COUNTIF($L157:$L157,"Ja")=0,$D157-SUM($T157:W157),ROUND($D157/COUNTIF($G157:$L157,"Ja"),2))),IF($F157="Vereinbarte Beträge",IF(K157="Ja",Q157,0),"")))</f>
      </c>
      <c r="Y157" s="87" t="str">
        <f>IF(COUNTIF($A157:$S157,"&lt;&gt;")=0,"",IF($F157="Gleichmäßig unter Beteiligten",IF(L157&lt;&gt;"Ja",0,IF(0=0,$D157-SUM($T157:X157),ROUND($D157/COUNTIF($G157:$L157,"Ja"),2))),IF($F157="Vereinbarte Beträge",IF(L157="Ja",R157,0),"")))</f>
      </c>
      <c r="Z157" s="81" t="str">
        <f>IF(COUNTIF($A157:$S157,"&lt;&gt;")=0,"",IF(OR($D157="",$D157&lt;=0),"Trage einen Betrag größer als null ein.",IF($E157="","Wähle aus, wer bezahlt hat.",IF(COUNTIF($G157:$L157,"Ja")=0,"Wähle mindestens eine beteiligte Person aus.",IF($F157="Gleichmäßig unter Beteiligten","Geprüft",IF($F157="Vereinbarte Beträge",IF(OR(AND(G157="Ja",M157=""),AND(H157="Ja",N157=""),AND(I157="Ja",O157=""),AND(J157="Ja",P157=""),AND(K157="Ja",Q157=""),AND(L157="Ja",R157="")),"Trage die vereinbarten Beträge so ein, dass ihre Summe der Ausgabe entspricht.",IF(ABS(SUM($M157:$R157))&lt;0.005,"Trage die vereinbarten Beträge so ein, dass ihre Summe der Ausgabe entspricht.",IF(SUM($M157:$R157)&lt;$D157-0.005,"Bei der Aufteilung fehlen "&amp;ROUND($D157-SUM($M157:$R157),2)&amp;".",IF(SUM($M157:$R157)&gt;$D157+0.005,"Die Aufteilung übersteigt die Ausgabe um "&amp;ROUND(SUM($M157:$R157)-$D157,2)&amp;".","Geprüft")))),"Trage die vereinbarten Beträge so ein, dass ihre Summe der Ausgabe entspricht."))))))</f>
      </c>
    </row>
    <row r="158">
      <c r="A158" s="83"/>
      <c r="B158" s="57"/>
      <c r="C158" s="57"/>
      <c r="D158" s="85"/>
      <c r="E158" s="57"/>
      <c r="F158" s="57"/>
      <c r="G158" s="57"/>
      <c r="H158" s="57"/>
      <c r="I158" s="57"/>
      <c r="J158" s="57"/>
      <c r="K158" s="57"/>
      <c r="L158" s="57"/>
      <c r="M158" s="85"/>
      <c r="N158" s="85"/>
      <c r="O158" s="85"/>
      <c r="P158" s="85"/>
      <c r="Q158" s="85"/>
      <c r="R158" s="85"/>
      <c r="S158" s="57"/>
      <c r="T158" s="87" t="str">
        <f>IF(COUNTIF($A158:$S158,"&lt;&gt;")=0,"",IF($F158="Gleichmäßig unter Beteiligten",IF(G158&lt;&gt;"Ja",0,IF(COUNTIF($H158:$L158,"Ja")=0,$D158-0,ROUND($D158/COUNTIF($G158:$L158,"Ja"),2))),IF($F158="Vereinbarte Beträge",IF(G158="Ja",M158,0),"")))</f>
      </c>
      <c r="U158" s="87" t="str">
        <f>IF(COUNTIF($A158:$S158,"&lt;&gt;")=0,"",IF($F158="Gleichmäßig unter Beteiligten",IF(H158&lt;&gt;"Ja",0,IF(COUNTIF($I158:$L158,"Ja")=0,$D158-SUM($T158:T158),ROUND($D158/COUNTIF($G158:$L158,"Ja"),2))),IF($F158="Vereinbarte Beträge",IF(H158="Ja",N158,0),"")))</f>
      </c>
      <c r="V158" s="87" t="str">
        <f>IF(COUNTIF($A158:$S158,"&lt;&gt;")=0,"",IF($F158="Gleichmäßig unter Beteiligten",IF(I158&lt;&gt;"Ja",0,IF(COUNTIF($J158:$L158,"Ja")=0,$D158-SUM($T158:U158),ROUND($D158/COUNTIF($G158:$L158,"Ja"),2))),IF($F158="Vereinbarte Beträge",IF(I158="Ja",O158,0),"")))</f>
      </c>
      <c r="W158" s="87" t="str">
        <f>IF(COUNTIF($A158:$S158,"&lt;&gt;")=0,"",IF($F158="Gleichmäßig unter Beteiligten",IF(J158&lt;&gt;"Ja",0,IF(COUNTIF($K158:$L158,"Ja")=0,$D158-SUM($T158:V158),ROUND($D158/COUNTIF($G158:$L158,"Ja"),2))),IF($F158="Vereinbarte Beträge",IF(J158="Ja",P158,0),"")))</f>
      </c>
      <c r="X158" s="87" t="str">
        <f>IF(COUNTIF($A158:$S158,"&lt;&gt;")=0,"",IF($F158="Gleichmäßig unter Beteiligten",IF(K158&lt;&gt;"Ja",0,IF(COUNTIF($L158:$L158,"Ja")=0,$D158-SUM($T158:W158),ROUND($D158/COUNTIF($G158:$L158,"Ja"),2))),IF($F158="Vereinbarte Beträge",IF(K158="Ja",Q158,0),"")))</f>
      </c>
      <c r="Y158" s="87" t="str">
        <f>IF(COUNTIF($A158:$S158,"&lt;&gt;")=0,"",IF($F158="Gleichmäßig unter Beteiligten",IF(L158&lt;&gt;"Ja",0,IF(0=0,$D158-SUM($T158:X158),ROUND($D158/COUNTIF($G158:$L158,"Ja"),2))),IF($F158="Vereinbarte Beträge",IF(L158="Ja",R158,0),"")))</f>
      </c>
      <c r="Z158" s="81" t="str">
        <f>IF(COUNTIF($A158:$S158,"&lt;&gt;")=0,"",IF(OR($D158="",$D158&lt;=0),"Trage einen Betrag größer als null ein.",IF($E158="","Wähle aus, wer bezahlt hat.",IF(COUNTIF($G158:$L158,"Ja")=0,"Wähle mindestens eine beteiligte Person aus.",IF($F158="Gleichmäßig unter Beteiligten","Geprüft",IF($F158="Vereinbarte Beträge",IF(OR(AND(G158="Ja",M158=""),AND(H158="Ja",N158=""),AND(I158="Ja",O158=""),AND(J158="Ja",P158=""),AND(K158="Ja",Q158=""),AND(L158="Ja",R158="")),"Trage die vereinbarten Beträge so ein, dass ihre Summe der Ausgabe entspricht.",IF(ABS(SUM($M158:$R158))&lt;0.005,"Trage die vereinbarten Beträge so ein, dass ihre Summe der Ausgabe entspricht.",IF(SUM($M158:$R158)&lt;$D158-0.005,"Bei der Aufteilung fehlen "&amp;ROUND($D158-SUM($M158:$R158),2)&amp;".",IF(SUM($M158:$R158)&gt;$D158+0.005,"Die Aufteilung übersteigt die Ausgabe um "&amp;ROUND(SUM($M158:$R158)-$D158,2)&amp;".","Geprüft")))),"Trage die vereinbarten Beträge so ein, dass ihre Summe der Ausgabe entspricht."))))))</f>
      </c>
    </row>
    <row r="159">
      <c r="A159" s="83"/>
      <c r="B159" s="57"/>
      <c r="C159" s="57"/>
      <c r="D159" s="85"/>
      <c r="E159" s="57"/>
      <c r="F159" s="57"/>
      <c r="G159" s="57"/>
      <c r="H159" s="57"/>
      <c r="I159" s="57"/>
      <c r="J159" s="57"/>
      <c r="K159" s="57"/>
      <c r="L159" s="57"/>
      <c r="M159" s="85"/>
      <c r="N159" s="85"/>
      <c r="O159" s="85"/>
      <c r="P159" s="85"/>
      <c r="Q159" s="85"/>
      <c r="R159" s="85"/>
      <c r="S159" s="57"/>
      <c r="T159" s="87" t="str">
        <f>IF(COUNTIF($A159:$S159,"&lt;&gt;")=0,"",IF($F159="Gleichmäßig unter Beteiligten",IF(G159&lt;&gt;"Ja",0,IF(COUNTIF($H159:$L159,"Ja")=0,$D159-0,ROUND($D159/COUNTIF($G159:$L159,"Ja"),2))),IF($F159="Vereinbarte Beträge",IF(G159="Ja",M159,0),"")))</f>
      </c>
      <c r="U159" s="87" t="str">
        <f>IF(COUNTIF($A159:$S159,"&lt;&gt;")=0,"",IF($F159="Gleichmäßig unter Beteiligten",IF(H159&lt;&gt;"Ja",0,IF(COUNTIF($I159:$L159,"Ja")=0,$D159-SUM($T159:T159),ROUND($D159/COUNTIF($G159:$L159,"Ja"),2))),IF($F159="Vereinbarte Beträge",IF(H159="Ja",N159,0),"")))</f>
      </c>
      <c r="V159" s="87" t="str">
        <f>IF(COUNTIF($A159:$S159,"&lt;&gt;")=0,"",IF($F159="Gleichmäßig unter Beteiligten",IF(I159&lt;&gt;"Ja",0,IF(COUNTIF($J159:$L159,"Ja")=0,$D159-SUM($T159:U159),ROUND($D159/COUNTIF($G159:$L159,"Ja"),2))),IF($F159="Vereinbarte Beträge",IF(I159="Ja",O159,0),"")))</f>
      </c>
      <c r="W159" s="87" t="str">
        <f>IF(COUNTIF($A159:$S159,"&lt;&gt;")=0,"",IF($F159="Gleichmäßig unter Beteiligten",IF(J159&lt;&gt;"Ja",0,IF(COUNTIF($K159:$L159,"Ja")=0,$D159-SUM($T159:V159),ROUND($D159/COUNTIF($G159:$L159,"Ja"),2))),IF($F159="Vereinbarte Beträge",IF(J159="Ja",P159,0),"")))</f>
      </c>
      <c r="X159" s="87" t="str">
        <f>IF(COUNTIF($A159:$S159,"&lt;&gt;")=0,"",IF($F159="Gleichmäßig unter Beteiligten",IF(K159&lt;&gt;"Ja",0,IF(COUNTIF($L159:$L159,"Ja")=0,$D159-SUM($T159:W159),ROUND($D159/COUNTIF($G159:$L159,"Ja"),2))),IF($F159="Vereinbarte Beträge",IF(K159="Ja",Q159,0),"")))</f>
      </c>
      <c r="Y159" s="87" t="str">
        <f>IF(COUNTIF($A159:$S159,"&lt;&gt;")=0,"",IF($F159="Gleichmäßig unter Beteiligten",IF(L159&lt;&gt;"Ja",0,IF(0=0,$D159-SUM($T159:X159),ROUND($D159/COUNTIF($G159:$L159,"Ja"),2))),IF($F159="Vereinbarte Beträge",IF(L159="Ja",R159,0),"")))</f>
      </c>
      <c r="Z159" s="81" t="str">
        <f>IF(COUNTIF($A159:$S159,"&lt;&gt;")=0,"",IF(OR($D159="",$D159&lt;=0),"Trage einen Betrag größer als null ein.",IF($E159="","Wähle aus, wer bezahlt hat.",IF(COUNTIF($G159:$L159,"Ja")=0,"Wähle mindestens eine beteiligte Person aus.",IF($F159="Gleichmäßig unter Beteiligten","Geprüft",IF($F159="Vereinbarte Beträge",IF(OR(AND(G159="Ja",M159=""),AND(H159="Ja",N159=""),AND(I159="Ja",O159=""),AND(J159="Ja",P159=""),AND(K159="Ja",Q159=""),AND(L159="Ja",R159="")),"Trage die vereinbarten Beträge so ein, dass ihre Summe der Ausgabe entspricht.",IF(ABS(SUM($M159:$R159))&lt;0.005,"Trage die vereinbarten Beträge so ein, dass ihre Summe der Ausgabe entspricht.",IF(SUM($M159:$R159)&lt;$D159-0.005,"Bei der Aufteilung fehlen "&amp;ROUND($D159-SUM($M159:$R159),2)&amp;".",IF(SUM($M159:$R159)&gt;$D159+0.005,"Die Aufteilung übersteigt die Ausgabe um "&amp;ROUND(SUM($M159:$R159)-$D159,2)&amp;".","Geprüft")))),"Trage die vereinbarten Beträge so ein, dass ihre Summe der Ausgabe entspricht."))))))</f>
      </c>
    </row>
    <row r="160">
      <c r="A160" s="83"/>
      <c r="B160" s="57"/>
      <c r="C160" s="57"/>
      <c r="D160" s="85"/>
      <c r="E160" s="57"/>
      <c r="F160" s="57"/>
      <c r="G160" s="57"/>
      <c r="H160" s="57"/>
      <c r="I160" s="57"/>
      <c r="J160" s="57"/>
      <c r="K160" s="57"/>
      <c r="L160" s="57"/>
      <c r="M160" s="85"/>
      <c r="N160" s="85"/>
      <c r="O160" s="85"/>
      <c r="P160" s="85"/>
      <c r="Q160" s="85"/>
      <c r="R160" s="85"/>
      <c r="S160" s="57"/>
      <c r="T160" s="87" t="str">
        <f>IF(COUNTIF($A160:$S160,"&lt;&gt;")=0,"",IF($F160="Gleichmäßig unter Beteiligten",IF(G160&lt;&gt;"Ja",0,IF(COUNTIF($H160:$L160,"Ja")=0,$D160-0,ROUND($D160/COUNTIF($G160:$L160,"Ja"),2))),IF($F160="Vereinbarte Beträge",IF(G160="Ja",M160,0),"")))</f>
      </c>
      <c r="U160" s="87" t="str">
        <f>IF(COUNTIF($A160:$S160,"&lt;&gt;")=0,"",IF($F160="Gleichmäßig unter Beteiligten",IF(H160&lt;&gt;"Ja",0,IF(COUNTIF($I160:$L160,"Ja")=0,$D160-SUM($T160:T160),ROUND($D160/COUNTIF($G160:$L160,"Ja"),2))),IF($F160="Vereinbarte Beträge",IF(H160="Ja",N160,0),"")))</f>
      </c>
      <c r="V160" s="87" t="str">
        <f>IF(COUNTIF($A160:$S160,"&lt;&gt;")=0,"",IF($F160="Gleichmäßig unter Beteiligten",IF(I160&lt;&gt;"Ja",0,IF(COUNTIF($J160:$L160,"Ja")=0,$D160-SUM($T160:U160),ROUND($D160/COUNTIF($G160:$L160,"Ja"),2))),IF($F160="Vereinbarte Beträge",IF(I160="Ja",O160,0),"")))</f>
      </c>
      <c r="W160" s="87" t="str">
        <f>IF(COUNTIF($A160:$S160,"&lt;&gt;")=0,"",IF($F160="Gleichmäßig unter Beteiligten",IF(J160&lt;&gt;"Ja",0,IF(COUNTIF($K160:$L160,"Ja")=0,$D160-SUM($T160:V160),ROUND($D160/COUNTIF($G160:$L160,"Ja"),2))),IF($F160="Vereinbarte Beträge",IF(J160="Ja",P160,0),"")))</f>
      </c>
      <c r="X160" s="87" t="str">
        <f>IF(COUNTIF($A160:$S160,"&lt;&gt;")=0,"",IF($F160="Gleichmäßig unter Beteiligten",IF(K160&lt;&gt;"Ja",0,IF(COUNTIF($L160:$L160,"Ja")=0,$D160-SUM($T160:W160),ROUND($D160/COUNTIF($G160:$L160,"Ja"),2))),IF($F160="Vereinbarte Beträge",IF(K160="Ja",Q160,0),"")))</f>
      </c>
      <c r="Y160" s="87" t="str">
        <f>IF(COUNTIF($A160:$S160,"&lt;&gt;")=0,"",IF($F160="Gleichmäßig unter Beteiligten",IF(L160&lt;&gt;"Ja",0,IF(0=0,$D160-SUM($T160:X160),ROUND($D160/COUNTIF($G160:$L160,"Ja"),2))),IF($F160="Vereinbarte Beträge",IF(L160="Ja",R160,0),"")))</f>
      </c>
      <c r="Z160" s="81" t="str">
        <f>IF(COUNTIF($A160:$S160,"&lt;&gt;")=0,"",IF(OR($D160="",$D160&lt;=0),"Trage einen Betrag größer als null ein.",IF($E160="","Wähle aus, wer bezahlt hat.",IF(COUNTIF($G160:$L160,"Ja")=0,"Wähle mindestens eine beteiligte Person aus.",IF($F160="Gleichmäßig unter Beteiligten","Geprüft",IF($F160="Vereinbarte Beträge",IF(OR(AND(G160="Ja",M160=""),AND(H160="Ja",N160=""),AND(I160="Ja",O160=""),AND(J160="Ja",P160=""),AND(K160="Ja",Q160=""),AND(L160="Ja",R160="")),"Trage die vereinbarten Beträge so ein, dass ihre Summe der Ausgabe entspricht.",IF(ABS(SUM($M160:$R160))&lt;0.005,"Trage die vereinbarten Beträge so ein, dass ihre Summe der Ausgabe entspricht.",IF(SUM($M160:$R160)&lt;$D160-0.005,"Bei der Aufteilung fehlen "&amp;ROUND($D160-SUM($M160:$R160),2)&amp;".",IF(SUM($M160:$R160)&gt;$D160+0.005,"Die Aufteilung übersteigt die Ausgabe um "&amp;ROUND(SUM($M160:$R160)-$D160,2)&amp;".","Geprüft")))),"Trage die vereinbarten Beträge so ein, dass ihre Summe der Ausgabe entspricht."))))))</f>
      </c>
    </row>
    <row r="161">
      <c r="A161" s="83"/>
      <c r="B161" s="57"/>
      <c r="C161" s="57"/>
      <c r="D161" s="85"/>
      <c r="E161" s="57"/>
      <c r="F161" s="57"/>
      <c r="G161" s="57"/>
      <c r="H161" s="57"/>
      <c r="I161" s="57"/>
      <c r="J161" s="57"/>
      <c r="K161" s="57"/>
      <c r="L161" s="57"/>
      <c r="M161" s="85"/>
      <c r="N161" s="85"/>
      <c r="O161" s="85"/>
      <c r="P161" s="85"/>
      <c r="Q161" s="85"/>
      <c r="R161" s="85"/>
      <c r="S161" s="57"/>
      <c r="T161" s="87" t="str">
        <f>IF(COUNTIF($A161:$S161,"&lt;&gt;")=0,"",IF($F161="Gleichmäßig unter Beteiligten",IF(G161&lt;&gt;"Ja",0,IF(COUNTIF($H161:$L161,"Ja")=0,$D161-0,ROUND($D161/COUNTIF($G161:$L161,"Ja"),2))),IF($F161="Vereinbarte Beträge",IF(G161="Ja",M161,0),"")))</f>
      </c>
      <c r="U161" s="87" t="str">
        <f>IF(COUNTIF($A161:$S161,"&lt;&gt;")=0,"",IF($F161="Gleichmäßig unter Beteiligten",IF(H161&lt;&gt;"Ja",0,IF(COUNTIF($I161:$L161,"Ja")=0,$D161-SUM($T161:T161),ROUND($D161/COUNTIF($G161:$L161,"Ja"),2))),IF($F161="Vereinbarte Beträge",IF(H161="Ja",N161,0),"")))</f>
      </c>
      <c r="V161" s="87" t="str">
        <f>IF(COUNTIF($A161:$S161,"&lt;&gt;")=0,"",IF($F161="Gleichmäßig unter Beteiligten",IF(I161&lt;&gt;"Ja",0,IF(COUNTIF($J161:$L161,"Ja")=0,$D161-SUM($T161:U161),ROUND($D161/COUNTIF($G161:$L161,"Ja"),2))),IF($F161="Vereinbarte Beträge",IF(I161="Ja",O161,0),"")))</f>
      </c>
      <c r="W161" s="87" t="str">
        <f>IF(COUNTIF($A161:$S161,"&lt;&gt;")=0,"",IF($F161="Gleichmäßig unter Beteiligten",IF(J161&lt;&gt;"Ja",0,IF(COUNTIF($K161:$L161,"Ja")=0,$D161-SUM($T161:V161),ROUND($D161/COUNTIF($G161:$L161,"Ja"),2))),IF($F161="Vereinbarte Beträge",IF(J161="Ja",P161,0),"")))</f>
      </c>
      <c r="X161" s="87" t="str">
        <f>IF(COUNTIF($A161:$S161,"&lt;&gt;")=0,"",IF($F161="Gleichmäßig unter Beteiligten",IF(K161&lt;&gt;"Ja",0,IF(COUNTIF($L161:$L161,"Ja")=0,$D161-SUM($T161:W161),ROUND($D161/COUNTIF($G161:$L161,"Ja"),2))),IF($F161="Vereinbarte Beträge",IF(K161="Ja",Q161,0),"")))</f>
      </c>
      <c r="Y161" s="87" t="str">
        <f>IF(COUNTIF($A161:$S161,"&lt;&gt;")=0,"",IF($F161="Gleichmäßig unter Beteiligten",IF(L161&lt;&gt;"Ja",0,IF(0=0,$D161-SUM($T161:X161),ROUND($D161/COUNTIF($G161:$L161,"Ja"),2))),IF($F161="Vereinbarte Beträge",IF(L161="Ja",R161,0),"")))</f>
      </c>
      <c r="Z161" s="81" t="str">
        <f>IF(COUNTIF($A161:$S161,"&lt;&gt;")=0,"",IF(OR($D161="",$D161&lt;=0),"Trage einen Betrag größer als null ein.",IF($E161="","Wähle aus, wer bezahlt hat.",IF(COUNTIF($G161:$L161,"Ja")=0,"Wähle mindestens eine beteiligte Person aus.",IF($F161="Gleichmäßig unter Beteiligten","Geprüft",IF($F161="Vereinbarte Beträge",IF(OR(AND(G161="Ja",M161=""),AND(H161="Ja",N161=""),AND(I161="Ja",O161=""),AND(J161="Ja",P161=""),AND(K161="Ja",Q161=""),AND(L161="Ja",R161="")),"Trage die vereinbarten Beträge so ein, dass ihre Summe der Ausgabe entspricht.",IF(ABS(SUM($M161:$R161))&lt;0.005,"Trage die vereinbarten Beträge so ein, dass ihre Summe der Ausgabe entspricht.",IF(SUM($M161:$R161)&lt;$D161-0.005,"Bei der Aufteilung fehlen "&amp;ROUND($D161-SUM($M161:$R161),2)&amp;".",IF(SUM($M161:$R161)&gt;$D161+0.005,"Die Aufteilung übersteigt die Ausgabe um "&amp;ROUND(SUM($M161:$R161)-$D161,2)&amp;".","Geprüft")))),"Trage die vereinbarten Beträge so ein, dass ihre Summe der Ausgabe entspricht."))))))</f>
      </c>
    </row>
    <row r="162">
      <c r="A162" s="83"/>
      <c r="B162" s="57"/>
      <c r="C162" s="57"/>
      <c r="D162" s="85"/>
      <c r="E162" s="57"/>
      <c r="F162" s="57"/>
      <c r="G162" s="57"/>
      <c r="H162" s="57"/>
      <c r="I162" s="57"/>
      <c r="J162" s="57"/>
      <c r="K162" s="57"/>
      <c r="L162" s="57"/>
      <c r="M162" s="85"/>
      <c r="N162" s="85"/>
      <c r="O162" s="85"/>
      <c r="P162" s="85"/>
      <c r="Q162" s="85"/>
      <c r="R162" s="85"/>
      <c r="S162" s="57"/>
      <c r="T162" s="87" t="str">
        <f>IF(COUNTIF($A162:$S162,"&lt;&gt;")=0,"",IF($F162="Gleichmäßig unter Beteiligten",IF(G162&lt;&gt;"Ja",0,IF(COUNTIF($H162:$L162,"Ja")=0,$D162-0,ROUND($D162/COUNTIF($G162:$L162,"Ja"),2))),IF($F162="Vereinbarte Beträge",IF(G162="Ja",M162,0),"")))</f>
      </c>
      <c r="U162" s="87" t="str">
        <f>IF(COUNTIF($A162:$S162,"&lt;&gt;")=0,"",IF($F162="Gleichmäßig unter Beteiligten",IF(H162&lt;&gt;"Ja",0,IF(COUNTIF($I162:$L162,"Ja")=0,$D162-SUM($T162:T162),ROUND($D162/COUNTIF($G162:$L162,"Ja"),2))),IF($F162="Vereinbarte Beträge",IF(H162="Ja",N162,0),"")))</f>
      </c>
      <c r="V162" s="87" t="str">
        <f>IF(COUNTIF($A162:$S162,"&lt;&gt;")=0,"",IF($F162="Gleichmäßig unter Beteiligten",IF(I162&lt;&gt;"Ja",0,IF(COUNTIF($J162:$L162,"Ja")=0,$D162-SUM($T162:U162),ROUND($D162/COUNTIF($G162:$L162,"Ja"),2))),IF($F162="Vereinbarte Beträge",IF(I162="Ja",O162,0),"")))</f>
      </c>
      <c r="W162" s="87" t="str">
        <f>IF(COUNTIF($A162:$S162,"&lt;&gt;")=0,"",IF($F162="Gleichmäßig unter Beteiligten",IF(J162&lt;&gt;"Ja",0,IF(COUNTIF($K162:$L162,"Ja")=0,$D162-SUM($T162:V162),ROUND($D162/COUNTIF($G162:$L162,"Ja"),2))),IF($F162="Vereinbarte Beträge",IF(J162="Ja",P162,0),"")))</f>
      </c>
      <c r="X162" s="87" t="str">
        <f>IF(COUNTIF($A162:$S162,"&lt;&gt;")=0,"",IF($F162="Gleichmäßig unter Beteiligten",IF(K162&lt;&gt;"Ja",0,IF(COUNTIF($L162:$L162,"Ja")=0,$D162-SUM($T162:W162),ROUND($D162/COUNTIF($G162:$L162,"Ja"),2))),IF($F162="Vereinbarte Beträge",IF(K162="Ja",Q162,0),"")))</f>
      </c>
      <c r="Y162" s="87" t="str">
        <f>IF(COUNTIF($A162:$S162,"&lt;&gt;")=0,"",IF($F162="Gleichmäßig unter Beteiligten",IF(L162&lt;&gt;"Ja",0,IF(0=0,$D162-SUM($T162:X162),ROUND($D162/COUNTIF($G162:$L162,"Ja"),2))),IF($F162="Vereinbarte Beträge",IF(L162="Ja",R162,0),"")))</f>
      </c>
      <c r="Z162" s="81" t="str">
        <f>IF(COUNTIF($A162:$S162,"&lt;&gt;")=0,"",IF(OR($D162="",$D162&lt;=0),"Trage einen Betrag größer als null ein.",IF($E162="","Wähle aus, wer bezahlt hat.",IF(COUNTIF($G162:$L162,"Ja")=0,"Wähle mindestens eine beteiligte Person aus.",IF($F162="Gleichmäßig unter Beteiligten","Geprüft",IF($F162="Vereinbarte Beträge",IF(OR(AND(G162="Ja",M162=""),AND(H162="Ja",N162=""),AND(I162="Ja",O162=""),AND(J162="Ja",P162=""),AND(K162="Ja",Q162=""),AND(L162="Ja",R162="")),"Trage die vereinbarten Beträge so ein, dass ihre Summe der Ausgabe entspricht.",IF(ABS(SUM($M162:$R162))&lt;0.005,"Trage die vereinbarten Beträge so ein, dass ihre Summe der Ausgabe entspricht.",IF(SUM($M162:$R162)&lt;$D162-0.005,"Bei der Aufteilung fehlen "&amp;ROUND($D162-SUM($M162:$R162),2)&amp;".",IF(SUM($M162:$R162)&gt;$D162+0.005,"Die Aufteilung übersteigt die Ausgabe um "&amp;ROUND(SUM($M162:$R162)-$D162,2)&amp;".","Geprüft")))),"Trage die vereinbarten Beträge so ein, dass ihre Summe der Ausgabe entspricht."))))))</f>
      </c>
    </row>
    <row r="163">
      <c r="A163" s="83"/>
      <c r="B163" s="57"/>
      <c r="C163" s="57"/>
      <c r="D163" s="85"/>
      <c r="E163" s="57"/>
      <c r="F163" s="57"/>
      <c r="G163" s="57"/>
      <c r="H163" s="57"/>
      <c r="I163" s="57"/>
      <c r="J163" s="57"/>
      <c r="K163" s="57"/>
      <c r="L163" s="57"/>
      <c r="M163" s="85"/>
      <c r="N163" s="85"/>
      <c r="O163" s="85"/>
      <c r="P163" s="85"/>
      <c r="Q163" s="85"/>
      <c r="R163" s="85"/>
      <c r="S163" s="57"/>
      <c r="T163" s="87" t="str">
        <f>IF(COUNTIF($A163:$S163,"&lt;&gt;")=0,"",IF($F163="Gleichmäßig unter Beteiligten",IF(G163&lt;&gt;"Ja",0,IF(COUNTIF($H163:$L163,"Ja")=0,$D163-0,ROUND($D163/COUNTIF($G163:$L163,"Ja"),2))),IF($F163="Vereinbarte Beträge",IF(G163="Ja",M163,0),"")))</f>
      </c>
      <c r="U163" s="87" t="str">
        <f>IF(COUNTIF($A163:$S163,"&lt;&gt;")=0,"",IF($F163="Gleichmäßig unter Beteiligten",IF(H163&lt;&gt;"Ja",0,IF(COUNTIF($I163:$L163,"Ja")=0,$D163-SUM($T163:T163),ROUND($D163/COUNTIF($G163:$L163,"Ja"),2))),IF($F163="Vereinbarte Beträge",IF(H163="Ja",N163,0),"")))</f>
      </c>
      <c r="V163" s="87" t="str">
        <f>IF(COUNTIF($A163:$S163,"&lt;&gt;")=0,"",IF($F163="Gleichmäßig unter Beteiligten",IF(I163&lt;&gt;"Ja",0,IF(COUNTIF($J163:$L163,"Ja")=0,$D163-SUM($T163:U163),ROUND($D163/COUNTIF($G163:$L163,"Ja"),2))),IF($F163="Vereinbarte Beträge",IF(I163="Ja",O163,0),"")))</f>
      </c>
      <c r="W163" s="87" t="str">
        <f>IF(COUNTIF($A163:$S163,"&lt;&gt;")=0,"",IF($F163="Gleichmäßig unter Beteiligten",IF(J163&lt;&gt;"Ja",0,IF(COUNTIF($K163:$L163,"Ja")=0,$D163-SUM($T163:V163),ROUND($D163/COUNTIF($G163:$L163,"Ja"),2))),IF($F163="Vereinbarte Beträge",IF(J163="Ja",P163,0),"")))</f>
      </c>
      <c r="X163" s="87" t="str">
        <f>IF(COUNTIF($A163:$S163,"&lt;&gt;")=0,"",IF($F163="Gleichmäßig unter Beteiligten",IF(K163&lt;&gt;"Ja",0,IF(COUNTIF($L163:$L163,"Ja")=0,$D163-SUM($T163:W163),ROUND($D163/COUNTIF($G163:$L163,"Ja"),2))),IF($F163="Vereinbarte Beträge",IF(K163="Ja",Q163,0),"")))</f>
      </c>
      <c r="Y163" s="87" t="str">
        <f>IF(COUNTIF($A163:$S163,"&lt;&gt;")=0,"",IF($F163="Gleichmäßig unter Beteiligten",IF(L163&lt;&gt;"Ja",0,IF(0=0,$D163-SUM($T163:X163),ROUND($D163/COUNTIF($G163:$L163,"Ja"),2))),IF($F163="Vereinbarte Beträge",IF(L163="Ja",R163,0),"")))</f>
      </c>
      <c r="Z163" s="81" t="str">
        <f>IF(COUNTIF($A163:$S163,"&lt;&gt;")=0,"",IF(OR($D163="",$D163&lt;=0),"Trage einen Betrag größer als null ein.",IF($E163="","Wähle aus, wer bezahlt hat.",IF(COUNTIF($G163:$L163,"Ja")=0,"Wähle mindestens eine beteiligte Person aus.",IF($F163="Gleichmäßig unter Beteiligten","Geprüft",IF($F163="Vereinbarte Beträge",IF(OR(AND(G163="Ja",M163=""),AND(H163="Ja",N163=""),AND(I163="Ja",O163=""),AND(J163="Ja",P163=""),AND(K163="Ja",Q163=""),AND(L163="Ja",R163="")),"Trage die vereinbarten Beträge so ein, dass ihre Summe der Ausgabe entspricht.",IF(ABS(SUM($M163:$R163))&lt;0.005,"Trage die vereinbarten Beträge so ein, dass ihre Summe der Ausgabe entspricht.",IF(SUM($M163:$R163)&lt;$D163-0.005,"Bei der Aufteilung fehlen "&amp;ROUND($D163-SUM($M163:$R163),2)&amp;".",IF(SUM($M163:$R163)&gt;$D163+0.005,"Die Aufteilung übersteigt die Ausgabe um "&amp;ROUND(SUM($M163:$R163)-$D163,2)&amp;".","Geprüft")))),"Trage die vereinbarten Beträge so ein, dass ihre Summe der Ausgabe entspricht."))))))</f>
      </c>
    </row>
    <row r="164">
      <c r="A164" s="83"/>
      <c r="B164" s="57"/>
      <c r="C164" s="57"/>
      <c r="D164" s="85"/>
      <c r="E164" s="57"/>
      <c r="F164" s="57"/>
      <c r="G164" s="57"/>
      <c r="H164" s="57"/>
      <c r="I164" s="57"/>
      <c r="J164" s="57"/>
      <c r="K164" s="57"/>
      <c r="L164" s="57"/>
      <c r="M164" s="85"/>
      <c r="N164" s="85"/>
      <c r="O164" s="85"/>
      <c r="P164" s="85"/>
      <c r="Q164" s="85"/>
      <c r="R164" s="85"/>
      <c r="S164" s="57"/>
      <c r="T164" s="87" t="str">
        <f>IF(COUNTIF($A164:$S164,"&lt;&gt;")=0,"",IF($F164="Gleichmäßig unter Beteiligten",IF(G164&lt;&gt;"Ja",0,IF(COUNTIF($H164:$L164,"Ja")=0,$D164-0,ROUND($D164/COUNTIF($G164:$L164,"Ja"),2))),IF($F164="Vereinbarte Beträge",IF(G164="Ja",M164,0),"")))</f>
      </c>
      <c r="U164" s="87" t="str">
        <f>IF(COUNTIF($A164:$S164,"&lt;&gt;")=0,"",IF($F164="Gleichmäßig unter Beteiligten",IF(H164&lt;&gt;"Ja",0,IF(COUNTIF($I164:$L164,"Ja")=0,$D164-SUM($T164:T164),ROUND($D164/COUNTIF($G164:$L164,"Ja"),2))),IF($F164="Vereinbarte Beträge",IF(H164="Ja",N164,0),"")))</f>
      </c>
      <c r="V164" s="87" t="str">
        <f>IF(COUNTIF($A164:$S164,"&lt;&gt;")=0,"",IF($F164="Gleichmäßig unter Beteiligten",IF(I164&lt;&gt;"Ja",0,IF(COUNTIF($J164:$L164,"Ja")=0,$D164-SUM($T164:U164),ROUND($D164/COUNTIF($G164:$L164,"Ja"),2))),IF($F164="Vereinbarte Beträge",IF(I164="Ja",O164,0),"")))</f>
      </c>
      <c r="W164" s="87" t="str">
        <f>IF(COUNTIF($A164:$S164,"&lt;&gt;")=0,"",IF($F164="Gleichmäßig unter Beteiligten",IF(J164&lt;&gt;"Ja",0,IF(COUNTIF($K164:$L164,"Ja")=0,$D164-SUM($T164:V164),ROUND($D164/COUNTIF($G164:$L164,"Ja"),2))),IF($F164="Vereinbarte Beträge",IF(J164="Ja",P164,0),"")))</f>
      </c>
      <c r="X164" s="87" t="str">
        <f>IF(COUNTIF($A164:$S164,"&lt;&gt;")=0,"",IF($F164="Gleichmäßig unter Beteiligten",IF(K164&lt;&gt;"Ja",0,IF(COUNTIF($L164:$L164,"Ja")=0,$D164-SUM($T164:W164),ROUND($D164/COUNTIF($G164:$L164,"Ja"),2))),IF($F164="Vereinbarte Beträge",IF(K164="Ja",Q164,0),"")))</f>
      </c>
      <c r="Y164" s="87" t="str">
        <f>IF(COUNTIF($A164:$S164,"&lt;&gt;")=0,"",IF($F164="Gleichmäßig unter Beteiligten",IF(L164&lt;&gt;"Ja",0,IF(0=0,$D164-SUM($T164:X164),ROUND($D164/COUNTIF($G164:$L164,"Ja"),2))),IF($F164="Vereinbarte Beträge",IF(L164="Ja",R164,0),"")))</f>
      </c>
      <c r="Z164" s="81" t="str">
        <f>IF(COUNTIF($A164:$S164,"&lt;&gt;")=0,"",IF(OR($D164="",$D164&lt;=0),"Trage einen Betrag größer als null ein.",IF($E164="","Wähle aus, wer bezahlt hat.",IF(COUNTIF($G164:$L164,"Ja")=0,"Wähle mindestens eine beteiligte Person aus.",IF($F164="Gleichmäßig unter Beteiligten","Geprüft",IF($F164="Vereinbarte Beträge",IF(OR(AND(G164="Ja",M164=""),AND(H164="Ja",N164=""),AND(I164="Ja",O164=""),AND(J164="Ja",P164=""),AND(K164="Ja",Q164=""),AND(L164="Ja",R164="")),"Trage die vereinbarten Beträge so ein, dass ihre Summe der Ausgabe entspricht.",IF(ABS(SUM($M164:$R164))&lt;0.005,"Trage die vereinbarten Beträge so ein, dass ihre Summe der Ausgabe entspricht.",IF(SUM($M164:$R164)&lt;$D164-0.005,"Bei der Aufteilung fehlen "&amp;ROUND($D164-SUM($M164:$R164),2)&amp;".",IF(SUM($M164:$R164)&gt;$D164+0.005,"Die Aufteilung übersteigt die Ausgabe um "&amp;ROUND(SUM($M164:$R164)-$D164,2)&amp;".","Geprüft")))),"Trage die vereinbarten Beträge so ein, dass ihre Summe der Ausgabe entspricht."))))))</f>
      </c>
    </row>
    <row r="165">
      <c r="A165" s="83"/>
      <c r="B165" s="57"/>
      <c r="C165" s="57"/>
      <c r="D165" s="85"/>
      <c r="E165" s="57"/>
      <c r="F165" s="57"/>
      <c r="G165" s="57"/>
      <c r="H165" s="57"/>
      <c r="I165" s="57"/>
      <c r="J165" s="57"/>
      <c r="K165" s="57"/>
      <c r="L165" s="57"/>
      <c r="M165" s="85"/>
      <c r="N165" s="85"/>
      <c r="O165" s="85"/>
      <c r="P165" s="85"/>
      <c r="Q165" s="85"/>
      <c r="R165" s="85"/>
      <c r="S165" s="57"/>
      <c r="T165" s="87" t="str">
        <f>IF(COUNTIF($A165:$S165,"&lt;&gt;")=0,"",IF($F165="Gleichmäßig unter Beteiligten",IF(G165&lt;&gt;"Ja",0,IF(COUNTIF($H165:$L165,"Ja")=0,$D165-0,ROUND($D165/COUNTIF($G165:$L165,"Ja"),2))),IF($F165="Vereinbarte Beträge",IF(G165="Ja",M165,0),"")))</f>
      </c>
      <c r="U165" s="87" t="str">
        <f>IF(COUNTIF($A165:$S165,"&lt;&gt;")=0,"",IF($F165="Gleichmäßig unter Beteiligten",IF(H165&lt;&gt;"Ja",0,IF(COUNTIF($I165:$L165,"Ja")=0,$D165-SUM($T165:T165),ROUND($D165/COUNTIF($G165:$L165,"Ja"),2))),IF($F165="Vereinbarte Beträge",IF(H165="Ja",N165,0),"")))</f>
      </c>
      <c r="V165" s="87" t="str">
        <f>IF(COUNTIF($A165:$S165,"&lt;&gt;")=0,"",IF($F165="Gleichmäßig unter Beteiligten",IF(I165&lt;&gt;"Ja",0,IF(COUNTIF($J165:$L165,"Ja")=0,$D165-SUM($T165:U165),ROUND($D165/COUNTIF($G165:$L165,"Ja"),2))),IF($F165="Vereinbarte Beträge",IF(I165="Ja",O165,0),"")))</f>
      </c>
      <c r="W165" s="87" t="str">
        <f>IF(COUNTIF($A165:$S165,"&lt;&gt;")=0,"",IF($F165="Gleichmäßig unter Beteiligten",IF(J165&lt;&gt;"Ja",0,IF(COUNTIF($K165:$L165,"Ja")=0,$D165-SUM($T165:V165),ROUND($D165/COUNTIF($G165:$L165,"Ja"),2))),IF($F165="Vereinbarte Beträge",IF(J165="Ja",P165,0),"")))</f>
      </c>
      <c r="X165" s="87" t="str">
        <f>IF(COUNTIF($A165:$S165,"&lt;&gt;")=0,"",IF($F165="Gleichmäßig unter Beteiligten",IF(K165&lt;&gt;"Ja",0,IF(COUNTIF($L165:$L165,"Ja")=0,$D165-SUM($T165:W165),ROUND($D165/COUNTIF($G165:$L165,"Ja"),2))),IF($F165="Vereinbarte Beträge",IF(K165="Ja",Q165,0),"")))</f>
      </c>
      <c r="Y165" s="87" t="str">
        <f>IF(COUNTIF($A165:$S165,"&lt;&gt;")=0,"",IF($F165="Gleichmäßig unter Beteiligten",IF(L165&lt;&gt;"Ja",0,IF(0=0,$D165-SUM($T165:X165),ROUND($D165/COUNTIF($G165:$L165,"Ja"),2))),IF($F165="Vereinbarte Beträge",IF(L165="Ja",R165,0),"")))</f>
      </c>
      <c r="Z165" s="81" t="str">
        <f>IF(COUNTIF($A165:$S165,"&lt;&gt;")=0,"",IF(OR($D165="",$D165&lt;=0),"Trage einen Betrag größer als null ein.",IF($E165="","Wähle aus, wer bezahlt hat.",IF(COUNTIF($G165:$L165,"Ja")=0,"Wähle mindestens eine beteiligte Person aus.",IF($F165="Gleichmäßig unter Beteiligten","Geprüft",IF($F165="Vereinbarte Beträge",IF(OR(AND(G165="Ja",M165=""),AND(H165="Ja",N165=""),AND(I165="Ja",O165=""),AND(J165="Ja",P165=""),AND(K165="Ja",Q165=""),AND(L165="Ja",R165="")),"Trage die vereinbarten Beträge so ein, dass ihre Summe der Ausgabe entspricht.",IF(ABS(SUM($M165:$R165))&lt;0.005,"Trage die vereinbarten Beträge so ein, dass ihre Summe der Ausgabe entspricht.",IF(SUM($M165:$R165)&lt;$D165-0.005,"Bei der Aufteilung fehlen "&amp;ROUND($D165-SUM($M165:$R165),2)&amp;".",IF(SUM($M165:$R165)&gt;$D165+0.005,"Die Aufteilung übersteigt die Ausgabe um "&amp;ROUND(SUM($M165:$R165)-$D165,2)&amp;".","Geprüft")))),"Trage die vereinbarten Beträge so ein, dass ihre Summe der Ausgabe entspricht."))))))</f>
      </c>
    </row>
    <row r="166">
      <c r="A166" s="83"/>
      <c r="B166" s="57"/>
      <c r="C166" s="57"/>
      <c r="D166" s="85"/>
      <c r="E166" s="57"/>
      <c r="F166" s="57"/>
      <c r="G166" s="57"/>
      <c r="H166" s="57"/>
      <c r="I166" s="57"/>
      <c r="J166" s="57"/>
      <c r="K166" s="57"/>
      <c r="L166" s="57"/>
      <c r="M166" s="85"/>
      <c r="N166" s="85"/>
      <c r="O166" s="85"/>
      <c r="P166" s="85"/>
      <c r="Q166" s="85"/>
      <c r="R166" s="85"/>
      <c r="S166" s="57"/>
      <c r="T166" s="87" t="str">
        <f>IF(COUNTIF($A166:$S166,"&lt;&gt;")=0,"",IF($F166="Gleichmäßig unter Beteiligten",IF(G166&lt;&gt;"Ja",0,IF(COUNTIF($H166:$L166,"Ja")=0,$D166-0,ROUND($D166/COUNTIF($G166:$L166,"Ja"),2))),IF($F166="Vereinbarte Beträge",IF(G166="Ja",M166,0),"")))</f>
      </c>
      <c r="U166" s="87" t="str">
        <f>IF(COUNTIF($A166:$S166,"&lt;&gt;")=0,"",IF($F166="Gleichmäßig unter Beteiligten",IF(H166&lt;&gt;"Ja",0,IF(COUNTIF($I166:$L166,"Ja")=0,$D166-SUM($T166:T166),ROUND($D166/COUNTIF($G166:$L166,"Ja"),2))),IF($F166="Vereinbarte Beträge",IF(H166="Ja",N166,0),"")))</f>
      </c>
      <c r="V166" s="87" t="str">
        <f>IF(COUNTIF($A166:$S166,"&lt;&gt;")=0,"",IF($F166="Gleichmäßig unter Beteiligten",IF(I166&lt;&gt;"Ja",0,IF(COUNTIF($J166:$L166,"Ja")=0,$D166-SUM($T166:U166),ROUND($D166/COUNTIF($G166:$L166,"Ja"),2))),IF($F166="Vereinbarte Beträge",IF(I166="Ja",O166,0),"")))</f>
      </c>
      <c r="W166" s="87" t="str">
        <f>IF(COUNTIF($A166:$S166,"&lt;&gt;")=0,"",IF($F166="Gleichmäßig unter Beteiligten",IF(J166&lt;&gt;"Ja",0,IF(COUNTIF($K166:$L166,"Ja")=0,$D166-SUM($T166:V166),ROUND($D166/COUNTIF($G166:$L166,"Ja"),2))),IF($F166="Vereinbarte Beträge",IF(J166="Ja",P166,0),"")))</f>
      </c>
      <c r="X166" s="87" t="str">
        <f>IF(COUNTIF($A166:$S166,"&lt;&gt;")=0,"",IF($F166="Gleichmäßig unter Beteiligten",IF(K166&lt;&gt;"Ja",0,IF(COUNTIF($L166:$L166,"Ja")=0,$D166-SUM($T166:W166),ROUND($D166/COUNTIF($G166:$L166,"Ja"),2))),IF($F166="Vereinbarte Beträge",IF(K166="Ja",Q166,0),"")))</f>
      </c>
      <c r="Y166" s="87" t="str">
        <f>IF(COUNTIF($A166:$S166,"&lt;&gt;")=0,"",IF($F166="Gleichmäßig unter Beteiligten",IF(L166&lt;&gt;"Ja",0,IF(0=0,$D166-SUM($T166:X166),ROUND($D166/COUNTIF($G166:$L166,"Ja"),2))),IF($F166="Vereinbarte Beträge",IF(L166="Ja",R166,0),"")))</f>
      </c>
      <c r="Z166" s="81" t="str">
        <f>IF(COUNTIF($A166:$S166,"&lt;&gt;")=0,"",IF(OR($D166="",$D166&lt;=0),"Trage einen Betrag größer als null ein.",IF($E166="","Wähle aus, wer bezahlt hat.",IF(COUNTIF($G166:$L166,"Ja")=0,"Wähle mindestens eine beteiligte Person aus.",IF($F166="Gleichmäßig unter Beteiligten","Geprüft",IF($F166="Vereinbarte Beträge",IF(OR(AND(G166="Ja",M166=""),AND(H166="Ja",N166=""),AND(I166="Ja",O166=""),AND(J166="Ja",P166=""),AND(K166="Ja",Q166=""),AND(L166="Ja",R166="")),"Trage die vereinbarten Beträge so ein, dass ihre Summe der Ausgabe entspricht.",IF(ABS(SUM($M166:$R166))&lt;0.005,"Trage die vereinbarten Beträge so ein, dass ihre Summe der Ausgabe entspricht.",IF(SUM($M166:$R166)&lt;$D166-0.005,"Bei der Aufteilung fehlen "&amp;ROUND($D166-SUM($M166:$R166),2)&amp;".",IF(SUM($M166:$R166)&gt;$D166+0.005,"Die Aufteilung übersteigt die Ausgabe um "&amp;ROUND(SUM($M166:$R166)-$D166,2)&amp;".","Geprüft")))),"Trage die vereinbarten Beträge so ein, dass ihre Summe der Ausgabe entspricht."))))))</f>
      </c>
    </row>
    <row r="167">
      <c r="A167" s="83"/>
      <c r="B167" s="57"/>
      <c r="C167" s="57"/>
      <c r="D167" s="85"/>
      <c r="E167" s="57"/>
      <c r="F167" s="57"/>
      <c r="G167" s="57"/>
      <c r="H167" s="57"/>
      <c r="I167" s="57"/>
      <c r="J167" s="57"/>
      <c r="K167" s="57"/>
      <c r="L167" s="57"/>
      <c r="M167" s="85"/>
      <c r="N167" s="85"/>
      <c r="O167" s="85"/>
      <c r="P167" s="85"/>
      <c r="Q167" s="85"/>
      <c r="R167" s="85"/>
      <c r="S167" s="57"/>
      <c r="T167" s="87" t="str">
        <f>IF(COUNTIF($A167:$S167,"&lt;&gt;")=0,"",IF($F167="Gleichmäßig unter Beteiligten",IF(G167&lt;&gt;"Ja",0,IF(COUNTIF($H167:$L167,"Ja")=0,$D167-0,ROUND($D167/COUNTIF($G167:$L167,"Ja"),2))),IF($F167="Vereinbarte Beträge",IF(G167="Ja",M167,0),"")))</f>
      </c>
      <c r="U167" s="87" t="str">
        <f>IF(COUNTIF($A167:$S167,"&lt;&gt;")=0,"",IF($F167="Gleichmäßig unter Beteiligten",IF(H167&lt;&gt;"Ja",0,IF(COUNTIF($I167:$L167,"Ja")=0,$D167-SUM($T167:T167),ROUND($D167/COUNTIF($G167:$L167,"Ja"),2))),IF($F167="Vereinbarte Beträge",IF(H167="Ja",N167,0),"")))</f>
      </c>
      <c r="V167" s="87" t="str">
        <f>IF(COUNTIF($A167:$S167,"&lt;&gt;")=0,"",IF($F167="Gleichmäßig unter Beteiligten",IF(I167&lt;&gt;"Ja",0,IF(COUNTIF($J167:$L167,"Ja")=0,$D167-SUM($T167:U167),ROUND($D167/COUNTIF($G167:$L167,"Ja"),2))),IF($F167="Vereinbarte Beträge",IF(I167="Ja",O167,0),"")))</f>
      </c>
      <c r="W167" s="87" t="str">
        <f>IF(COUNTIF($A167:$S167,"&lt;&gt;")=0,"",IF($F167="Gleichmäßig unter Beteiligten",IF(J167&lt;&gt;"Ja",0,IF(COUNTIF($K167:$L167,"Ja")=0,$D167-SUM($T167:V167),ROUND($D167/COUNTIF($G167:$L167,"Ja"),2))),IF($F167="Vereinbarte Beträge",IF(J167="Ja",P167,0),"")))</f>
      </c>
      <c r="X167" s="87" t="str">
        <f>IF(COUNTIF($A167:$S167,"&lt;&gt;")=0,"",IF($F167="Gleichmäßig unter Beteiligten",IF(K167&lt;&gt;"Ja",0,IF(COUNTIF($L167:$L167,"Ja")=0,$D167-SUM($T167:W167),ROUND($D167/COUNTIF($G167:$L167,"Ja"),2))),IF($F167="Vereinbarte Beträge",IF(K167="Ja",Q167,0),"")))</f>
      </c>
      <c r="Y167" s="87" t="str">
        <f>IF(COUNTIF($A167:$S167,"&lt;&gt;")=0,"",IF($F167="Gleichmäßig unter Beteiligten",IF(L167&lt;&gt;"Ja",0,IF(0=0,$D167-SUM($T167:X167),ROUND($D167/COUNTIF($G167:$L167,"Ja"),2))),IF($F167="Vereinbarte Beträge",IF(L167="Ja",R167,0),"")))</f>
      </c>
      <c r="Z167" s="81" t="str">
        <f>IF(COUNTIF($A167:$S167,"&lt;&gt;")=0,"",IF(OR($D167="",$D167&lt;=0),"Trage einen Betrag größer als null ein.",IF($E167="","Wähle aus, wer bezahlt hat.",IF(COUNTIF($G167:$L167,"Ja")=0,"Wähle mindestens eine beteiligte Person aus.",IF($F167="Gleichmäßig unter Beteiligten","Geprüft",IF($F167="Vereinbarte Beträge",IF(OR(AND(G167="Ja",M167=""),AND(H167="Ja",N167=""),AND(I167="Ja",O167=""),AND(J167="Ja",P167=""),AND(K167="Ja",Q167=""),AND(L167="Ja",R167="")),"Trage die vereinbarten Beträge so ein, dass ihre Summe der Ausgabe entspricht.",IF(ABS(SUM($M167:$R167))&lt;0.005,"Trage die vereinbarten Beträge so ein, dass ihre Summe der Ausgabe entspricht.",IF(SUM($M167:$R167)&lt;$D167-0.005,"Bei der Aufteilung fehlen "&amp;ROUND($D167-SUM($M167:$R167),2)&amp;".",IF(SUM($M167:$R167)&gt;$D167+0.005,"Die Aufteilung übersteigt die Ausgabe um "&amp;ROUND(SUM($M167:$R167)-$D167,2)&amp;".","Geprüft")))),"Trage die vereinbarten Beträge so ein, dass ihre Summe der Ausgabe entspricht."))))))</f>
      </c>
    </row>
    <row r="168">
      <c r="A168" s="83"/>
      <c r="B168" s="57"/>
      <c r="C168" s="57"/>
      <c r="D168" s="85"/>
      <c r="E168" s="57"/>
      <c r="F168" s="57"/>
      <c r="G168" s="57"/>
      <c r="H168" s="57"/>
      <c r="I168" s="57"/>
      <c r="J168" s="57"/>
      <c r="K168" s="57"/>
      <c r="L168" s="57"/>
      <c r="M168" s="85"/>
      <c r="N168" s="85"/>
      <c r="O168" s="85"/>
      <c r="P168" s="85"/>
      <c r="Q168" s="85"/>
      <c r="R168" s="85"/>
      <c r="S168" s="57"/>
      <c r="T168" s="87" t="str">
        <f>IF(COUNTIF($A168:$S168,"&lt;&gt;")=0,"",IF($F168="Gleichmäßig unter Beteiligten",IF(G168&lt;&gt;"Ja",0,IF(COUNTIF($H168:$L168,"Ja")=0,$D168-0,ROUND($D168/COUNTIF($G168:$L168,"Ja"),2))),IF($F168="Vereinbarte Beträge",IF(G168="Ja",M168,0),"")))</f>
      </c>
      <c r="U168" s="87" t="str">
        <f>IF(COUNTIF($A168:$S168,"&lt;&gt;")=0,"",IF($F168="Gleichmäßig unter Beteiligten",IF(H168&lt;&gt;"Ja",0,IF(COUNTIF($I168:$L168,"Ja")=0,$D168-SUM($T168:T168),ROUND($D168/COUNTIF($G168:$L168,"Ja"),2))),IF($F168="Vereinbarte Beträge",IF(H168="Ja",N168,0),"")))</f>
      </c>
      <c r="V168" s="87" t="str">
        <f>IF(COUNTIF($A168:$S168,"&lt;&gt;")=0,"",IF($F168="Gleichmäßig unter Beteiligten",IF(I168&lt;&gt;"Ja",0,IF(COUNTIF($J168:$L168,"Ja")=0,$D168-SUM($T168:U168),ROUND($D168/COUNTIF($G168:$L168,"Ja"),2))),IF($F168="Vereinbarte Beträge",IF(I168="Ja",O168,0),"")))</f>
      </c>
      <c r="W168" s="87" t="str">
        <f>IF(COUNTIF($A168:$S168,"&lt;&gt;")=0,"",IF($F168="Gleichmäßig unter Beteiligten",IF(J168&lt;&gt;"Ja",0,IF(COUNTIF($K168:$L168,"Ja")=0,$D168-SUM($T168:V168),ROUND($D168/COUNTIF($G168:$L168,"Ja"),2))),IF($F168="Vereinbarte Beträge",IF(J168="Ja",P168,0),"")))</f>
      </c>
      <c r="X168" s="87" t="str">
        <f>IF(COUNTIF($A168:$S168,"&lt;&gt;")=0,"",IF($F168="Gleichmäßig unter Beteiligten",IF(K168&lt;&gt;"Ja",0,IF(COUNTIF($L168:$L168,"Ja")=0,$D168-SUM($T168:W168),ROUND($D168/COUNTIF($G168:$L168,"Ja"),2))),IF($F168="Vereinbarte Beträge",IF(K168="Ja",Q168,0),"")))</f>
      </c>
      <c r="Y168" s="87" t="str">
        <f>IF(COUNTIF($A168:$S168,"&lt;&gt;")=0,"",IF($F168="Gleichmäßig unter Beteiligten",IF(L168&lt;&gt;"Ja",0,IF(0=0,$D168-SUM($T168:X168),ROUND($D168/COUNTIF($G168:$L168,"Ja"),2))),IF($F168="Vereinbarte Beträge",IF(L168="Ja",R168,0),"")))</f>
      </c>
      <c r="Z168" s="81" t="str">
        <f>IF(COUNTIF($A168:$S168,"&lt;&gt;")=0,"",IF(OR($D168="",$D168&lt;=0),"Trage einen Betrag größer als null ein.",IF($E168="","Wähle aus, wer bezahlt hat.",IF(COUNTIF($G168:$L168,"Ja")=0,"Wähle mindestens eine beteiligte Person aus.",IF($F168="Gleichmäßig unter Beteiligten","Geprüft",IF($F168="Vereinbarte Beträge",IF(OR(AND(G168="Ja",M168=""),AND(H168="Ja",N168=""),AND(I168="Ja",O168=""),AND(J168="Ja",P168=""),AND(K168="Ja",Q168=""),AND(L168="Ja",R168="")),"Trage die vereinbarten Beträge so ein, dass ihre Summe der Ausgabe entspricht.",IF(ABS(SUM($M168:$R168))&lt;0.005,"Trage die vereinbarten Beträge so ein, dass ihre Summe der Ausgabe entspricht.",IF(SUM($M168:$R168)&lt;$D168-0.005,"Bei der Aufteilung fehlen "&amp;ROUND($D168-SUM($M168:$R168),2)&amp;".",IF(SUM($M168:$R168)&gt;$D168+0.005,"Die Aufteilung übersteigt die Ausgabe um "&amp;ROUND(SUM($M168:$R168)-$D168,2)&amp;".","Geprüft")))),"Trage die vereinbarten Beträge so ein, dass ihre Summe der Ausgabe entspricht."))))))</f>
      </c>
    </row>
    <row r="169">
      <c r="A169" s="83"/>
      <c r="B169" s="57"/>
      <c r="C169" s="57"/>
      <c r="D169" s="85"/>
      <c r="E169" s="57"/>
      <c r="F169" s="57"/>
      <c r="G169" s="57"/>
      <c r="H169" s="57"/>
      <c r="I169" s="57"/>
      <c r="J169" s="57"/>
      <c r="K169" s="57"/>
      <c r="L169" s="57"/>
      <c r="M169" s="85"/>
      <c r="N169" s="85"/>
      <c r="O169" s="85"/>
      <c r="P169" s="85"/>
      <c r="Q169" s="85"/>
      <c r="R169" s="85"/>
      <c r="S169" s="57"/>
      <c r="T169" s="87" t="str">
        <f>IF(COUNTIF($A169:$S169,"&lt;&gt;")=0,"",IF($F169="Gleichmäßig unter Beteiligten",IF(G169&lt;&gt;"Ja",0,IF(COUNTIF($H169:$L169,"Ja")=0,$D169-0,ROUND($D169/COUNTIF($G169:$L169,"Ja"),2))),IF($F169="Vereinbarte Beträge",IF(G169="Ja",M169,0),"")))</f>
      </c>
      <c r="U169" s="87" t="str">
        <f>IF(COUNTIF($A169:$S169,"&lt;&gt;")=0,"",IF($F169="Gleichmäßig unter Beteiligten",IF(H169&lt;&gt;"Ja",0,IF(COUNTIF($I169:$L169,"Ja")=0,$D169-SUM($T169:T169),ROUND($D169/COUNTIF($G169:$L169,"Ja"),2))),IF($F169="Vereinbarte Beträge",IF(H169="Ja",N169,0),"")))</f>
      </c>
      <c r="V169" s="87" t="str">
        <f>IF(COUNTIF($A169:$S169,"&lt;&gt;")=0,"",IF($F169="Gleichmäßig unter Beteiligten",IF(I169&lt;&gt;"Ja",0,IF(COUNTIF($J169:$L169,"Ja")=0,$D169-SUM($T169:U169),ROUND($D169/COUNTIF($G169:$L169,"Ja"),2))),IF($F169="Vereinbarte Beträge",IF(I169="Ja",O169,0),"")))</f>
      </c>
      <c r="W169" s="87" t="str">
        <f>IF(COUNTIF($A169:$S169,"&lt;&gt;")=0,"",IF($F169="Gleichmäßig unter Beteiligten",IF(J169&lt;&gt;"Ja",0,IF(COUNTIF($K169:$L169,"Ja")=0,$D169-SUM($T169:V169),ROUND($D169/COUNTIF($G169:$L169,"Ja"),2))),IF($F169="Vereinbarte Beträge",IF(J169="Ja",P169,0),"")))</f>
      </c>
      <c r="X169" s="87" t="str">
        <f>IF(COUNTIF($A169:$S169,"&lt;&gt;")=0,"",IF($F169="Gleichmäßig unter Beteiligten",IF(K169&lt;&gt;"Ja",0,IF(COUNTIF($L169:$L169,"Ja")=0,$D169-SUM($T169:W169),ROUND($D169/COUNTIF($G169:$L169,"Ja"),2))),IF($F169="Vereinbarte Beträge",IF(K169="Ja",Q169,0),"")))</f>
      </c>
      <c r="Y169" s="87" t="str">
        <f>IF(COUNTIF($A169:$S169,"&lt;&gt;")=0,"",IF($F169="Gleichmäßig unter Beteiligten",IF(L169&lt;&gt;"Ja",0,IF(0=0,$D169-SUM($T169:X169),ROUND($D169/COUNTIF($G169:$L169,"Ja"),2))),IF($F169="Vereinbarte Beträge",IF(L169="Ja",R169,0),"")))</f>
      </c>
      <c r="Z169" s="81" t="str">
        <f>IF(COUNTIF($A169:$S169,"&lt;&gt;")=0,"",IF(OR($D169="",$D169&lt;=0),"Trage einen Betrag größer als null ein.",IF($E169="","Wähle aus, wer bezahlt hat.",IF(COUNTIF($G169:$L169,"Ja")=0,"Wähle mindestens eine beteiligte Person aus.",IF($F169="Gleichmäßig unter Beteiligten","Geprüft",IF($F169="Vereinbarte Beträge",IF(OR(AND(G169="Ja",M169=""),AND(H169="Ja",N169=""),AND(I169="Ja",O169=""),AND(J169="Ja",P169=""),AND(K169="Ja",Q169=""),AND(L169="Ja",R169="")),"Trage die vereinbarten Beträge so ein, dass ihre Summe der Ausgabe entspricht.",IF(ABS(SUM($M169:$R169))&lt;0.005,"Trage die vereinbarten Beträge so ein, dass ihre Summe der Ausgabe entspricht.",IF(SUM($M169:$R169)&lt;$D169-0.005,"Bei der Aufteilung fehlen "&amp;ROUND($D169-SUM($M169:$R169),2)&amp;".",IF(SUM($M169:$R169)&gt;$D169+0.005,"Die Aufteilung übersteigt die Ausgabe um "&amp;ROUND(SUM($M169:$R169)-$D169,2)&amp;".","Geprüft")))),"Trage die vereinbarten Beträge so ein, dass ihre Summe der Ausgabe entspricht."))))))</f>
      </c>
    </row>
    <row r="170">
      <c r="A170" s="83"/>
      <c r="B170" s="57"/>
      <c r="C170" s="57"/>
      <c r="D170" s="85"/>
      <c r="E170" s="57"/>
      <c r="F170" s="57"/>
      <c r="G170" s="57"/>
      <c r="H170" s="57"/>
      <c r="I170" s="57"/>
      <c r="J170" s="57"/>
      <c r="K170" s="57"/>
      <c r="L170" s="57"/>
      <c r="M170" s="85"/>
      <c r="N170" s="85"/>
      <c r="O170" s="85"/>
      <c r="P170" s="85"/>
      <c r="Q170" s="85"/>
      <c r="R170" s="85"/>
      <c r="S170" s="57"/>
      <c r="T170" s="87" t="str">
        <f>IF(COUNTIF($A170:$S170,"&lt;&gt;")=0,"",IF($F170="Gleichmäßig unter Beteiligten",IF(G170&lt;&gt;"Ja",0,IF(COUNTIF($H170:$L170,"Ja")=0,$D170-0,ROUND($D170/COUNTIF($G170:$L170,"Ja"),2))),IF($F170="Vereinbarte Beträge",IF(G170="Ja",M170,0),"")))</f>
      </c>
      <c r="U170" s="87" t="str">
        <f>IF(COUNTIF($A170:$S170,"&lt;&gt;")=0,"",IF($F170="Gleichmäßig unter Beteiligten",IF(H170&lt;&gt;"Ja",0,IF(COUNTIF($I170:$L170,"Ja")=0,$D170-SUM($T170:T170),ROUND($D170/COUNTIF($G170:$L170,"Ja"),2))),IF($F170="Vereinbarte Beträge",IF(H170="Ja",N170,0),"")))</f>
      </c>
      <c r="V170" s="87" t="str">
        <f>IF(COUNTIF($A170:$S170,"&lt;&gt;")=0,"",IF($F170="Gleichmäßig unter Beteiligten",IF(I170&lt;&gt;"Ja",0,IF(COUNTIF($J170:$L170,"Ja")=0,$D170-SUM($T170:U170),ROUND($D170/COUNTIF($G170:$L170,"Ja"),2))),IF($F170="Vereinbarte Beträge",IF(I170="Ja",O170,0),"")))</f>
      </c>
      <c r="W170" s="87" t="str">
        <f>IF(COUNTIF($A170:$S170,"&lt;&gt;")=0,"",IF($F170="Gleichmäßig unter Beteiligten",IF(J170&lt;&gt;"Ja",0,IF(COUNTIF($K170:$L170,"Ja")=0,$D170-SUM($T170:V170),ROUND($D170/COUNTIF($G170:$L170,"Ja"),2))),IF($F170="Vereinbarte Beträge",IF(J170="Ja",P170,0),"")))</f>
      </c>
      <c r="X170" s="87" t="str">
        <f>IF(COUNTIF($A170:$S170,"&lt;&gt;")=0,"",IF($F170="Gleichmäßig unter Beteiligten",IF(K170&lt;&gt;"Ja",0,IF(COUNTIF($L170:$L170,"Ja")=0,$D170-SUM($T170:W170),ROUND($D170/COUNTIF($G170:$L170,"Ja"),2))),IF($F170="Vereinbarte Beträge",IF(K170="Ja",Q170,0),"")))</f>
      </c>
      <c r="Y170" s="87" t="str">
        <f>IF(COUNTIF($A170:$S170,"&lt;&gt;")=0,"",IF($F170="Gleichmäßig unter Beteiligten",IF(L170&lt;&gt;"Ja",0,IF(0=0,$D170-SUM($T170:X170),ROUND($D170/COUNTIF($G170:$L170,"Ja"),2))),IF($F170="Vereinbarte Beträge",IF(L170="Ja",R170,0),"")))</f>
      </c>
      <c r="Z170" s="81" t="str">
        <f>IF(COUNTIF($A170:$S170,"&lt;&gt;")=0,"",IF(OR($D170="",$D170&lt;=0),"Trage einen Betrag größer als null ein.",IF($E170="","Wähle aus, wer bezahlt hat.",IF(COUNTIF($G170:$L170,"Ja")=0,"Wähle mindestens eine beteiligte Person aus.",IF($F170="Gleichmäßig unter Beteiligten","Geprüft",IF($F170="Vereinbarte Beträge",IF(OR(AND(G170="Ja",M170=""),AND(H170="Ja",N170=""),AND(I170="Ja",O170=""),AND(J170="Ja",P170=""),AND(K170="Ja",Q170=""),AND(L170="Ja",R170="")),"Trage die vereinbarten Beträge so ein, dass ihre Summe der Ausgabe entspricht.",IF(ABS(SUM($M170:$R170))&lt;0.005,"Trage die vereinbarten Beträge so ein, dass ihre Summe der Ausgabe entspricht.",IF(SUM($M170:$R170)&lt;$D170-0.005,"Bei der Aufteilung fehlen "&amp;ROUND($D170-SUM($M170:$R170),2)&amp;".",IF(SUM($M170:$R170)&gt;$D170+0.005,"Die Aufteilung übersteigt die Ausgabe um "&amp;ROUND(SUM($M170:$R170)-$D170,2)&amp;".","Geprüft")))),"Trage die vereinbarten Beträge so ein, dass ihre Summe der Ausgabe entspricht."))))))</f>
      </c>
    </row>
    <row r="171">
      <c r="A171" s="83"/>
      <c r="B171" s="57"/>
      <c r="C171" s="57"/>
      <c r="D171" s="85"/>
      <c r="E171" s="57"/>
      <c r="F171" s="57"/>
      <c r="G171" s="57"/>
      <c r="H171" s="57"/>
      <c r="I171" s="57"/>
      <c r="J171" s="57"/>
      <c r="K171" s="57"/>
      <c r="L171" s="57"/>
      <c r="M171" s="85"/>
      <c r="N171" s="85"/>
      <c r="O171" s="85"/>
      <c r="P171" s="85"/>
      <c r="Q171" s="85"/>
      <c r="R171" s="85"/>
      <c r="S171" s="57"/>
      <c r="T171" s="87" t="str">
        <f>IF(COUNTIF($A171:$S171,"&lt;&gt;")=0,"",IF($F171="Gleichmäßig unter Beteiligten",IF(G171&lt;&gt;"Ja",0,IF(COUNTIF($H171:$L171,"Ja")=0,$D171-0,ROUND($D171/COUNTIF($G171:$L171,"Ja"),2))),IF($F171="Vereinbarte Beträge",IF(G171="Ja",M171,0),"")))</f>
      </c>
      <c r="U171" s="87" t="str">
        <f>IF(COUNTIF($A171:$S171,"&lt;&gt;")=0,"",IF($F171="Gleichmäßig unter Beteiligten",IF(H171&lt;&gt;"Ja",0,IF(COUNTIF($I171:$L171,"Ja")=0,$D171-SUM($T171:T171),ROUND($D171/COUNTIF($G171:$L171,"Ja"),2))),IF($F171="Vereinbarte Beträge",IF(H171="Ja",N171,0),"")))</f>
      </c>
      <c r="V171" s="87" t="str">
        <f>IF(COUNTIF($A171:$S171,"&lt;&gt;")=0,"",IF($F171="Gleichmäßig unter Beteiligten",IF(I171&lt;&gt;"Ja",0,IF(COUNTIF($J171:$L171,"Ja")=0,$D171-SUM($T171:U171),ROUND($D171/COUNTIF($G171:$L171,"Ja"),2))),IF($F171="Vereinbarte Beträge",IF(I171="Ja",O171,0),"")))</f>
      </c>
      <c r="W171" s="87" t="str">
        <f>IF(COUNTIF($A171:$S171,"&lt;&gt;")=0,"",IF($F171="Gleichmäßig unter Beteiligten",IF(J171&lt;&gt;"Ja",0,IF(COUNTIF($K171:$L171,"Ja")=0,$D171-SUM($T171:V171),ROUND($D171/COUNTIF($G171:$L171,"Ja"),2))),IF($F171="Vereinbarte Beträge",IF(J171="Ja",P171,0),"")))</f>
      </c>
      <c r="X171" s="87" t="str">
        <f>IF(COUNTIF($A171:$S171,"&lt;&gt;")=0,"",IF($F171="Gleichmäßig unter Beteiligten",IF(K171&lt;&gt;"Ja",0,IF(COUNTIF($L171:$L171,"Ja")=0,$D171-SUM($T171:W171),ROUND($D171/COUNTIF($G171:$L171,"Ja"),2))),IF($F171="Vereinbarte Beträge",IF(K171="Ja",Q171,0),"")))</f>
      </c>
      <c r="Y171" s="87" t="str">
        <f>IF(COUNTIF($A171:$S171,"&lt;&gt;")=0,"",IF($F171="Gleichmäßig unter Beteiligten",IF(L171&lt;&gt;"Ja",0,IF(0=0,$D171-SUM($T171:X171),ROUND($D171/COUNTIF($G171:$L171,"Ja"),2))),IF($F171="Vereinbarte Beträge",IF(L171="Ja",R171,0),"")))</f>
      </c>
      <c r="Z171" s="81" t="str">
        <f>IF(COUNTIF($A171:$S171,"&lt;&gt;")=0,"",IF(OR($D171="",$D171&lt;=0),"Trage einen Betrag größer als null ein.",IF($E171="","Wähle aus, wer bezahlt hat.",IF(COUNTIF($G171:$L171,"Ja")=0,"Wähle mindestens eine beteiligte Person aus.",IF($F171="Gleichmäßig unter Beteiligten","Geprüft",IF($F171="Vereinbarte Beträge",IF(OR(AND(G171="Ja",M171=""),AND(H171="Ja",N171=""),AND(I171="Ja",O171=""),AND(J171="Ja",P171=""),AND(K171="Ja",Q171=""),AND(L171="Ja",R171="")),"Trage die vereinbarten Beträge so ein, dass ihre Summe der Ausgabe entspricht.",IF(ABS(SUM($M171:$R171))&lt;0.005,"Trage die vereinbarten Beträge so ein, dass ihre Summe der Ausgabe entspricht.",IF(SUM($M171:$R171)&lt;$D171-0.005,"Bei der Aufteilung fehlen "&amp;ROUND($D171-SUM($M171:$R171),2)&amp;".",IF(SUM($M171:$R171)&gt;$D171+0.005,"Die Aufteilung übersteigt die Ausgabe um "&amp;ROUND(SUM($M171:$R171)-$D171,2)&amp;".","Geprüft")))),"Trage die vereinbarten Beträge so ein, dass ihre Summe der Ausgabe entspricht."))))))</f>
      </c>
    </row>
    <row r="172">
      <c r="A172" s="83"/>
      <c r="B172" s="57"/>
      <c r="C172" s="57"/>
      <c r="D172" s="85"/>
      <c r="E172" s="57"/>
      <c r="F172" s="57"/>
      <c r="G172" s="57"/>
      <c r="H172" s="57"/>
      <c r="I172" s="57"/>
      <c r="J172" s="57"/>
      <c r="K172" s="57"/>
      <c r="L172" s="57"/>
      <c r="M172" s="85"/>
      <c r="N172" s="85"/>
      <c r="O172" s="85"/>
      <c r="P172" s="85"/>
      <c r="Q172" s="85"/>
      <c r="R172" s="85"/>
      <c r="S172" s="57"/>
      <c r="T172" s="87" t="str">
        <f>IF(COUNTIF($A172:$S172,"&lt;&gt;")=0,"",IF($F172="Gleichmäßig unter Beteiligten",IF(G172&lt;&gt;"Ja",0,IF(COUNTIF($H172:$L172,"Ja")=0,$D172-0,ROUND($D172/COUNTIF($G172:$L172,"Ja"),2))),IF($F172="Vereinbarte Beträge",IF(G172="Ja",M172,0),"")))</f>
      </c>
      <c r="U172" s="87" t="str">
        <f>IF(COUNTIF($A172:$S172,"&lt;&gt;")=0,"",IF($F172="Gleichmäßig unter Beteiligten",IF(H172&lt;&gt;"Ja",0,IF(COUNTIF($I172:$L172,"Ja")=0,$D172-SUM($T172:T172),ROUND($D172/COUNTIF($G172:$L172,"Ja"),2))),IF($F172="Vereinbarte Beträge",IF(H172="Ja",N172,0),"")))</f>
      </c>
      <c r="V172" s="87" t="str">
        <f>IF(COUNTIF($A172:$S172,"&lt;&gt;")=0,"",IF($F172="Gleichmäßig unter Beteiligten",IF(I172&lt;&gt;"Ja",0,IF(COUNTIF($J172:$L172,"Ja")=0,$D172-SUM($T172:U172),ROUND($D172/COUNTIF($G172:$L172,"Ja"),2))),IF($F172="Vereinbarte Beträge",IF(I172="Ja",O172,0),"")))</f>
      </c>
      <c r="W172" s="87" t="str">
        <f>IF(COUNTIF($A172:$S172,"&lt;&gt;")=0,"",IF($F172="Gleichmäßig unter Beteiligten",IF(J172&lt;&gt;"Ja",0,IF(COUNTIF($K172:$L172,"Ja")=0,$D172-SUM($T172:V172),ROUND($D172/COUNTIF($G172:$L172,"Ja"),2))),IF($F172="Vereinbarte Beträge",IF(J172="Ja",P172,0),"")))</f>
      </c>
      <c r="X172" s="87" t="str">
        <f>IF(COUNTIF($A172:$S172,"&lt;&gt;")=0,"",IF($F172="Gleichmäßig unter Beteiligten",IF(K172&lt;&gt;"Ja",0,IF(COUNTIF($L172:$L172,"Ja")=0,$D172-SUM($T172:W172),ROUND($D172/COUNTIF($G172:$L172,"Ja"),2))),IF($F172="Vereinbarte Beträge",IF(K172="Ja",Q172,0),"")))</f>
      </c>
      <c r="Y172" s="87" t="str">
        <f>IF(COUNTIF($A172:$S172,"&lt;&gt;")=0,"",IF($F172="Gleichmäßig unter Beteiligten",IF(L172&lt;&gt;"Ja",0,IF(0=0,$D172-SUM($T172:X172),ROUND($D172/COUNTIF($G172:$L172,"Ja"),2))),IF($F172="Vereinbarte Beträge",IF(L172="Ja",R172,0),"")))</f>
      </c>
      <c r="Z172" s="81" t="str">
        <f>IF(COUNTIF($A172:$S172,"&lt;&gt;")=0,"",IF(OR($D172="",$D172&lt;=0),"Trage einen Betrag größer als null ein.",IF($E172="","Wähle aus, wer bezahlt hat.",IF(COUNTIF($G172:$L172,"Ja")=0,"Wähle mindestens eine beteiligte Person aus.",IF($F172="Gleichmäßig unter Beteiligten","Geprüft",IF($F172="Vereinbarte Beträge",IF(OR(AND(G172="Ja",M172=""),AND(H172="Ja",N172=""),AND(I172="Ja",O172=""),AND(J172="Ja",P172=""),AND(K172="Ja",Q172=""),AND(L172="Ja",R172="")),"Trage die vereinbarten Beträge so ein, dass ihre Summe der Ausgabe entspricht.",IF(ABS(SUM($M172:$R172))&lt;0.005,"Trage die vereinbarten Beträge so ein, dass ihre Summe der Ausgabe entspricht.",IF(SUM($M172:$R172)&lt;$D172-0.005,"Bei der Aufteilung fehlen "&amp;ROUND($D172-SUM($M172:$R172),2)&amp;".",IF(SUM($M172:$R172)&gt;$D172+0.005,"Die Aufteilung übersteigt die Ausgabe um "&amp;ROUND(SUM($M172:$R172)-$D172,2)&amp;".","Geprüft")))),"Trage die vereinbarten Beträge so ein, dass ihre Summe der Ausgabe entspricht."))))))</f>
      </c>
    </row>
    <row r="173">
      <c r="A173" s="83"/>
      <c r="B173" s="57"/>
      <c r="C173" s="57"/>
      <c r="D173" s="85"/>
      <c r="E173" s="57"/>
      <c r="F173" s="57"/>
      <c r="G173" s="57"/>
      <c r="H173" s="57"/>
      <c r="I173" s="57"/>
      <c r="J173" s="57"/>
      <c r="K173" s="57"/>
      <c r="L173" s="57"/>
      <c r="M173" s="85"/>
      <c r="N173" s="85"/>
      <c r="O173" s="85"/>
      <c r="P173" s="85"/>
      <c r="Q173" s="85"/>
      <c r="R173" s="85"/>
      <c r="S173" s="57"/>
      <c r="T173" s="87" t="str">
        <f>IF(COUNTIF($A173:$S173,"&lt;&gt;")=0,"",IF($F173="Gleichmäßig unter Beteiligten",IF(G173&lt;&gt;"Ja",0,IF(COUNTIF($H173:$L173,"Ja")=0,$D173-0,ROUND($D173/COUNTIF($G173:$L173,"Ja"),2))),IF($F173="Vereinbarte Beträge",IF(G173="Ja",M173,0),"")))</f>
      </c>
      <c r="U173" s="87" t="str">
        <f>IF(COUNTIF($A173:$S173,"&lt;&gt;")=0,"",IF($F173="Gleichmäßig unter Beteiligten",IF(H173&lt;&gt;"Ja",0,IF(COUNTIF($I173:$L173,"Ja")=0,$D173-SUM($T173:T173),ROUND($D173/COUNTIF($G173:$L173,"Ja"),2))),IF($F173="Vereinbarte Beträge",IF(H173="Ja",N173,0),"")))</f>
      </c>
      <c r="V173" s="87" t="str">
        <f>IF(COUNTIF($A173:$S173,"&lt;&gt;")=0,"",IF($F173="Gleichmäßig unter Beteiligten",IF(I173&lt;&gt;"Ja",0,IF(COUNTIF($J173:$L173,"Ja")=0,$D173-SUM($T173:U173),ROUND($D173/COUNTIF($G173:$L173,"Ja"),2))),IF($F173="Vereinbarte Beträge",IF(I173="Ja",O173,0),"")))</f>
      </c>
      <c r="W173" s="87" t="str">
        <f>IF(COUNTIF($A173:$S173,"&lt;&gt;")=0,"",IF($F173="Gleichmäßig unter Beteiligten",IF(J173&lt;&gt;"Ja",0,IF(COUNTIF($K173:$L173,"Ja")=0,$D173-SUM($T173:V173),ROUND($D173/COUNTIF($G173:$L173,"Ja"),2))),IF($F173="Vereinbarte Beträge",IF(J173="Ja",P173,0),"")))</f>
      </c>
      <c r="X173" s="87" t="str">
        <f>IF(COUNTIF($A173:$S173,"&lt;&gt;")=0,"",IF($F173="Gleichmäßig unter Beteiligten",IF(K173&lt;&gt;"Ja",0,IF(COUNTIF($L173:$L173,"Ja")=0,$D173-SUM($T173:W173),ROUND($D173/COUNTIF($G173:$L173,"Ja"),2))),IF($F173="Vereinbarte Beträge",IF(K173="Ja",Q173,0),"")))</f>
      </c>
      <c r="Y173" s="87" t="str">
        <f>IF(COUNTIF($A173:$S173,"&lt;&gt;")=0,"",IF($F173="Gleichmäßig unter Beteiligten",IF(L173&lt;&gt;"Ja",0,IF(0=0,$D173-SUM($T173:X173),ROUND($D173/COUNTIF($G173:$L173,"Ja"),2))),IF($F173="Vereinbarte Beträge",IF(L173="Ja",R173,0),"")))</f>
      </c>
      <c r="Z173" s="81" t="str">
        <f>IF(COUNTIF($A173:$S173,"&lt;&gt;")=0,"",IF(OR($D173="",$D173&lt;=0),"Trage einen Betrag größer als null ein.",IF($E173="","Wähle aus, wer bezahlt hat.",IF(COUNTIF($G173:$L173,"Ja")=0,"Wähle mindestens eine beteiligte Person aus.",IF($F173="Gleichmäßig unter Beteiligten","Geprüft",IF($F173="Vereinbarte Beträge",IF(OR(AND(G173="Ja",M173=""),AND(H173="Ja",N173=""),AND(I173="Ja",O173=""),AND(J173="Ja",P173=""),AND(K173="Ja",Q173=""),AND(L173="Ja",R173="")),"Trage die vereinbarten Beträge so ein, dass ihre Summe der Ausgabe entspricht.",IF(ABS(SUM($M173:$R173))&lt;0.005,"Trage die vereinbarten Beträge so ein, dass ihre Summe der Ausgabe entspricht.",IF(SUM($M173:$R173)&lt;$D173-0.005,"Bei der Aufteilung fehlen "&amp;ROUND($D173-SUM($M173:$R173),2)&amp;".",IF(SUM($M173:$R173)&gt;$D173+0.005,"Die Aufteilung übersteigt die Ausgabe um "&amp;ROUND(SUM($M173:$R173)-$D173,2)&amp;".","Geprüft")))),"Trage die vereinbarten Beträge so ein, dass ihre Summe der Ausgabe entspricht."))))))</f>
      </c>
    </row>
    <row r="174">
      <c r="A174" s="83"/>
      <c r="B174" s="57"/>
      <c r="C174" s="57"/>
      <c r="D174" s="85"/>
      <c r="E174" s="57"/>
      <c r="F174" s="57"/>
      <c r="G174" s="57"/>
      <c r="H174" s="57"/>
      <c r="I174" s="57"/>
      <c r="J174" s="57"/>
      <c r="K174" s="57"/>
      <c r="L174" s="57"/>
      <c r="M174" s="85"/>
      <c r="N174" s="85"/>
      <c r="O174" s="85"/>
      <c r="P174" s="85"/>
      <c r="Q174" s="85"/>
      <c r="R174" s="85"/>
      <c r="S174" s="57"/>
      <c r="T174" s="87" t="str">
        <f>IF(COUNTIF($A174:$S174,"&lt;&gt;")=0,"",IF($F174="Gleichmäßig unter Beteiligten",IF(G174&lt;&gt;"Ja",0,IF(COUNTIF($H174:$L174,"Ja")=0,$D174-0,ROUND($D174/COUNTIF($G174:$L174,"Ja"),2))),IF($F174="Vereinbarte Beträge",IF(G174="Ja",M174,0),"")))</f>
      </c>
      <c r="U174" s="87" t="str">
        <f>IF(COUNTIF($A174:$S174,"&lt;&gt;")=0,"",IF($F174="Gleichmäßig unter Beteiligten",IF(H174&lt;&gt;"Ja",0,IF(COUNTIF($I174:$L174,"Ja")=0,$D174-SUM($T174:T174),ROUND($D174/COUNTIF($G174:$L174,"Ja"),2))),IF($F174="Vereinbarte Beträge",IF(H174="Ja",N174,0),"")))</f>
      </c>
      <c r="V174" s="87" t="str">
        <f>IF(COUNTIF($A174:$S174,"&lt;&gt;")=0,"",IF($F174="Gleichmäßig unter Beteiligten",IF(I174&lt;&gt;"Ja",0,IF(COUNTIF($J174:$L174,"Ja")=0,$D174-SUM($T174:U174),ROUND($D174/COUNTIF($G174:$L174,"Ja"),2))),IF($F174="Vereinbarte Beträge",IF(I174="Ja",O174,0),"")))</f>
      </c>
      <c r="W174" s="87" t="str">
        <f>IF(COUNTIF($A174:$S174,"&lt;&gt;")=0,"",IF($F174="Gleichmäßig unter Beteiligten",IF(J174&lt;&gt;"Ja",0,IF(COUNTIF($K174:$L174,"Ja")=0,$D174-SUM($T174:V174),ROUND($D174/COUNTIF($G174:$L174,"Ja"),2))),IF($F174="Vereinbarte Beträge",IF(J174="Ja",P174,0),"")))</f>
      </c>
      <c r="X174" s="87" t="str">
        <f>IF(COUNTIF($A174:$S174,"&lt;&gt;")=0,"",IF($F174="Gleichmäßig unter Beteiligten",IF(K174&lt;&gt;"Ja",0,IF(COUNTIF($L174:$L174,"Ja")=0,$D174-SUM($T174:W174),ROUND($D174/COUNTIF($G174:$L174,"Ja"),2))),IF($F174="Vereinbarte Beträge",IF(K174="Ja",Q174,0),"")))</f>
      </c>
      <c r="Y174" s="87" t="str">
        <f>IF(COUNTIF($A174:$S174,"&lt;&gt;")=0,"",IF($F174="Gleichmäßig unter Beteiligten",IF(L174&lt;&gt;"Ja",0,IF(0=0,$D174-SUM($T174:X174),ROUND($D174/COUNTIF($G174:$L174,"Ja"),2))),IF($F174="Vereinbarte Beträge",IF(L174="Ja",R174,0),"")))</f>
      </c>
      <c r="Z174" s="81" t="str">
        <f>IF(COUNTIF($A174:$S174,"&lt;&gt;")=0,"",IF(OR($D174="",$D174&lt;=0),"Trage einen Betrag größer als null ein.",IF($E174="","Wähle aus, wer bezahlt hat.",IF(COUNTIF($G174:$L174,"Ja")=0,"Wähle mindestens eine beteiligte Person aus.",IF($F174="Gleichmäßig unter Beteiligten","Geprüft",IF($F174="Vereinbarte Beträge",IF(OR(AND(G174="Ja",M174=""),AND(H174="Ja",N174=""),AND(I174="Ja",O174=""),AND(J174="Ja",P174=""),AND(K174="Ja",Q174=""),AND(L174="Ja",R174="")),"Trage die vereinbarten Beträge so ein, dass ihre Summe der Ausgabe entspricht.",IF(ABS(SUM($M174:$R174))&lt;0.005,"Trage die vereinbarten Beträge so ein, dass ihre Summe der Ausgabe entspricht.",IF(SUM($M174:$R174)&lt;$D174-0.005,"Bei der Aufteilung fehlen "&amp;ROUND($D174-SUM($M174:$R174),2)&amp;".",IF(SUM($M174:$R174)&gt;$D174+0.005,"Die Aufteilung übersteigt die Ausgabe um "&amp;ROUND(SUM($M174:$R174)-$D174,2)&amp;".","Geprüft")))),"Trage die vereinbarten Beträge so ein, dass ihre Summe der Ausgabe entspricht."))))))</f>
      </c>
    </row>
    <row r="175">
      <c r="A175" s="83"/>
      <c r="B175" s="57"/>
      <c r="C175" s="57"/>
      <c r="D175" s="85"/>
      <c r="E175" s="57"/>
      <c r="F175" s="57"/>
      <c r="G175" s="57"/>
      <c r="H175" s="57"/>
      <c r="I175" s="57"/>
      <c r="J175" s="57"/>
      <c r="K175" s="57"/>
      <c r="L175" s="57"/>
      <c r="M175" s="85"/>
      <c r="N175" s="85"/>
      <c r="O175" s="85"/>
      <c r="P175" s="85"/>
      <c r="Q175" s="85"/>
      <c r="R175" s="85"/>
      <c r="S175" s="57"/>
      <c r="T175" s="87" t="str">
        <f>IF(COUNTIF($A175:$S175,"&lt;&gt;")=0,"",IF($F175="Gleichmäßig unter Beteiligten",IF(G175&lt;&gt;"Ja",0,IF(COUNTIF($H175:$L175,"Ja")=0,$D175-0,ROUND($D175/COUNTIF($G175:$L175,"Ja"),2))),IF($F175="Vereinbarte Beträge",IF(G175="Ja",M175,0),"")))</f>
      </c>
      <c r="U175" s="87" t="str">
        <f>IF(COUNTIF($A175:$S175,"&lt;&gt;")=0,"",IF($F175="Gleichmäßig unter Beteiligten",IF(H175&lt;&gt;"Ja",0,IF(COUNTIF($I175:$L175,"Ja")=0,$D175-SUM($T175:T175),ROUND($D175/COUNTIF($G175:$L175,"Ja"),2))),IF($F175="Vereinbarte Beträge",IF(H175="Ja",N175,0),"")))</f>
      </c>
      <c r="V175" s="87" t="str">
        <f>IF(COUNTIF($A175:$S175,"&lt;&gt;")=0,"",IF($F175="Gleichmäßig unter Beteiligten",IF(I175&lt;&gt;"Ja",0,IF(COUNTIF($J175:$L175,"Ja")=0,$D175-SUM($T175:U175),ROUND($D175/COUNTIF($G175:$L175,"Ja"),2))),IF($F175="Vereinbarte Beträge",IF(I175="Ja",O175,0),"")))</f>
      </c>
      <c r="W175" s="87" t="str">
        <f>IF(COUNTIF($A175:$S175,"&lt;&gt;")=0,"",IF($F175="Gleichmäßig unter Beteiligten",IF(J175&lt;&gt;"Ja",0,IF(COUNTIF($K175:$L175,"Ja")=0,$D175-SUM($T175:V175),ROUND($D175/COUNTIF($G175:$L175,"Ja"),2))),IF($F175="Vereinbarte Beträge",IF(J175="Ja",P175,0),"")))</f>
      </c>
      <c r="X175" s="87" t="str">
        <f>IF(COUNTIF($A175:$S175,"&lt;&gt;")=0,"",IF($F175="Gleichmäßig unter Beteiligten",IF(K175&lt;&gt;"Ja",0,IF(COUNTIF($L175:$L175,"Ja")=0,$D175-SUM($T175:W175),ROUND($D175/COUNTIF($G175:$L175,"Ja"),2))),IF($F175="Vereinbarte Beträge",IF(K175="Ja",Q175,0),"")))</f>
      </c>
      <c r="Y175" s="87" t="str">
        <f>IF(COUNTIF($A175:$S175,"&lt;&gt;")=0,"",IF($F175="Gleichmäßig unter Beteiligten",IF(L175&lt;&gt;"Ja",0,IF(0=0,$D175-SUM($T175:X175),ROUND($D175/COUNTIF($G175:$L175,"Ja"),2))),IF($F175="Vereinbarte Beträge",IF(L175="Ja",R175,0),"")))</f>
      </c>
      <c r="Z175" s="81" t="str">
        <f>IF(COUNTIF($A175:$S175,"&lt;&gt;")=0,"",IF(OR($D175="",$D175&lt;=0),"Trage einen Betrag größer als null ein.",IF($E175="","Wähle aus, wer bezahlt hat.",IF(COUNTIF($G175:$L175,"Ja")=0,"Wähle mindestens eine beteiligte Person aus.",IF($F175="Gleichmäßig unter Beteiligten","Geprüft",IF($F175="Vereinbarte Beträge",IF(OR(AND(G175="Ja",M175=""),AND(H175="Ja",N175=""),AND(I175="Ja",O175=""),AND(J175="Ja",P175=""),AND(K175="Ja",Q175=""),AND(L175="Ja",R175="")),"Trage die vereinbarten Beträge so ein, dass ihre Summe der Ausgabe entspricht.",IF(ABS(SUM($M175:$R175))&lt;0.005,"Trage die vereinbarten Beträge so ein, dass ihre Summe der Ausgabe entspricht.",IF(SUM($M175:$R175)&lt;$D175-0.005,"Bei der Aufteilung fehlen "&amp;ROUND($D175-SUM($M175:$R175),2)&amp;".",IF(SUM($M175:$R175)&gt;$D175+0.005,"Die Aufteilung übersteigt die Ausgabe um "&amp;ROUND(SUM($M175:$R175)-$D175,2)&amp;".","Geprüft")))),"Trage die vereinbarten Beträge so ein, dass ihre Summe der Ausgabe entspricht."))))))</f>
      </c>
    </row>
    <row r="176">
      <c r="A176" s="83"/>
      <c r="B176" s="57"/>
      <c r="C176" s="57"/>
      <c r="D176" s="85"/>
      <c r="E176" s="57"/>
      <c r="F176" s="57"/>
      <c r="G176" s="57"/>
      <c r="H176" s="57"/>
      <c r="I176" s="57"/>
      <c r="J176" s="57"/>
      <c r="K176" s="57"/>
      <c r="L176" s="57"/>
      <c r="M176" s="85"/>
      <c r="N176" s="85"/>
      <c r="O176" s="85"/>
      <c r="P176" s="85"/>
      <c r="Q176" s="85"/>
      <c r="R176" s="85"/>
      <c r="S176" s="57"/>
      <c r="T176" s="87" t="str">
        <f>IF(COUNTIF($A176:$S176,"&lt;&gt;")=0,"",IF($F176="Gleichmäßig unter Beteiligten",IF(G176&lt;&gt;"Ja",0,IF(COUNTIF($H176:$L176,"Ja")=0,$D176-0,ROUND($D176/COUNTIF($G176:$L176,"Ja"),2))),IF($F176="Vereinbarte Beträge",IF(G176="Ja",M176,0),"")))</f>
      </c>
      <c r="U176" s="87" t="str">
        <f>IF(COUNTIF($A176:$S176,"&lt;&gt;")=0,"",IF($F176="Gleichmäßig unter Beteiligten",IF(H176&lt;&gt;"Ja",0,IF(COUNTIF($I176:$L176,"Ja")=0,$D176-SUM($T176:T176),ROUND($D176/COUNTIF($G176:$L176,"Ja"),2))),IF($F176="Vereinbarte Beträge",IF(H176="Ja",N176,0),"")))</f>
      </c>
      <c r="V176" s="87" t="str">
        <f>IF(COUNTIF($A176:$S176,"&lt;&gt;")=0,"",IF($F176="Gleichmäßig unter Beteiligten",IF(I176&lt;&gt;"Ja",0,IF(COUNTIF($J176:$L176,"Ja")=0,$D176-SUM($T176:U176),ROUND($D176/COUNTIF($G176:$L176,"Ja"),2))),IF($F176="Vereinbarte Beträge",IF(I176="Ja",O176,0),"")))</f>
      </c>
      <c r="W176" s="87" t="str">
        <f>IF(COUNTIF($A176:$S176,"&lt;&gt;")=0,"",IF($F176="Gleichmäßig unter Beteiligten",IF(J176&lt;&gt;"Ja",0,IF(COUNTIF($K176:$L176,"Ja")=0,$D176-SUM($T176:V176),ROUND($D176/COUNTIF($G176:$L176,"Ja"),2))),IF($F176="Vereinbarte Beträge",IF(J176="Ja",P176,0),"")))</f>
      </c>
      <c r="X176" s="87" t="str">
        <f>IF(COUNTIF($A176:$S176,"&lt;&gt;")=0,"",IF($F176="Gleichmäßig unter Beteiligten",IF(K176&lt;&gt;"Ja",0,IF(COUNTIF($L176:$L176,"Ja")=0,$D176-SUM($T176:W176),ROUND($D176/COUNTIF($G176:$L176,"Ja"),2))),IF($F176="Vereinbarte Beträge",IF(K176="Ja",Q176,0),"")))</f>
      </c>
      <c r="Y176" s="87" t="str">
        <f>IF(COUNTIF($A176:$S176,"&lt;&gt;")=0,"",IF($F176="Gleichmäßig unter Beteiligten",IF(L176&lt;&gt;"Ja",0,IF(0=0,$D176-SUM($T176:X176),ROUND($D176/COUNTIF($G176:$L176,"Ja"),2))),IF($F176="Vereinbarte Beträge",IF(L176="Ja",R176,0),"")))</f>
      </c>
      <c r="Z176" s="81" t="str">
        <f>IF(COUNTIF($A176:$S176,"&lt;&gt;")=0,"",IF(OR($D176="",$D176&lt;=0),"Trage einen Betrag größer als null ein.",IF($E176="","Wähle aus, wer bezahlt hat.",IF(COUNTIF($G176:$L176,"Ja")=0,"Wähle mindestens eine beteiligte Person aus.",IF($F176="Gleichmäßig unter Beteiligten","Geprüft",IF($F176="Vereinbarte Beträge",IF(OR(AND(G176="Ja",M176=""),AND(H176="Ja",N176=""),AND(I176="Ja",O176=""),AND(J176="Ja",P176=""),AND(K176="Ja",Q176=""),AND(L176="Ja",R176="")),"Trage die vereinbarten Beträge so ein, dass ihre Summe der Ausgabe entspricht.",IF(ABS(SUM($M176:$R176))&lt;0.005,"Trage die vereinbarten Beträge so ein, dass ihre Summe der Ausgabe entspricht.",IF(SUM($M176:$R176)&lt;$D176-0.005,"Bei der Aufteilung fehlen "&amp;ROUND($D176-SUM($M176:$R176),2)&amp;".",IF(SUM($M176:$R176)&gt;$D176+0.005,"Die Aufteilung übersteigt die Ausgabe um "&amp;ROUND(SUM($M176:$R176)-$D176,2)&amp;".","Geprüft")))),"Trage die vereinbarten Beträge so ein, dass ihre Summe der Ausgabe entspricht."))))))</f>
      </c>
    </row>
    <row r="177">
      <c r="A177" s="83"/>
      <c r="B177" s="57"/>
      <c r="C177" s="57"/>
      <c r="D177" s="85"/>
      <c r="E177" s="57"/>
      <c r="F177" s="57"/>
      <c r="G177" s="57"/>
      <c r="H177" s="57"/>
      <c r="I177" s="57"/>
      <c r="J177" s="57"/>
      <c r="K177" s="57"/>
      <c r="L177" s="57"/>
      <c r="M177" s="85"/>
      <c r="N177" s="85"/>
      <c r="O177" s="85"/>
      <c r="P177" s="85"/>
      <c r="Q177" s="85"/>
      <c r="R177" s="85"/>
      <c r="S177" s="57"/>
      <c r="T177" s="87" t="str">
        <f>IF(COUNTIF($A177:$S177,"&lt;&gt;")=0,"",IF($F177="Gleichmäßig unter Beteiligten",IF(G177&lt;&gt;"Ja",0,IF(COUNTIF($H177:$L177,"Ja")=0,$D177-0,ROUND($D177/COUNTIF($G177:$L177,"Ja"),2))),IF($F177="Vereinbarte Beträge",IF(G177="Ja",M177,0),"")))</f>
      </c>
      <c r="U177" s="87" t="str">
        <f>IF(COUNTIF($A177:$S177,"&lt;&gt;")=0,"",IF($F177="Gleichmäßig unter Beteiligten",IF(H177&lt;&gt;"Ja",0,IF(COUNTIF($I177:$L177,"Ja")=0,$D177-SUM($T177:T177),ROUND($D177/COUNTIF($G177:$L177,"Ja"),2))),IF($F177="Vereinbarte Beträge",IF(H177="Ja",N177,0),"")))</f>
      </c>
      <c r="V177" s="87" t="str">
        <f>IF(COUNTIF($A177:$S177,"&lt;&gt;")=0,"",IF($F177="Gleichmäßig unter Beteiligten",IF(I177&lt;&gt;"Ja",0,IF(COUNTIF($J177:$L177,"Ja")=0,$D177-SUM($T177:U177),ROUND($D177/COUNTIF($G177:$L177,"Ja"),2))),IF($F177="Vereinbarte Beträge",IF(I177="Ja",O177,0),"")))</f>
      </c>
      <c r="W177" s="87" t="str">
        <f>IF(COUNTIF($A177:$S177,"&lt;&gt;")=0,"",IF($F177="Gleichmäßig unter Beteiligten",IF(J177&lt;&gt;"Ja",0,IF(COUNTIF($K177:$L177,"Ja")=0,$D177-SUM($T177:V177),ROUND($D177/COUNTIF($G177:$L177,"Ja"),2))),IF($F177="Vereinbarte Beträge",IF(J177="Ja",P177,0),"")))</f>
      </c>
      <c r="X177" s="87" t="str">
        <f>IF(COUNTIF($A177:$S177,"&lt;&gt;")=0,"",IF($F177="Gleichmäßig unter Beteiligten",IF(K177&lt;&gt;"Ja",0,IF(COUNTIF($L177:$L177,"Ja")=0,$D177-SUM($T177:W177),ROUND($D177/COUNTIF($G177:$L177,"Ja"),2))),IF($F177="Vereinbarte Beträge",IF(K177="Ja",Q177,0),"")))</f>
      </c>
      <c r="Y177" s="87" t="str">
        <f>IF(COUNTIF($A177:$S177,"&lt;&gt;")=0,"",IF($F177="Gleichmäßig unter Beteiligten",IF(L177&lt;&gt;"Ja",0,IF(0=0,$D177-SUM($T177:X177),ROUND($D177/COUNTIF($G177:$L177,"Ja"),2))),IF($F177="Vereinbarte Beträge",IF(L177="Ja",R177,0),"")))</f>
      </c>
      <c r="Z177" s="81" t="str">
        <f>IF(COUNTIF($A177:$S177,"&lt;&gt;")=0,"",IF(OR($D177="",$D177&lt;=0),"Trage einen Betrag größer als null ein.",IF($E177="","Wähle aus, wer bezahlt hat.",IF(COUNTIF($G177:$L177,"Ja")=0,"Wähle mindestens eine beteiligte Person aus.",IF($F177="Gleichmäßig unter Beteiligten","Geprüft",IF($F177="Vereinbarte Beträge",IF(OR(AND(G177="Ja",M177=""),AND(H177="Ja",N177=""),AND(I177="Ja",O177=""),AND(J177="Ja",P177=""),AND(K177="Ja",Q177=""),AND(L177="Ja",R177="")),"Trage die vereinbarten Beträge so ein, dass ihre Summe der Ausgabe entspricht.",IF(ABS(SUM($M177:$R177))&lt;0.005,"Trage die vereinbarten Beträge so ein, dass ihre Summe der Ausgabe entspricht.",IF(SUM($M177:$R177)&lt;$D177-0.005,"Bei der Aufteilung fehlen "&amp;ROUND($D177-SUM($M177:$R177),2)&amp;".",IF(SUM($M177:$R177)&gt;$D177+0.005,"Die Aufteilung übersteigt die Ausgabe um "&amp;ROUND(SUM($M177:$R177)-$D177,2)&amp;".","Geprüft")))),"Trage die vereinbarten Beträge so ein, dass ihre Summe der Ausgabe entspricht."))))))</f>
      </c>
    </row>
    <row r="178">
      <c r="A178" s="83"/>
      <c r="B178" s="57"/>
      <c r="C178" s="57"/>
      <c r="D178" s="85"/>
      <c r="E178" s="57"/>
      <c r="F178" s="57"/>
      <c r="G178" s="57"/>
      <c r="H178" s="57"/>
      <c r="I178" s="57"/>
      <c r="J178" s="57"/>
      <c r="K178" s="57"/>
      <c r="L178" s="57"/>
      <c r="M178" s="85"/>
      <c r="N178" s="85"/>
      <c r="O178" s="85"/>
      <c r="P178" s="85"/>
      <c r="Q178" s="85"/>
      <c r="R178" s="85"/>
      <c r="S178" s="57"/>
      <c r="T178" s="87" t="str">
        <f>IF(COUNTIF($A178:$S178,"&lt;&gt;")=0,"",IF($F178="Gleichmäßig unter Beteiligten",IF(G178&lt;&gt;"Ja",0,IF(COUNTIF($H178:$L178,"Ja")=0,$D178-0,ROUND($D178/COUNTIF($G178:$L178,"Ja"),2))),IF($F178="Vereinbarte Beträge",IF(G178="Ja",M178,0),"")))</f>
      </c>
      <c r="U178" s="87" t="str">
        <f>IF(COUNTIF($A178:$S178,"&lt;&gt;")=0,"",IF($F178="Gleichmäßig unter Beteiligten",IF(H178&lt;&gt;"Ja",0,IF(COUNTIF($I178:$L178,"Ja")=0,$D178-SUM($T178:T178),ROUND($D178/COUNTIF($G178:$L178,"Ja"),2))),IF($F178="Vereinbarte Beträge",IF(H178="Ja",N178,0),"")))</f>
      </c>
      <c r="V178" s="87" t="str">
        <f>IF(COUNTIF($A178:$S178,"&lt;&gt;")=0,"",IF($F178="Gleichmäßig unter Beteiligten",IF(I178&lt;&gt;"Ja",0,IF(COUNTIF($J178:$L178,"Ja")=0,$D178-SUM($T178:U178),ROUND($D178/COUNTIF($G178:$L178,"Ja"),2))),IF($F178="Vereinbarte Beträge",IF(I178="Ja",O178,0),"")))</f>
      </c>
      <c r="W178" s="87" t="str">
        <f>IF(COUNTIF($A178:$S178,"&lt;&gt;")=0,"",IF($F178="Gleichmäßig unter Beteiligten",IF(J178&lt;&gt;"Ja",0,IF(COUNTIF($K178:$L178,"Ja")=0,$D178-SUM($T178:V178),ROUND($D178/COUNTIF($G178:$L178,"Ja"),2))),IF($F178="Vereinbarte Beträge",IF(J178="Ja",P178,0),"")))</f>
      </c>
      <c r="X178" s="87" t="str">
        <f>IF(COUNTIF($A178:$S178,"&lt;&gt;")=0,"",IF($F178="Gleichmäßig unter Beteiligten",IF(K178&lt;&gt;"Ja",0,IF(COUNTIF($L178:$L178,"Ja")=0,$D178-SUM($T178:W178),ROUND($D178/COUNTIF($G178:$L178,"Ja"),2))),IF($F178="Vereinbarte Beträge",IF(K178="Ja",Q178,0),"")))</f>
      </c>
      <c r="Y178" s="87" t="str">
        <f>IF(COUNTIF($A178:$S178,"&lt;&gt;")=0,"",IF($F178="Gleichmäßig unter Beteiligten",IF(L178&lt;&gt;"Ja",0,IF(0=0,$D178-SUM($T178:X178),ROUND($D178/COUNTIF($G178:$L178,"Ja"),2))),IF($F178="Vereinbarte Beträge",IF(L178="Ja",R178,0),"")))</f>
      </c>
      <c r="Z178" s="81" t="str">
        <f>IF(COUNTIF($A178:$S178,"&lt;&gt;")=0,"",IF(OR($D178="",$D178&lt;=0),"Trage einen Betrag größer als null ein.",IF($E178="","Wähle aus, wer bezahlt hat.",IF(COUNTIF($G178:$L178,"Ja")=0,"Wähle mindestens eine beteiligte Person aus.",IF($F178="Gleichmäßig unter Beteiligten","Geprüft",IF($F178="Vereinbarte Beträge",IF(OR(AND(G178="Ja",M178=""),AND(H178="Ja",N178=""),AND(I178="Ja",O178=""),AND(J178="Ja",P178=""),AND(K178="Ja",Q178=""),AND(L178="Ja",R178="")),"Trage die vereinbarten Beträge so ein, dass ihre Summe der Ausgabe entspricht.",IF(ABS(SUM($M178:$R178))&lt;0.005,"Trage die vereinbarten Beträge so ein, dass ihre Summe der Ausgabe entspricht.",IF(SUM($M178:$R178)&lt;$D178-0.005,"Bei der Aufteilung fehlen "&amp;ROUND($D178-SUM($M178:$R178),2)&amp;".",IF(SUM($M178:$R178)&gt;$D178+0.005,"Die Aufteilung übersteigt die Ausgabe um "&amp;ROUND(SUM($M178:$R178)-$D178,2)&amp;".","Geprüft")))),"Trage die vereinbarten Beträge so ein, dass ihre Summe der Ausgabe entspricht."))))))</f>
      </c>
    </row>
    <row r="179">
      <c r="A179" s="83"/>
      <c r="B179" s="57"/>
      <c r="C179" s="57"/>
      <c r="D179" s="85"/>
      <c r="E179" s="57"/>
      <c r="F179" s="57"/>
      <c r="G179" s="57"/>
      <c r="H179" s="57"/>
      <c r="I179" s="57"/>
      <c r="J179" s="57"/>
      <c r="K179" s="57"/>
      <c r="L179" s="57"/>
      <c r="M179" s="85"/>
      <c r="N179" s="85"/>
      <c r="O179" s="85"/>
      <c r="P179" s="85"/>
      <c r="Q179" s="85"/>
      <c r="R179" s="85"/>
      <c r="S179" s="57"/>
      <c r="T179" s="87" t="str">
        <f>IF(COUNTIF($A179:$S179,"&lt;&gt;")=0,"",IF($F179="Gleichmäßig unter Beteiligten",IF(G179&lt;&gt;"Ja",0,IF(COUNTIF($H179:$L179,"Ja")=0,$D179-0,ROUND($D179/COUNTIF($G179:$L179,"Ja"),2))),IF($F179="Vereinbarte Beträge",IF(G179="Ja",M179,0),"")))</f>
      </c>
      <c r="U179" s="87" t="str">
        <f>IF(COUNTIF($A179:$S179,"&lt;&gt;")=0,"",IF($F179="Gleichmäßig unter Beteiligten",IF(H179&lt;&gt;"Ja",0,IF(COUNTIF($I179:$L179,"Ja")=0,$D179-SUM($T179:T179),ROUND($D179/COUNTIF($G179:$L179,"Ja"),2))),IF($F179="Vereinbarte Beträge",IF(H179="Ja",N179,0),"")))</f>
      </c>
      <c r="V179" s="87" t="str">
        <f>IF(COUNTIF($A179:$S179,"&lt;&gt;")=0,"",IF($F179="Gleichmäßig unter Beteiligten",IF(I179&lt;&gt;"Ja",0,IF(COUNTIF($J179:$L179,"Ja")=0,$D179-SUM($T179:U179),ROUND($D179/COUNTIF($G179:$L179,"Ja"),2))),IF($F179="Vereinbarte Beträge",IF(I179="Ja",O179,0),"")))</f>
      </c>
      <c r="W179" s="87" t="str">
        <f>IF(COUNTIF($A179:$S179,"&lt;&gt;")=0,"",IF($F179="Gleichmäßig unter Beteiligten",IF(J179&lt;&gt;"Ja",0,IF(COUNTIF($K179:$L179,"Ja")=0,$D179-SUM($T179:V179),ROUND($D179/COUNTIF($G179:$L179,"Ja"),2))),IF($F179="Vereinbarte Beträge",IF(J179="Ja",P179,0),"")))</f>
      </c>
      <c r="X179" s="87" t="str">
        <f>IF(COUNTIF($A179:$S179,"&lt;&gt;")=0,"",IF($F179="Gleichmäßig unter Beteiligten",IF(K179&lt;&gt;"Ja",0,IF(COUNTIF($L179:$L179,"Ja")=0,$D179-SUM($T179:W179),ROUND($D179/COUNTIF($G179:$L179,"Ja"),2))),IF($F179="Vereinbarte Beträge",IF(K179="Ja",Q179,0),"")))</f>
      </c>
      <c r="Y179" s="87" t="str">
        <f>IF(COUNTIF($A179:$S179,"&lt;&gt;")=0,"",IF($F179="Gleichmäßig unter Beteiligten",IF(L179&lt;&gt;"Ja",0,IF(0=0,$D179-SUM($T179:X179),ROUND($D179/COUNTIF($G179:$L179,"Ja"),2))),IF($F179="Vereinbarte Beträge",IF(L179="Ja",R179,0),"")))</f>
      </c>
      <c r="Z179" s="81" t="str">
        <f>IF(COUNTIF($A179:$S179,"&lt;&gt;")=0,"",IF(OR($D179="",$D179&lt;=0),"Trage einen Betrag größer als null ein.",IF($E179="","Wähle aus, wer bezahlt hat.",IF(COUNTIF($G179:$L179,"Ja")=0,"Wähle mindestens eine beteiligte Person aus.",IF($F179="Gleichmäßig unter Beteiligten","Geprüft",IF($F179="Vereinbarte Beträge",IF(OR(AND(G179="Ja",M179=""),AND(H179="Ja",N179=""),AND(I179="Ja",O179=""),AND(J179="Ja",P179=""),AND(K179="Ja",Q179=""),AND(L179="Ja",R179="")),"Trage die vereinbarten Beträge so ein, dass ihre Summe der Ausgabe entspricht.",IF(ABS(SUM($M179:$R179))&lt;0.005,"Trage die vereinbarten Beträge so ein, dass ihre Summe der Ausgabe entspricht.",IF(SUM($M179:$R179)&lt;$D179-0.005,"Bei der Aufteilung fehlen "&amp;ROUND($D179-SUM($M179:$R179),2)&amp;".",IF(SUM($M179:$R179)&gt;$D179+0.005,"Die Aufteilung übersteigt die Ausgabe um "&amp;ROUND(SUM($M179:$R179)-$D179,2)&amp;".","Geprüft")))),"Trage die vereinbarten Beträge so ein, dass ihre Summe der Ausgabe entspricht."))))))</f>
      </c>
    </row>
    <row r="180">
      <c r="A180" s="83"/>
      <c r="B180" s="57"/>
      <c r="C180" s="57"/>
      <c r="D180" s="85"/>
      <c r="E180" s="57"/>
      <c r="F180" s="57"/>
      <c r="G180" s="57"/>
      <c r="H180" s="57"/>
      <c r="I180" s="57"/>
      <c r="J180" s="57"/>
      <c r="K180" s="57"/>
      <c r="L180" s="57"/>
      <c r="M180" s="85"/>
      <c r="N180" s="85"/>
      <c r="O180" s="85"/>
      <c r="P180" s="85"/>
      <c r="Q180" s="85"/>
      <c r="R180" s="85"/>
      <c r="S180" s="57"/>
      <c r="T180" s="87" t="str">
        <f>IF(COUNTIF($A180:$S180,"&lt;&gt;")=0,"",IF($F180="Gleichmäßig unter Beteiligten",IF(G180&lt;&gt;"Ja",0,IF(COUNTIF($H180:$L180,"Ja")=0,$D180-0,ROUND($D180/COUNTIF($G180:$L180,"Ja"),2))),IF($F180="Vereinbarte Beträge",IF(G180="Ja",M180,0),"")))</f>
      </c>
      <c r="U180" s="87" t="str">
        <f>IF(COUNTIF($A180:$S180,"&lt;&gt;")=0,"",IF($F180="Gleichmäßig unter Beteiligten",IF(H180&lt;&gt;"Ja",0,IF(COUNTIF($I180:$L180,"Ja")=0,$D180-SUM($T180:T180),ROUND($D180/COUNTIF($G180:$L180,"Ja"),2))),IF($F180="Vereinbarte Beträge",IF(H180="Ja",N180,0),"")))</f>
      </c>
      <c r="V180" s="87" t="str">
        <f>IF(COUNTIF($A180:$S180,"&lt;&gt;")=0,"",IF($F180="Gleichmäßig unter Beteiligten",IF(I180&lt;&gt;"Ja",0,IF(COUNTIF($J180:$L180,"Ja")=0,$D180-SUM($T180:U180),ROUND($D180/COUNTIF($G180:$L180,"Ja"),2))),IF($F180="Vereinbarte Beträge",IF(I180="Ja",O180,0),"")))</f>
      </c>
      <c r="W180" s="87" t="str">
        <f>IF(COUNTIF($A180:$S180,"&lt;&gt;")=0,"",IF($F180="Gleichmäßig unter Beteiligten",IF(J180&lt;&gt;"Ja",0,IF(COUNTIF($K180:$L180,"Ja")=0,$D180-SUM($T180:V180),ROUND($D180/COUNTIF($G180:$L180,"Ja"),2))),IF($F180="Vereinbarte Beträge",IF(J180="Ja",P180,0),"")))</f>
      </c>
      <c r="X180" s="87" t="str">
        <f>IF(COUNTIF($A180:$S180,"&lt;&gt;")=0,"",IF($F180="Gleichmäßig unter Beteiligten",IF(K180&lt;&gt;"Ja",0,IF(COUNTIF($L180:$L180,"Ja")=0,$D180-SUM($T180:W180),ROUND($D180/COUNTIF($G180:$L180,"Ja"),2))),IF($F180="Vereinbarte Beträge",IF(K180="Ja",Q180,0),"")))</f>
      </c>
      <c r="Y180" s="87" t="str">
        <f>IF(COUNTIF($A180:$S180,"&lt;&gt;")=0,"",IF($F180="Gleichmäßig unter Beteiligten",IF(L180&lt;&gt;"Ja",0,IF(0=0,$D180-SUM($T180:X180),ROUND($D180/COUNTIF($G180:$L180,"Ja"),2))),IF($F180="Vereinbarte Beträge",IF(L180="Ja",R180,0),"")))</f>
      </c>
      <c r="Z180" s="81" t="str">
        <f>IF(COUNTIF($A180:$S180,"&lt;&gt;")=0,"",IF(OR($D180="",$D180&lt;=0),"Trage einen Betrag größer als null ein.",IF($E180="","Wähle aus, wer bezahlt hat.",IF(COUNTIF($G180:$L180,"Ja")=0,"Wähle mindestens eine beteiligte Person aus.",IF($F180="Gleichmäßig unter Beteiligten","Geprüft",IF($F180="Vereinbarte Beträge",IF(OR(AND(G180="Ja",M180=""),AND(H180="Ja",N180=""),AND(I180="Ja",O180=""),AND(J180="Ja",P180=""),AND(K180="Ja",Q180=""),AND(L180="Ja",R180="")),"Trage die vereinbarten Beträge so ein, dass ihre Summe der Ausgabe entspricht.",IF(ABS(SUM($M180:$R180))&lt;0.005,"Trage die vereinbarten Beträge so ein, dass ihre Summe der Ausgabe entspricht.",IF(SUM($M180:$R180)&lt;$D180-0.005,"Bei der Aufteilung fehlen "&amp;ROUND($D180-SUM($M180:$R180),2)&amp;".",IF(SUM($M180:$R180)&gt;$D180+0.005,"Die Aufteilung übersteigt die Ausgabe um "&amp;ROUND(SUM($M180:$R180)-$D180,2)&amp;".","Geprüft")))),"Trage die vereinbarten Beträge so ein, dass ihre Summe der Ausgabe entspricht."))))))</f>
      </c>
    </row>
    <row r="181">
      <c r="A181" s="83"/>
      <c r="B181" s="57"/>
      <c r="C181" s="57"/>
      <c r="D181" s="85"/>
      <c r="E181" s="57"/>
      <c r="F181" s="57"/>
      <c r="G181" s="57"/>
      <c r="H181" s="57"/>
      <c r="I181" s="57"/>
      <c r="J181" s="57"/>
      <c r="K181" s="57"/>
      <c r="L181" s="57"/>
      <c r="M181" s="85"/>
      <c r="N181" s="85"/>
      <c r="O181" s="85"/>
      <c r="P181" s="85"/>
      <c r="Q181" s="85"/>
      <c r="R181" s="85"/>
      <c r="S181" s="57"/>
      <c r="T181" s="87" t="str">
        <f>IF(COUNTIF($A181:$S181,"&lt;&gt;")=0,"",IF($F181="Gleichmäßig unter Beteiligten",IF(G181&lt;&gt;"Ja",0,IF(COUNTIF($H181:$L181,"Ja")=0,$D181-0,ROUND($D181/COUNTIF($G181:$L181,"Ja"),2))),IF($F181="Vereinbarte Beträge",IF(G181="Ja",M181,0),"")))</f>
      </c>
      <c r="U181" s="87" t="str">
        <f>IF(COUNTIF($A181:$S181,"&lt;&gt;")=0,"",IF($F181="Gleichmäßig unter Beteiligten",IF(H181&lt;&gt;"Ja",0,IF(COUNTIF($I181:$L181,"Ja")=0,$D181-SUM($T181:T181),ROUND($D181/COUNTIF($G181:$L181,"Ja"),2))),IF($F181="Vereinbarte Beträge",IF(H181="Ja",N181,0),"")))</f>
      </c>
      <c r="V181" s="87" t="str">
        <f>IF(COUNTIF($A181:$S181,"&lt;&gt;")=0,"",IF($F181="Gleichmäßig unter Beteiligten",IF(I181&lt;&gt;"Ja",0,IF(COUNTIF($J181:$L181,"Ja")=0,$D181-SUM($T181:U181),ROUND($D181/COUNTIF($G181:$L181,"Ja"),2))),IF($F181="Vereinbarte Beträge",IF(I181="Ja",O181,0),"")))</f>
      </c>
      <c r="W181" s="87" t="str">
        <f>IF(COUNTIF($A181:$S181,"&lt;&gt;")=0,"",IF($F181="Gleichmäßig unter Beteiligten",IF(J181&lt;&gt;"Ja",0,IF(COUNTIF($K181:$L181,"Ja")=0,$D181-SUM($T181:V181),ROUND($D181/COUNTIF($G181:$L181,"Ja"),2))),IF($F181="Vereinbarte Beträge",IF(J181="Ja",P181,0),"")))</f>
      </c>
      <c r="X181" s="87" t="str">
        <f>IF(COUNTIF($A181:$S181,"&lt;&gt;")=0,"",IF($F181="Gleichmäßig unter Beteiligten",IF(K181&lt;&gt;"Ja",0,IF(COUNTIF($L181:$L181,"Ja")=0,$D181-SUM($T181:W181),ROUND($D181/COUNTIF($G181:$L181,"Ja"),2))),IF($F181="Vereinbarte Beträge",IF(K181="Ja",Q181,0),"")))</f>
      </c>
      <c r="Y181" s="87" t="str">
        <f>IF(COUNTIF($A181:$S181,"&lt;&gt;")=0,"",IF($F181="Gleichmäßig unter Beteiligten",IF(L181&lt;&gt;"Ja",0,IF(0=0,$D181-SUM($T181:X181),ROUND($D181/COUNTIF($G181:$L181,"Ja"),2))),IF($F181="Vereinbarte Beträge",IF(L181="Ja",R181,0),"")))</f>
      </c>
      <c r="Z181" s="81" t="str">
        <f>IF(COUNTIF($A181:$S181,"&lt;&gt;")=0,"",IF(OR($D181="",$D181&lt;=0),"Trage einen Betrag größer als null ein.",IF($E181="","Wähle aus, wer bezahlt hat.",IF(COUNTIF($G181:$L181,"Ja")=0,"Wähle mindestens eine beteiligte Person aus.",IF($F181="Gleichmäßig unter Beteiligten","Geprüft",IF($F181="Vereinbarte Beträge",IF(OR(AND(G181="Ja",M181=""),AND(H181="Ja",N181=""),AND(I181="Ja",O181=""),AND(J181="Ja",P181=""),AND(K181="Ja",Q181=""),AND(L181="Ja",R181="")),"Trage die vereinbarten Beträge so ein, dass ihre Summe der Ausgabe entspricht.",IF(ABS(SUM($M181:$R181))&lt;0.005,"Trage die vereinbarten Beträge so ein, dass ihre Summe der Ausgabe entspricht.",IF(SUM($M181:$R181)&lt;$D181-0.005,"Bei der Aufteilung fehlen "&amp;ROUND($D181-SUM($M181:$R181),2)&amp;".",IF(SUM($M181:$R181)&gt;$D181+0.005,"Die Aufteilung übersteigt die Ausgabe um "&amp;ROUND(SUM($M181:$R181)-$D181,2)&amp;".","Geprüft")))),"Trage die vereinbarten Beträge so ein, dass ihre Summe der Ausgabe entspricht."))))))</f>
      </c>
    </row>
    <row r="182">
      <c r="A182" s="83"/>
      <c r="B182" s="57"/>
      <c r="C182" s="57"/>
      <c r="D182" s="85"/>
      <c r="E182" s="57"/>
      <c r="F182" s="57"/>
      <c r="G182" s="57"/>
      <c r="H182" s="57"/>
      <c r="I182" s="57"/>
      <c r="J182" s="57"/>
      <c r="K182" s="57"/>
      <c r="L182" s="57"/>
      <c r="M182" s="85"/>
      <c r="N182" s="85"/>
      <c r="O182" s="85"/>
      <c r="P182" s="85"/>
      <c r="Q182" s="85"/>
      <c r="R182" s="85"/>
      <c r="S182" s="57"/>
      <c r="T182" s="87" t="str">
        <f>IF(COUNTIF($A182:$S182,"&lt;&gt;")=0,"",IF($F182="Gleichmäßig unter Beteiligten",IF(G182&lt;&gt;"Ja",0,IF(COUNTIF($H182:$L182,"Ja")=0,$D182-0,ROUND($D182/COUNTIF($G182:$L182,"Ja"),2))),IF($F182="Vereinbarte Beträge",IF(G182="Ja",M182,0),"")))</f>
      </c>
      <c r="U182" s="87" t="str">
        <f>IF(COUNTIF($A182:$S182,"&lt;&gt;")=0,"",IF($F182="Gleichmäßig unter Beteiligten",IF(H182&lt;&gt;"Ja",0,IF(COUNTIF($I182:$L182,"Ja")=0,$D182-SUM($T182:T182),ROUND($D182/COUNTIF($G182:$L182,"Ja"),2))),IF($F182="Vereinbarte Beträge",IF(H182="Ja",N182,0),"")))</f>
      </c>
      <c r="V182" s="87" t="str">
        <f>IF(COUNTIF($A182:$S182,"&lt;&gt;")=0,"",IF($F182="Gleichmäßig unter Beteiligten",IF(I182&lt;&gt;"Ja",0,IF(COUNTIF($J182:$L182,"Ja")=0,$D182-SUM($T182:U182),ROUND($D182/COUNTIF($G182:$L182,"Ja"),2))),IF($F182="Vereinbarte Beträge",IF(I182="Ja",O182,0),"")))</f>
      </c>
      <c r="W182" s="87" t="str">
        <f>IF(COUNTIF($A182:$S182,"&lt;&gt;")=0,"",IF($F182="Gleichmäßig unter Beteiligten",IF(J182&lt;&gt;"Ja",0,IF(COUNTIF($K182:$L182,"Ja")=0,$D182-SUM($T182:V182),ROUND($D182/COUNTIF($G182:$L182,"Ja"),2))),IF($F182="Vereinbarte Beträge",IF(J182="Ja",P182,0),"")))</f>
      </c>
      <c r="X182" s="87" t="str">
        <f>IF(COUNTIF($A182:$S182,"&lt;&gt;")=0,"",IF($F182="Gleichmäßig unter Beteiligten",IF(K182&lt;&gt;"Ja",0,IF(COUNTIF($L182:$L182,"Ja")=0,$D182-SUM($T182:W182),ROUND($D182/COUNTIF($G182:$L182,"Ja"),2))),IF($F182="Vereinbarte Beträge",IF(K182="Ja",Q182,0),"")))</f>
      </c>
      <c r="Y182" s="87" t="str">
        <f>IF(COUNTIF($A182:$S182,"&lt;&gt;")=0,"",IF($F182="Gleichmäßig unter Beteiligten",IF(L182&lt;&gt;"Ja",0,IF(0=0,$D182-SUM($T182:X182),ROUND($D182/COUNTIF($G182:$L182,"Ja"),2))),IF($F182="Vereinbarte Beträge",IF(L182="Ja",R182,0),"")))</f>
      </c>
      <c r="Z182" s="81" t="str">
        <f>IF(COUNTIF($A182:$S182,"&lt;&gt;")=0,"",IF(OR($D182="",$D182&lt;=0),"Trage einen Betrag größer als null ein.",IF($E182="","Wähle aus, wer bezahlt hat.",IF(COUNTIF($G182:$L182,"Ja")=0,"Wähle mindestens eine beteiligte Person aus.",IF($F182="Gleichmäßig unter Beteiligten","Geprüft",IF($F182="Vereinbarte Beträge",IF(OR(AND(G182="Ja",M182=""),AND(H182="Ja",N182=""),AND(I182="Ja",O182=""),AND(J182="Ja",P182=""),AND(K182="Ja",Q182=""),AND(L182="Ja",R182="")),"Trage die vereinbarten Beträge so ein, dass ihre Summe der Ausgabe entspricht.",IF(ABS(SUM($M182:$R182))&lt;0.005,"Trage die vereinbarten Beträge so ein, dass ihre Summe der Ausgabe entspricht.",IF(SUM($M182:$R182)&lt;$D182-0.005,"Bei der Aufteilung fehlen "&amp;ROUND($D182-SUM($M182:$R182),2)&amp;".",IF(SUM($M182:$R182)&gt;$D182+0.005,"Die Aufteilung übersteigt die Ausgabe um "&amp;ROUND(SUM($M182:$R182)-$D182,2)&amp;".","Geprüft")))),"Trage die vereinbarten Beträge so ein, dass ihre Summe der Ausgabe entspricht."))))))</f>
      </c>
    </row>
    <row r="183">
      <c r="A183" s="83"/>
      <c r="B183" s="57"/>
      <c r="C183" s="57"/>
      <c r="D183" s="85"/>
      <c r="E183" s="57"/>
      <c r="F183" s="57"/>
      <c r="G183" s="57"/>
      <c r="H183" s="57"/>
      <c r="I183" s="57"/>
      <c r="J183" s="57"/>
      <c r="K183" s="57"/>
      <c r="L183" s="57"/>
      <c r="M183" s="85"/>
      <c r="N183" s="85"/>
      <c r="O183" s="85"/>
      <c r="P183" s="85"/>
      <c r="Q183" s="85"/>
      <c r="R183" s="85"/>
      <c r="S183" s="57"/>
      <c r="T183" s="87" t="str">
        <f>IF(COUNTIF($A183:$S183,"&lt;&gt;")=0,"",IF($F183="Gleichmäßig unter Beteiligten",IF(G183&lt;&gt;"Ja",0,IF(COUNTIF($H183:$L183,"Ja")=0,$D183-0,ROUND($D183/COUNTIF($G183:$L183,"Ja"),2))),IF($F183="Vereinbarte Beträge",IF(G183="Ja",M183,0),"")))</f>
      </c>
      <c r="U183" s="87" t="str">
        <f>IF(COUNTIF($A183:$S183,"&lt;&gt;")=0,"",IF($F183="Gleichmäßig unter Beteiligten",IF(H183&lt;&gt;"Ja",0,IF(COUNTIF($I183:$L183,"Ja")=0,$D183-SUM($T183:T183),ROUND($D183/COUNTIF($G183:$L183,"Ja"),2))),IF($F183="Vereinbarte Beträge",IF(H183="Ja",N183,0),"")))</f>
      </c>
      <c r="V183" s="87" t="str">
        <f>IF(COUNTIF($A183:$S183,"&lt;&gt;")=0,"",IF($F183="Gleichmäßig unter Beteiligten",IF(I183&lt;&gt;"Ja",0,IF(COUNTIF($J183:$L183,"Ja")=0,$D183-SUM($T183:U183),ROUND($D183/COUNTIF($G183:$L183,"Ja"),2))),IF($F183="Vereinbarte Beträge",IF(I183="Ja",O183,0),"")))</f>
      </c>
      <c r="W183" s="87" t="str">
        <f>IF(COUNTIF($A183:$S183,"&lt;&gt;")=0,"",IF($F183="Gleichmäßig unter Beteiligten",IF(J183&lt;&gt;"Ja",0,IF(COUNTIF($K183:$L183,"Ja")=0,$D183-SUM($T183:V183),ROUND($D183/COUNTIF($G183:$L183,"Ja"),2))),IF($F183="Vereinbarte Beträge",IF(J183="Ja",P183,0),"")))</f>
      </c>
      <c r="X183" s="87" t="str">
        <f>IF(COUNTIF($A183:$S183,"&lt;&gt;")=0,"",IF($F183="Gleichmäßig unter Beteiligten",IF(K183&lt;&gt;"Ja",0,IF(COUNTIF($L183:$L183,"Ja")=0,$D183-SUM($T183:W183),ROUND($D183/COUNTIF($G183:$L183,"Ja"),2))),IF($F183="Vereinbarte Beträge",IF(K183="Ja",Q183,0),"")))</f>
      </c>
      <c r="Y183" s="87" t="str">
        <f>IF(COUNTIF($A183:$S183,"&lt;&gt;")=0,"",IF($F183="Gleichmäßig unter Beteiligten",IF(L183&lt;&gt;"Ja",0,IF(0=0,$D183-SUM($T183:X183),ROUND($D183/COUNTIF($G183:$L183,"Ja"),2))),IF($F183="Vereinbarte Beträge",IF(L183="Ja",R183,0),"")))</f>
      </c>
      <c r="Z183" s="81" t="str">
        <f>IF(COUNTIF($A183:$S183,"&lt;&gt;")=0,"",IF(OR($D183="",$D183&lt;=0),"Trage einen Betrag größer als null ein.",IF($E183="","Wähle aus, wer bezahlt hat.",IF(COUNTIF($G183:$L183,"Ja")=0,"Wähle mindestens eine beteiligte Person aus.",IF($F183="Gleichmäßig unter Beteiligten","Geprüft",IF($F183="Vereinbarte Beträge",IF(OR(AND(G183="Ja",M183=""),AND(H183="Ja",N183=""),AND(I183="Ja",O183=""),AND(J183="Ja",P183=""),AND(K183="Ja",Q183=""),AND(L183="Ja",R183="")),"Trage die vereinbarten Beträge so ein, dass ihre Summe der Ausgabe entspricht.",IF(ABS(SUM($M183:$R183))&lt;0.005,"Trage die vereinbarten Beträge so ein, dass ihre Summe der Ausgabe entspricht.",IF(SUM($M183:$R183)&lt;$D183-0.005,"Bei der Aufteilung fehlen "&amp;ROUND($D183-SUM($M183:$R183),2)&amp;".",IF(SUM($M183:$R183)&gt;$D183+0.005,"Die Aufteilung übersteigt die Ausgabe um "&amp;ROUND(SUM($M183:$R183)-$D183,2)&amp;".","Geprüft")))),"Trage die vereinbarten Beträge so ein, dass ihre Summe der Ausgabe entspricht."))))))</f>
      </c>
    </row>
    <row r="184">
      <c r="A184" s="83"/>
      <c r="B184" s="57"/>
      <c r="C184" s="57"/>
      <c r="D184" s="85"/>
      <c r="E184" s="57"/>
      <c r="F184" s="57"/>
      <c r="G184" s="57"/>
      <c r="H184" s="57"/>
      <c r="I184" s="57"/>
      <c r="J184" s="57"/>
      <c r="K184" s="57"/>
      <c r="L184" s="57"/>
      <c r="M184" s="85"/>
      <c r="N184" s="85"/>
      <c r="O184" s="85"/>
      <c r="P184" s="85"/>
      <c r="Q184" s="85"/>
      <c r="R184" s="85"/>
      <c r="S184" s="57"/>
      <c r="T184" s="87" t="str">
        <f>IF(COUNTIF($A184:$S184,"&lt;&gt;")=0,"",IF($F184="Gleichmäßig unter Beteiligten",IF(G184&lt;&gt;"Ja",0,IF(COUNTIF($H184:$L184,"Ja")=0,$D184-0,ROUND($D184/COUNTIF($G184:$L184,"Ja"),2))),IF($F184="Vereinbarte Beträge",IF(G184="Ja",M184,0),"")))</f>
      </c>
      <c r="U184" s="87" t="str">
        <f>IF(COUNTIF($A184:$S184,"&lt;&gt;")=0,"",IF($F184="Gleichmäßig unter Beteiligten",IF(H184&lt;&gt;"Ja",0,IF(COUNTIF($I184:$L184,"Ja")=0,$D184-SUM($T184:T184),ROUND($D184/COUNTIF($G184:$L184,"Ja"),2))),IF($F184="Vereinbarte Beträge",IF(H184="Ja",N184,0),"")))</f>
      </c>
      <c r="V184" s="87" t="str">
        <f>IF(COUNTIF($A184:$S184,"&lt;&gt;")=0,"",IF($F184="Gleichmäßig unter Beteiligten",IF(I184&lt;&gt;"Ja",0,IF(COUNTIF($J184:$L184,"Ja")=0,$D184-SUM($T184:U184),ROUND($D184/COUNTIF($G184:$L184,"Ja"),2))),IF($F184="Vereinbarte Beträge",IF(I184="Ja",O184,0),"")))</f>
      </c>
      <c r="W184" s="87" t="str">
        <f>IF(COUNTIF($A184:$S184,"&lt;&gt;")=0,"",IF($F184="Gleichmäßig unter Beteiligten",IF(J184&lt;&gt;"Ja",0,IF(COUNTIF($K184:$L184,"Ja")=0,$D184-SUM($T184:V184),ROUND($D184/COUNTIF($G184:$L184,"Ja"),2))),IF($F184="Vereinbarte Beträge",IF(J184="Ja",P184,0),"")))</f>
      </c>
      <c r="X184" s="87" t="str">
        <f>IF(COUNTIF($A184:$S184,"&lt;&gt;")=0,"",IF($F184="Gleichmäßig unter Beteiligten",IF(K184&lt;&gt;"Ja",0,IF(COUNTIF($L184:$L184,"Ja")=0,$D184-SUM($T184:W184),ROUND($D184/COUNTIF($G184:$L184,"Ja"),2))),IF($F184="Vereinbarte Beträge",IF(K184="Ja",Q184,0),"")))</f>
      </c>
      <c r="Y184" s="87" t="str">
        <f>IF(COUNTIF($A184:$S184,"&lt;&gt;")=0,"",IF($F184="Gleichmäßig unter Beteiligten",IF(L184&lt;&gt;"Ja",0,IF(0=0,$D184-SUM($T184:X184),ROUND($D184/COUNTIF($G184:$L184,"Ja"),2))),IF($F184="Vereinbarte Beträge",IF(L184="Ja",R184,0),"")))</f>
      </c>
      <c r="Z184" s="81" t="str">
        <f>IF(COUNTIF($A184:$S184,"&lt;&gt;")=0,"",IF(OR($D184="",$D184&lt;=0),"Trage einen Betrag größer als null ein.",IF($E184="","Wähle aus, wer bezahlt hat.",IF(COUNTIF($G184:$L184,"Ja")=0,"Wähle mindestens eine beteiligte Person aus.",IF($F184="Gleichmäßig unter Beteiligten","Geprüft",IF($F184="Vereinbarte Beträge",IF(OR(AND(G184="Ja",M184=""),AND(H184="Ja",N184=""),AND(I184="Ja",O184=""),AND(J184="Ja",P184=""),AND(K184="Ja",Q184=""),AND(L184="Ja",R184="")),"Trage die vereinbarten Beträge so ein, dass ihre Summe der Ausgabe entspricht.",IF(ABS(SUM($M184:$R184))&lt;0.005,"Trage die vereinbarten Beträge so ein, dass ihre Summe der Ausgabe entspricht.",IF(SUM($M184:$R184)&lt;$D184-0.005,"Bei der Aufteilung fehlen "&amp;ROUND($D184-SUM($M184:$R184),2)&amp;".",IF(SUM($M184:$R184)&gt;$D184+0.005,"Die Aufteilung übersteigt die Ausgabe um "&amp;ROUND(SUM($M184:$R184)-$D184,2)&amp;".","Geprüft")))),"Trage die vereinbarten Beträge so ein, dass ihre Summe der Ausgabe entspricht."))))))</f>
      </c>
    </row>
    <row r="185">
      <c r="A185" s="83"/>
      <c r="B185" s="57"/>
      <c r="C185" s="57"/>
      <c r="D185" s="85"/>
      <c r="E185" s="57"/>
      <c r="F185" s="57"/>
      <c r="G185" s="57"/>
      <c r="H185" s="57"/>
      <c r="I185" s="57"/>
      <c r="J185" s="57"/>
      <c r="K185" s="57"/>
      <c r="L185" s="57"/>
      <c r="M185" s="85"/>
      <c r="N185" s="85"/>
      <c r="O185" s="85"/>
      <c r="P185" s="85"/>
      <c r="Q185" s="85"/>
      <c r="R185" s="85"/>
      <c r="S185" s="57"/>
      <c r="T185" s="87" t="str">
        <f>IF(COUNTIF($A185:$S185,"&lt;&gt;")=0,"",IF($F185="Gleichmäßig unter Beteiligten",IF(G185&lt;&gt;"Ja",0,IF(COUNTIF($H185:$L185,"Ja")=0,$D185-0,ROUND($D185/COUNTIF($G185:$L185,"Ja"),2))),IF($F185="Vereinbarte Beträge",IF(G185="Ja",M185,0),"")))</f>
      </c>
      <c r="U185" s="87" t="str">
        <f>IF(COUNTIF($A185:$S185,"&lt;&gt;")=0,"",IF($F185="Gleichmäßig unter Beteiligten",IF(H185&lt;&gt;"Ja",0,IF(COUNTIF($I185:$L185,"Ja")=0,$D185-SUM($T185:T185),ROUND($D185/COUNTIF($G185:$L185,"Ja"),2))),IF($F185="Vereinbarte Beträge",IF(H185="Ja",N185,0),"")))</f>
      </c>
      <c r="V185" s="87" t="str">
        <f>IF(COUNTIF($A185:$S185,"&lt;&gt;")=0,"",IF($F185="Gleichmäßig unter Beteiligten",IF(I185&lt;&gt;"Ja",0,IF(COUNTIF($J185:$L185,"Ja")=0,$D185-SUM($T185:U185),ROUND($D185/COUNTIF($G185:$L185,"Ja"),2))),IF($F185="Vereinbarte Beträge",IF(I185="Ja",O185,0),"")))</f>
      </c>
      <c r="W185" s="87" t="str">
        <f>IF(COUNTIF($A185:$S185,"&lt;&gt;")=0,"",IF($F185="Gleichmäßig unter Beteiligten",IF(J185&lt;&gt;"Ja",0,IF(COUNTIF($K185:$L185,"Ja")=0,$D185-SUM($T185:V185),ROUND($D185/COUNTIF($G185:$L185,"Ja"),2))),IF($F185="Vereinbarte Beträge",IF(J185="Ja",P185,0),"")))</f>
      </c>
      <c r="X185" s="87" t="str">
        <f>IF(COUNTIF($A185:$S185,"&lt;&gt;")=0,"",IF($F185="Gleichmäßig unter Beteiligten",IF(K185&lt;&gt;"Ja",0,IF(COUNTIF($L185:$L185,"Ja")=0,$D185-SUM($T185:W185),ROUND($D185/COUNTIF($G185:$L185,"Ja"),2))),IF($F185="Vereinbarte Beträge",IF(K185="Ja",Q185,0),"")))</f>
      </c>
      <c r="Y185" s="87" t="str">
        <f>IF(COUNTIF($A185:$S185,"&lt;&gt;")=0,"",IF($F185="Gleichmäßig unter Beteiligten",IF(L185&lt;&gt;"Ja",0,IF(0=0,$D185-SUM($T185:X185),ROUND($D185/COUNTIF($G185:$L185,"Ja"),2))),IF($F185="Vereinbarte Beträge",IF(L185="Ja",R185,0),"")))</f>
      </c>
      <c r="Z185" s="81" t="str">
        <f>IF(COUNTIF($A185:$S185,"&lt;&gt;")=0,"",IF(OR($D185="",$D185&lt;=0),"Trage einen Betrag größer als null ein.",IF($E185="","Wähle aus, wer bezahlt hat.",IF(COUNTIF($G185:$L185,"Ja")=0,"Wähle mindestens eine beteiligte Person aus.",IF($F185="Gleichmäßig unter Beteiligten","Geprüft",IF($F185="Vereinbarte Beträge",IF(OR(AND(G185="Ja",M185=""),AND(H185="Ja",N185=""),AND(I185="Ja",O185=""),AND(J185="Ja",P185=""),AND(K185="Ja",Q185=""),AND(L185="Ja",R185="")),"Trage die vereinbarten Beträge so ein, dass ihre Summe der Ausgabe entspricht.",IF(ABS(SUM($M185:$R185))&lt;0.005,"Trage die vereinbarten Beträge so ein, dass ihre Summe der Ausgabe entspricht.",IF(SUM($M185:$R185)&lt;$D185-0.005,"Bei der Aufteilung fehlen "&amp;ROUND($D185-SUM($M185:$R185),2)&amp;".",IF(SUM($M185:$R185)&gt;$D185+0.005,"Die Aufteilung übersteigt die Ausgabe um "&amp;ROUND(SUM($M185:$R185)-$D185,2)&amp;".","Geprüft")))),"Trage die vereinbarten Beträge so ein, dass ihre Summe der Ausgabe entspricht."))))))</f>
      </c>
    </row>
    <row r="186">
      <c r="A186" s="83"/>
      <c r="B186" s="57"/>
      <c r="C186" s="57"/>
      <c r="D186" s="85"/>
      <c r="E186" s="57"/>
      <c r="F186" s="57"/>
      <c r="G186" s="57"/>
      <c r="H186" s="57"/>
      <c r="I186" s="57"/>
      <c r="J186" s="57"/>
      <c r="K186" s="57"/>
      <c r="L186" s="57"/>
      <c r="M186" s="85"/>
      <c r="N186" s="85"/>
      <c r="O186" s="85"/>
      <c r="P186" s="85"/>
      <c r="Q186" s="85"/>
      <c r="R186" s="85"/>
      <c r="S186" s="57"/>
      <c r="T186" s="87" t="str">
        <f>IF(COUNTIF($A186:$S186,"&lt;&gt;")=0,"",IF($F186="Gleichmäßig unter Beteiligten",IF(G186&lt;&gt;"Ja",0,IF(COUNTIF($H186:$L186,"Ja")=0,$D186-0,ROUND($D186/COUNTIF($G186:$L186,"Ja"),2))),IF($F186="Vereinbarte Beträge",IF(G186="Ja",M186,0),"")))</f>
      </c>
      <c r="U186" s="87" t="str">
        <f>IF(COUNTIF($A186:$S186,"&lt;&gt;")=0,"",IF($F186="Gleichmäßig unter Beteiligten",IF(H186&lt;&gt;"Ja",0,IF(COUNTIF($I186:$L186,"Ja")=0,$D186-SUM($T186:T186),ROUND($D186/COUNTIF($G186:$L186,"Ja"),2))),IF($F186="Vereinbarte Beträge",IF(H186="Ja",N186,0),"")))</f>
      </c>
      <c r="V186" s="87" t="str">
        <f>IF(COUNTIF($A186:$S186,"&lt;&gt;")=0,"",IF($F186="Gleichmäßig unter Beteiligten",IF(I186&lt;&gt;"Ja",0,IF(COUNTIF($J186:$L186,"Ja")=0,$D186-SUM($T186:U186),ROUND($D186/COUNTIF($G186:$L186,"Ja"),2))),IF($F186="Vereinbarte Beträge",IF(I186="Ja",O186,0),"")))</f>
      </c>
      <c r="W186" s="87" t="str">
        <f>IF(COUNTIF($A186:$S186,"&lt;&gt;")=0,"",IF($F186="Gleichmäßig unter Beteiligten",IF(J186&lt;&gt;"Ja",0,IF(COUNTIF($K186:$L186,"Ja")=0,$D186-SUM($T186:V186),ROUND($D186/COUNTIF($G186:$L186,"Ja"),2))),IF($F186="Vereinbarte Beträge",IF(J186="Ja",P186,0),"")))</f>
      </c>
      <c r="X186" s="87" t="str">
        <f>IF(COUNTIF($A186:$S186,"&lt;&gt;")=0,"",IF($F186="Gleichmäßig unter Beteiligten",IF(K186&lt;&gt;"Ja",0,IF(COUNTIF($L186:$L186,"Ja")=0,$D186-SUM($T186:W186),ROUND($D186/COUNTIF($G186:$L186,"Ja"),2))),IF($F186="Vereinbarte Beträge",IF(K186="Ja",Q186,0),"")))</f>
      </c>
      <c r="Y186" s="87" t="str">
        <f>IF(COUNTIF($A186:$S186,"&lt;&gt;")=0,"",IF($F186="Gleichmäßig unter Beteiligten",IF(L186&lt;&gt;"Ja",0,IF(0=0,$D186-SUM($T186:X186),ROUND($D186/COUNTIF($G186:$L186,"Ja"),2))),IF($F186="Vereinbarte Beträge",IF(L186="Ja",R186,0),"")))</f>
      </c>
      <c r="Z186" s="81" t="str">
        <f>IF(COUNTIF($A186:$S186,"&lt;&gt;")=0,"",IF(OR($D186="",$D186&lt;=0),"Trage einen Betrag größer als null ein.",IF($E186="","Wähle aus, wer bezahlt hat.",IF(COUNTIF($G186:$L186,"Ja")=0,"Wähle mindestens eine beteiligte Person aus.",IF($F186="Gleichmäßig unter Beteiligten","Geprüft",IF($F186="Vereinbarte Beträge",IF(OR(AND(G186="Ja",M186=""),AND(H186="Ja",N186=""),AND(I186="Ja",O186=""),AND(J186="Ja",P186=""),AND(K186="Ja",Q186=""),AND(L186="Ja",R186="")),"Trage die vereinbarten Beträge so ein, dass ihre Summe der Ausgabe entspricht.",IF(ABS(SUM($M186:$R186))&lt;0.005,"Trage die vereinbarten Beträge so ein, dass ihre Summe der Ausgabe entspricht.",IF(SUM($M186:$R186)&lt;$D186-0.005,"Bei der Aufteilung fehlen "&amp;ROUND($D186-SUM($M186:$R186),2)&amp;".",IF(SUM($M186:$R186)&gt;$D186+0.005,"Die Aufteilung übersteigt die Ausgabe um "&amp;ROUND(SUM($M186:$R186)-$D186,2)&amp;".","Geprüft")))),"Trage die vereinbarten Beträge so ein, dass ihre Summe der Ausgabe entspricht."))))))</f>
      </c>
    </row>
    <row r="187">
      <c r="A187" s="83"/>
      <c r="B187" s="57"/>
      <c r="C187" s="57"/>
      <c r="D187" s="85"/>
      <c r="E187" s="57"/>
      <c r="F187" s="57"/>
      <c r="G187" s="57"/>
      <c r="H187" s="57"/>
      <c r="I187" s="57"/>
      <c r="J187" s="57"/>
      <c r="K187" s="57"/>
      <c r="L187" s="57"/>
      <c r="M187" s="85"/>
      <c r="N187" s="85"/>
      <c r="O187" s="85"/>
      <c r="P187" s="85"/>
      <c r="Q187" s="85"/>
      <c r="R187" s="85"/>
      <c r="S187" s="57"/>
      <c r="T187" s="87" t="str">
        <f>IF(COUNTIF($A187:$S187,"&lt;&gt;")=0,"",IF($F187="Gleichmäßig unter Beteiligten",IF(G187&lt;&gt;"Ja",0,IF(COUNTIF($H187:$L187,"Ja")=0,$D187-0,ROUND($D187/COUNTIF($G187:$L187,"Ja"),2))),IF($F187="Vereinbarte Beträge",IF(G187="Ja",M187,0),"")))</f>
      </c>
      <c r="U187" s="87" t="str">
        <f>IF(COUNTIF($A187:$S187,"&lt;&gt;")=0,"",IF($F187="Gleichmäßig unter Beteiligten",IF(H187&lt;&gt;"Ja",0,IF(COUNTIF($I187:$L187,"Ja")=0,$D187-SUM($T187:T187),ROUND($D187/COUNTIF($G187:$L187,"Ja"),2))),IF($F187="Vereinbarte Beträge",IF(H187="Ja",N187,0),"")))</f>
      </c>
      <c r="V187" s="87" t="str">
        <f>IF(COUNTIF($A187:$S187,"&lt;&gt;")=0,"",IF($F187="Gleichmäßig unter Beteiligten",IF(I187&lt;&gt;"Ja",0,IF(COUNTIF($J187:$L187,"Ja")=0,$D187-SUM($T187:U187),ROUND($D187/COUNTIF($G187:$L187,"Ja"),2))),IF($F187="Vereinbarte Beträge",IF(I187="Ja",O187,0),"")))</f>
      </c>
      <c r="W187" s="87" t="str">
        <f>IF(COUNTIF($A187:$S187,"&lt;&gt;")=0,"",IF($F187="Gleichmäßig unter Beteiligten",IF(J187&lt;&gt;"Ja",0,IF(COUNTIF($K187:$L187,"Ja")=0,$D187-SUM($T187:V187),ROUND($D187/COUNTIF($G187:$L187,"Ja"),2))),IF($F187="Vereinbarte Beträge",IF(J187="Ja",P187,0),"")))</f>
      </c>
      <c r="X187" s="87" t="str">
        <f>IF(COUNTIF($A187:$S187,"&lt;&gt;")=0,"",IF($F187="Gleichmäßig unter Beteiligten",IF(K187&lt;&gt;"Ja",0,IF(COUNTIF($L187:$L187,"Ja")=0,$D187-SUM($T187:W187),ROUND($D187/COUNTIF($G187:$L187,"Ja"),2))),IF($F187="Vereinbarte Beträge",IF(K187="Ja",Q187,0),"")))</f>
      </c>
      <c r="Y187" s="87" t="str">
        <f>IF(COUNTIF($A187:$S187,"&lt;&gt;")=0,"",IF($F187="Gleichmäßig unter Beteiligten",IF(L187&lt;&gt;"Ja",0,IF(0=0,$D187-SUM($T187:X187),ROUND($D187/COUNTIF($G187:$L187,"Ja"),2))),IF($F187="Vereinbarte Beträge",IF(L187="Ja",R187,0),"")))</f>
      </c>
      <c r="Z187" s="81" t="str">
        <f>IF(COUNTIF($A187:$S187,"&lt;&gt;")=0,"",IF(OR($D187="",$D187&lt;=0),"Trage einen Betrag größer als null ein.",IF($E187="","Wähle aus, wer bezahlt hat.",IF(COUNTIF($G187:$L187,"Ja")=0,"Wähle mindestens eine beteiligte Person aus.",IF($F187="Gleichmäßig unter Beteiligten","Geprüft",IF($F187="Vereinbarte Beträge",IF(OR(AND(G187="Ja",M187=""),AND(H187="Ja",N187=""),AND(I187="Ja",O187=""),AND(J187="Ja",P187=""),AND(K187="Ja",Q187=""),AND(L187="Ja",R187="")),"Trage die vereinbarten Beträge so ein, dass ihre Summe der Ausgabe entspricht.",IF(ABS(SUM($M187:$R187))&lt;0.005,"Trage die vereinbarten Beträge so ein, dass ihre Summe der Ausgabe entspricht.",IF(SUM($M187:$R187)&lt;$D187-0.005,"Bei der Aufteilung fehlen "&amp;ROUND($D187-SUM($M187:$R187),2)&amp;".",IF(SUM($M187:$R187)&gt;$D187+0.005,"Die Aufteilung übersteigt die Ausgabe um "&amp;ROUND(SUM($M187:$R187)-$D187,2)&amp;".","Geprüft")))),"Trage die vereinbarten Beträge so ein, dass ihre Summe der Ausgabe entspricht."))))))</f>
      </c>
    </row>
    <row r="188">
      <c r="A188" s="83"/>
      <c r="B188" s="57"/>
      <c r="C188" s="57"/>
      <c r="D188" s="85"/>
      <c r="E188" s="57"/>
      <c r="F188" s="57"/>
      <c r="G188" s="57"/>
      <c r="H188" s="57"/>
      <c r="I188" s="57"/>
      <c r="J188" s="57"/>
      <c r="K188" s="57"/>
      <c r="L188" s="57"/>
      <c r="M188" s="85"/>
      <c r="N188" s="85"/>
      <c r="O188" s="85"/>
      <c r="P188" s="85"/>
      <c r="Q188" s="85"/>
      <c r="R188" s="85"/>
      <c r="S188" s="57"/>
      <c r="T188" s="87" t="str">
        <f>IF(COUNTIF($A188:$S188,"&lt;&gt;")=0,"",IF($F188="Gleichmäßig unter Beteiligten",IF(G188&lt;&gt;"Ja",0,IF(COUNTIF($H188:$L188,"Ja")=0,$D188-0,ROUND($D188/COUNTIF($G188:$L188,"Ja"),2))),IF($F188="Vereinbarte Beträge",IF(G188="Ja",M188,0),"")))</f>
      </c>
      <c r="U188" s="87" t="str">
        <f>IF(COUNTIF($A188:$S188,"&lt;&gt;")=0,"",IF($F188="Gleichmäßig unter Beteiligten",IF(H188&lt;&gt;"Ja",0,IF(COUNTIF($I188:$L188,"Ja")=0,$D188-SUM($T188:T188),ROUND($D188/COUNTIF($G188:$L188,"Ja"),2))),IF($F188="Vereinbarte Beträge",IF(H188="Ja",N188,0),"")))</f>
      </c>
      <c r="V188" s="87" t="str">
        <f>IF(COUNTIF($A188:$S188,"&lt;&gt;")=0,"",IF($F188="Gleichmäßig unter Beteiligten",IF(I188&lt;&gt;"Ja",0,IF(COUNTIF($J188:$L188,"Ja")=0,$D188-SUM($T188:U188),ROUND($D188/COUNTIF($G188:$L188,"Ja"),2))),IF($F188="Vereinbarte Beträge",IF(I188="Ja",O188,0),"")))</f>
      </c>
      <c r="W188" s="87" t="str">
        <f>IF(COUNTIF($A188:$S188,"&lt;&gt;")=0,"",IF($F188="Gleichmäßig unter Beteiligten",IF(J188&lt;&gt;"Ja",0,IF(COUNTIF($K188:$L188,"Ja")=0,$D188-SUM($T188:V188),ROUND($D188/COUNTIF($G188:$L188,"Ja"),2))),IF($F188="Vereinbarte Beträge",IF(J188="Ja",P188,0),"")))</f>
      </c>
      <c r="X188" s="87" t="str">
        <f>IF(COUNTIF($A188:$S188,"&lt;&gt;")=0,"",IF($F188="Gleichmäßig unter Beteiligten",IF(K188&lt;&gt;"Ja",0,IF(COUNTIF($L188:$L188,"Ja")=0,$D188-SUM($T188:W188),ROUND($D188/COUNTIF($G188:$L188,"Ja"),2))),IF($F188="Vereinbarte Beträge",IF(K188="Ja",Q188,0),"")))</f>
      </c>
      <c r="Y188" s="87" t="str">
        <f>IF(COUNTIF($A188:$S188,"&lt;&gt;")=0,"",IF($F188="Gleichmäßig unter Beteiligten",IF(L188&lt;&gt;"Ja",0,IF(0=0,$D188-SUM($T188:X188),ROUND($D188/COUNTIF($G188:$L188,"Ja"),2))),IF($F188="Vereinbarte Beträge",IF(L188="Ja",R188,0),"")))</f>
      </c>
      <c r="Z188" s="81" t="str">
        <f>IF(COUNTIF($A188:$S188,"&lt;&gt;")=0,"",IF(OR($D188="",$D188&lt;=0),"Trage einen Betrag größer als null ein.",IF($E188="","Wähle aus, wer bezahlt hat.",IF(COUNTIF($G188:$L188,"Ja")=0,"Wähle mindestens eine beteiligte Person aus.",IF($F188="Gleichmäßig unter Beteiligten","Geprüft",IF($F188="Vereinbarte Beträge",IF(OR(AND(G188="Ja",M188=""),AND(H188="Ja",N188=""),AND(I188="Ja",O188=""),AND(J188="Ja",P188=""),AND(K188="Ja",Q188=""),AND(L188="Ja",R188="")),"Trage die vereinbarten Beträge so ein, dass ihre Summe der Ausgabe entspricht.",IF(ABS(SUM($M188:$R188))&lt;0.005,"Trage die vereinbarten Beträge so ein, dass ihre Summe der Ausgabe entspricht.",IF(SUM($M188:$R188)&lt;$D188-0.005,"Bei der Aufteilung fehlen "&amp;ROUND($D188-SUM($M188:$R188),2)&amp;".",IF(SUM($M188:$R188)&gt;$D188+0.005,"Die Aufteilung übersteigt die Ausgabe um "&amp;ROUND(SUM($M188:$R188)-$D188,2)&amp;".","Geprüft")))),"Trage die vereinbarten Beträge so ein, dass ihre Summe der Ausgabe entspricht."))))))</f>
      </c>
    </row>
    <row r="189">
      <c r="A189" s="83"/>
      <c r="B189" s="57"/>
      <c r="C189" s="57"/>
      <c r="D189" s="85"/>
      <c r="E189" s="57"/>
      <c r="F189" s="57"/>
      <c r="G189" s="57"/>
      <c r="H189" s="57"/>
      <c r="I189" s="57"/>
      <c r="J189" s="57"/>
      <c r="K189" s="57"/>
      <c r="L189" s="57"/>
      <c r="M189" s="85"/>
      <c r="N189" s="85"/>
      <c r="O189" s="85"/>
      <c r="P189" s="85"/>
      <c r="Q189" s="85"/>
      <c r="R189" s="85"/>
      <c r="S189" s="57"/>
      <c r="T189" s="87" t="str">
        <f>IF(COUNTIF($A189:$S189,"&lt;&gt;")=0,"",IF($F189="Gleichmäßig unter Beteiligten",IF(G189&lt;&gt;"Ja",0,IF(COUNTIF($H189:$L189,"Ja")=0,$D189-0,ROUND($D189/COUNTIF($G189:$L189,"Ja"),2))),IF($F189="Vereinbarte Beträge",IF(G189="Ja",M189,0),"")))</f>
      </c>
      <c r="U189" s="87" t="str">
        <f>IF(COUNTIF($A189:$S189,"&lt;&gt;")=0,"",IF($F189="Gleichmäßig unter Beteiligten",IF(H189&lt;&gt;"Ja",0,IF(COUNTIF($I189:$L189,"Ja")=0,$D189-SUM($T189:T189),ROUND($D189/COUNTIF($G189:$L189,"Ja"),2))),IF($F189="Vereinbarte Beträge",IF(H189="Ja",N189,0),"")))</f>
      </c>
      <c r="V189" s="87" t="str">
        <f>IF(COUNTIF($A189:$S189,"&lt;&gt;")=0,"",IF($F189="Gleichmäßig unter Beteiligten",IF(I189&lt;&gt;"Ja",0,IF(COUNTIF($J189:$L189,"Ja")=0,$D189-SUM($T189:U189),ROUND($D189/COUNTIF($G189:$L189,"Ja"),2))),IF($F189="Vereinbarte Beträge",IF(I189="Ja",O189,0),"")))</f>
      </c>
      <c r="W189" s="87" t="str">
        <f>IF(COUNTIF($A189:$S189,"&lt;&gt;")=0,"",IF($F189="Gleichmäßig unter Beteiligten",IF(J189&lt;&gt;"Ja",0,IF(COUNTIF($K189:$L189,"Ja")=0,$D189-SUM($T189:V189),ROUND($D189/COUNTIF($G189:$L189,"Ja"),2))),IF($F189="Vereinbarte Beträge",IF(J189="Ja",P189,0),"")))</f>
      </c>
      <c r="X189" s="87" t="str">
        <f>IF(COUNTIF($A189:$S189,"&lt;&gt;")=0,"",IF($F189="Gleichmäßig unter Beteiligten",IF(K189&lt;&gt;"Ja",0,IF(COUNTIF($L189:$L189,"Ja")=0,$D189-SUM($T189:W189),ROUND($D189/COUNTIF($G189:$L189,"Ja"),2))),IF($F189="Vereinbarte Beträge",IF(K189="Ja",Q189,0),"")))</f>
      </c>
      <c r="Y189" s="87" t="str">
        <f>IF(COUNTIF($A189:$S189,"&lt;&gt;")=0,"",IF($F189="Gleichmäßig unter Beteiligten",IF(L189&lt;&gt;"Ja",0,IF(0=0,$D189-SUM($T189:X189),ROUND($D189/COUNTIF($G189:$L189,"Ja"),2))),IF($F189="Vereinbarte Beträge",IF(L189="Ja",R189,0),"")))</f>
      </c>
      <c r="Z189" s="81" t="str">
        <f>IF(COUNTIF($A189:$S189,"&lt;&gt;")=0,"",IF(OR($D189="",$D189&lt;=0),"Trage einen Betrag größer als null ein.",IF($E189="","Wähle aus, wer bezahlt hat.",IF(COUNTIF($G189:$L189,"Ja")=0,"Wähle mindestens eine beteiligte Person aus.",IF($F189="Gleichmäßig unter Beteiligten","Geprüft",IF($F189="Vereinbarte Beträge",IF(OR(AND(G189="Ja",M189=""),AND(H189="Ja",N189=""),AND(I189="Ja",O189=""),AND(J189="Ja",P189=""),AND(K189="Ja",Q189=""),AND(L189="Ja",R189="")),"Trage die vereinbarten Beträge so ein, dass ihre Summe der Ausgabe entspricht.",IF(ABS(SUM($M189:$R189))&lt;0.005,"Trage die vereinbarten Beträge so ein, dass ihre Summe der Ausgabe entspricht.",IF(SUM($M189:$R189)&lt;$D189-0.005,"Bei der Aufteilung fehlen "&amp;ROUND($D189-SUM($M189:$R189),2)&amp;".",IF(SUM($M189:$R189)&gt;$D189+0.005,"Die Aufteilung übersteigt die Ausgabe um "&amp;ROUND(SUM($M189:$R189)-$D189,2)&amp;".","Geprüft")))),"Trage die vereinbarten Beträge so ein, dass ihre Summe der Ausgabe entspricht."))))))</f>
      </c>
    </row>
    <row r="190">
      <c r="A190" s="83"/>
      <c r="B190" s="57"/>
      <c r="C190" s="57"/>
      <c r="D190" s="85"/>
      <c r="E190" s="57"/>
      <c r="F190" s="57"/>
      <c r="G190" s="57"/>
      <c r="H190" s="57"/>
      <c r="I190" s="57"/>
      <c r="J190" s="57"/>
      <c r="K190" s="57"/>
      <c r="L190" s="57"/>
      <c r="M190" s="85"/>
      <c r="N190" s="85"/>
      <c r="O190" s="85"/>
      <c r="P190" s="85"/>
      <c r="Q190" s="85"/>
      <c r="R190" s="85"/>
      <c r="S190" s="57"/>
      <c r="T190" s="87" t="str">
        <f>IF(COUNTIF($A190:$S190,"&lt;&gt;")=0,"",IF($F190="Gleichmäßig unter Beteiligten",IF(G190&lt;&gt;"Ja",0,IF(COUNTIF($H190:$L190,"Ja")=0,$D190-0,ROUND($D190/COUNTIF($G190:$L190,"Ja"),2))),IF($F190="Vereinbarte Beträge",IF(G190="Ja",M190,0),"")))</f>
      </c>
      <c r="U190" s="87" t="str">
        <f>IF(COUNTIF($A190:$S190,"&lt;&gt;")=0,"",IF($F190="Gleichmäßig unter Beteiligten",IF(H190&lt;&gt;"Ja",0,IF(COUNTIF($I190:$L190,"Ja")=0,$D190-SUM($T190:T190),ROUND($D190/COUNTIF($G190:$L190,"Ja"),2))),IF($F190="Vereinbarte Beträge",IF(H190="Ja",N190,0),"")))</f>
      </c>
      <c r="V190" s="87" t="str">
        <f>IF(COUNTIF($A190:$S190,"&lt;&gt;")=0,"",IF($F190="Gleichmäßig unter Beteiligten",IF(I190&lt;&gt;"Ja",0,IF(COUNTIF($J190:$L190,"Ja")=0,$D190-SUM($T190:U190),ROUND($D190/COUNTIF($G190:$L190,"Ja"),2))),IF($F190="Vereinbarte Beträge",IF(I190="Ja",O190,0),"")))</f>
      </c>
      <c r="W190" s="87" t="str">
        <f>IF(COUNTIF($A190:$S190,"&lt;&gt;")=0,"",IF($F190="Gleichmäßig unter Beteiligten",IF(J190&lt;&gt;"Ja",0,IF(COUNTIF($K190:$L190,"Ja")=0,$D190-SUM($T190:V190),ROUND($D190/COUNTIF($G190:$L190,"Ja"),2))),IF($F190="Vereinbarte Beträge",IF(J190="Ja",P190,0),"")))</f>
      </c>
      <c r="X190" s="87" t="str">
        <f>IF(COUNTIF($A190:$S190,"&lt;&gt;")=0,"",IF($F190="Gleichmäßig unter Beteiligten",IF(K190&lt;&gt;"Ja",0,IF(COUNTIF($L190:$L190,"Ja")=0,$D190-SUM($T190:W190),ROUND($D190/COUNTIF($G190:$L190,"Ja"),2))),IF($F190="Vereinbarte Beträge",IF(K190="Ja",Q190,0),"")))</f>
      </c>
      <c r="Y190" s="87" t="str">
        <f>IF(COUNTIF($A190:$S190,"&lt;&gt;")=0,"",IF($F190="Gleichmäßig unter Beteiligten",IF(L190&lt;&gt;"Ja",0,IF(0=0,$D190-SUM($T190:X190),ROUND($D190/COUNTIF($G190:$L190,"Ja"),2))),IF($F190="Vereinbarte Beträge",IF(L190="Ja",R190,0),"")))</f>
      </c>
      <c r="Z190" s="81" t="str">
        <f>IF(COUNTIF($A190:$S190,"&lt;&gt;")=0,"",IF(OR($D190="",$D190&lt;=0),"Trage einen Betrag größer als null ein.",IF($E190="","Wähle aus, wer bezahlt hat.",IF(COUNTIF($G190:$L190,"Ja")=0,"Wähle mindestens eine beteiligte Person aus.",IF($F190="Gleichmäßig unter Beteiligten","Geprüft",IF($F190="Vereinbarte Beträge",IF(OR(AND(G190="Ja",M190=""),AND(H190="Ja",N190=""),AND(I190="Ja",O190=""),AND(J190="Ja",P190=""),AND(K190="Ja",Q190=""),AND(L190="Ja",R190="")),"Trage die vereinbarten Beträge so ein, dass ihre Summe der Ausgabe entspricht.",IF(ABS(SUM($M190:$R190))&lt;0.005,"Trage die vereinbarten Beträge so ein, dass ihre Summe der Ausgabe entspricht.",IF(SUM($M190:$R190)&lt;$D190-0.005,"Bei der Aufteilung fehlen "&amp;ROUND($D190-SUM($M190:$R190),2)&amp;".",IF(SUM($M190:$R190)&gt;$D190+0.005,"Die Aufteilung übersteigt die Ausgabe um "&amp;ROUND(SUM($M190:$R190)-$D190,2)&amp;".","Geprüft")))),"Trage die vereinbarten Beträge so ein, dass ihre Summe der Ausgabe entspricht."))))))</f>
      </c>
    </row>
    <row r="191">
      <c r="A191" s="83"/>
      <c r="B191" s="57"/>
      <c r="C191" s="57"/>
      <c r="D191" s="85"/>
      <c r="E191" s="57"/>
      <c r="F191" s="57"/>
      <c r="G191" s="57"/>
      <c r="H191" s="57"/>
      <c r="I191" s="57"/>
      <c r="J191" s="57"/>
      <c r="K191" s="57"/>
      <c r="L191" s="57"/>
      <c r="M191" s="85"/>
      <c r="N191" s="85"/>
      <c r="O191" s="85"/>
      <c r="P191" s="85"/>
      <c r="Q191" s="85"/>
      <c r="R191" s="85"/>
      <c r="S191" s="57"/>
      <c r="T191" s="87" t="str">
        <f>IF(COUNTIF($A191:$S191,"&lt;&gt;")=0,"",IF($F191="Gleichmäßig unter Beteiligten",IF(G191&lt;&gt;"Ja",0,IF(COUNTIF($H191:$L191,"Ja")=0,$D191-0,ROUND($D191/COUNTIF($G191:$L191,"Ja"),2))),IF($F191="Vereinbarte Beträge",IF(G191="Ja",M191,0),"")))</f>
      </c>
      <c r="U191" s="87" t="str">
        <f>IF(COUNTIF($A191:$S191,"&lt;&gt;")=0,"",IF($F191="Gleichmäßig unter Beteiligten",IF(H191&lt;&gt;"Ja",0,IF(COUNTIF($I191:$L191,"Ja")=0,$D191-SUM($T191:T191),ROUND($D191/COUNTIF($G191:$L191,"Ja"),2))),IF($F191="Vereinbarte Beträge",IF(H191="Ja",N191,0),"")))</f>
      </c>
      <c r="V191" s="87" t="str">
        <f>IF(COUNTIF($A191:$S191,"&lt;&gt;")=0,"",IF($F191="Gleichmäßig unter Beteiligten",IF(I191&lt;&gt;"Ja",0,IF(COUNTIF($J191:$L191,"Ja")=0,$D191-SUM($T191:U191),ROUND($D191/COUNTIF($G191:$L191,"Ja"),2))),IF($F191="Vereinbarte Beträge",IF(I191="Ja",O191,0),"")))</f>
      </c>
      <c r="W191" s="87" t="str">
        <f>IF(COUNTIF($A191:$S191,"&lt;&gt;")=0,"",IF($F191="Gleichmäßig unter Beteiligten",IF(J191&lt;&gt;"Ja",0,IF(COUNTIF($K191:$L191,"Ja")=0,$D191-SUM($T191:V191),ROUND($D191/COUNTIF($G191:$L191,"Ja"),2))),IF($F191="Vereinbarte Beträge",IF(J191="Ja",P191,0),"")))</f>
      </c>
      <c r="X191" s="87" t="str">
        <f>IF(COUNTIF($A191:$S191,"&lt;&gt;")=0,"",IF($F191="Gleichmäßig unter Beteiligten",IF(K191&lt;&gt;"Ja",0,IF(COUNTIF($L191:$L191,"Ja")=0,$D191-SUM($T191:W191),ROUND($D191/COUNTIF($G191:$L191,"Ja"),2))),IF($F191="Vereinbarte Beträge",IF(K191="Ja",Q191,0),"")))</f>
      </c>
      <c r="Y191" s="87" t="str">
        <f>IF(COUNTIF($A191:$S191,"&lt;&gt;")=0,"",IF($F191="Gleichmäßig unter Beteiligten",IF(L191&lt;&gt;"Ja",0,IF(0=0,$D191-SUM($T191:X191),ROUND($D191/COUNTIF($G191:$L191,"Ja"),2))),IF($F191="Vereinbarte Beträge",IF(L191="Ja",R191,0),"")))</f>
      </c>
      <c r="Z191" s="81" t="str">
        <f>IF(COUNTIF($A191:$S191,"&lt;&gt;")=0,"",IF(OR($D191="",$D191&lt;=0),"Trage einen Betrag größer als null ein.",IF($E191="","Wähle aus, wer bezahlt hat.",IF(COUNTIF($G191:$L191,"Ja")=0,"Wähle mindestens eine beteiligte Person aus.",IF($F191="Gleichmäßig unter Beteiligten","Geprüft",IF($F191="Vereinbarte Beträge",IF(OR(AND(G191="Ja",M191=""),AND(H191="Ja",N191=""),AND(I191="Ja",O191=""),AND(J191="Ja",P191=""),AND(K191="Ja",Q191=""),AND(L191="Ja",R191="")),"Trage die vereinbarten Beträge so ein, dass ihre Summe der Ausgabe entspricht.",IF(ABS(SUM($M191:$R191))&lt;0.005,"Trage die vereinbarten Beträge so ein, dass ihre Summe der Ausgabe entspricht.",IF(SUM($M191:$R191)&lt;$D191-0.005,"Bei der Aufteilung fehlen "&amp;ROUND($D191-SUM($M191:$R191),2)&amp;".",IF(SUM($M191:$R191)&gt;$D191+0.005,"Die Aufteilung übersteigt die Ausgabe um "&amp;ROUND(SUM($M191:$R191)-$D191,2)&amp;".","Geprüft")))),"Trage die vereinbarten Beträge so ein, dass ihre Summe der Ausgabe entspricht."))))))</f>
      </c>
    </row>
    <row r="192">
      <c r="A192" s="83"/>
      <c r="B192" s="57"/>
      <c r="C192" s="57"/>
      <c r="D192" s="85"/>
      <c r="E192" s="57"/>
      <c r="F192" s="57"/>
      <c r="G192" s="57"/>
      <c r="H192" s="57"/>
      <c r="I192" s="57"/>
      <c r="J192" s="57"/>
      <c r="K192" s="57"/>
      <c r="L192" s="57"/>
      <c r="M192" s="85"/>
      <c r="N192" s="85"/>
      <c r="O192" s="85"/>
      <c r="P192" s="85"/>
      <c r="Q192" s="85"/>
      <c r="R192" s="85"/>
      <c r="S192" s="57"/>
      <c r="T192" s="87" t="str">
        <f>IF(COUNTIF($A192:$S192,"&lt;&gt;")=0,"",IF($F192="Gleichmäßig unter Beteiligten",IF(G192&lt;&gt;"Ja",0,IF(COUNTIF($H192:$L192,"Ja")=0,$D192-0,ROUND($D192/COUNTIF($G192:$L192,"Ja"),2))),IF($F192="Vereinbarte Beträge",IF(G192="Ja",M192,0),"")))</f>
      </c>
      <c r="U192" s="87" t="str">
        <f>IF(COUNTIF($A192:$S192,"&lt;&gt;")=0,"",IF($F192="Gleichmäßig unter Beteiligten",IF(H192&lt;&gt;"Ja",0,IF(COUNTIF($I192:$L192,"Ja")=0,$D192-SUM($T192:T192),ROUND($D192/COUNTIF($G192:$L192,"Ja"),2))),IF($F192="Vereinbarte Beträge",IF(H192="Ja",N192,0),"")))</f>
      </c>
      <c r="V192" s="87" t="str">
        <f>IF(COUNTIF($A192:$S192,"&lt;&gt;")=0,"",IF($F192="Gleichmäßig unter Beteiligten",IF(I192&lt;&gt;"Ja",0,IF(COUNTIF($J192:$L192,"Ja")=0,$D192-SUM($T192:U192),ROUND($D192/COUNTIF($G192:$L192,"Ja"),2))),IF($F192="Vereinbarte Beträge",IF(I192="Ja",O192,0),"")))</f>
      </c>
      <c r="W192" s="87" t="str">
        <f>IF(COUNTIF($A192:$S192,"&lt;&gt;")=0,"",IF($F192="Gleichmäßig unter Beteiligten",IF(J192&lt;&gt;"Ja",0,IF(COUNTIF($K192:$L192,"Ja")=0,$D192-SUM($T192:V192),ROUND($D192/COUNTIF($G192:$L192,"Ja"),2))),IF($F192="Vereinbarte Beträge",IF(J192="Ja",P192,0),"")))</f>
      </c>
      <c r="X192" s="87" t="str">
        <f>IF(COUNTIF($A192:$S192,"&lt;&gt;")=0,"",IF($F192="Gleichmäßig unter Beteiligten",IF(K192&lt;&gt;"Ja",0,IF(COUNTIF($L192:$L192,"Ja")=0,$D192-SUM($T192:W192),ROUND($D192/COUNTIF($G192:$L192,"Ja"),2))),IF($F192="Vereinbarte Beträge",IF(K192="Ja",Q192,0),"")))</f>
      </c>
      <c r="Y192" s="87" t="str">
        <f>IF(COUNTIF($A192:$S192,"&lt;&gt;")=0,"",IF($F192="Gleichmäßig unter Beteiligten",IF(L192&lt;&gt;"Ja",0,IF(0=0,$D192-SUM($T192:X192),ROUND($D192/COUNTIF($G192:$L192,"Ja"),2))),IF($F192="Vereinbarte Beträge",IF(L192="Ja",R192,0),"")))</f>
      </c>
      <c r="Z192" s="81" t="str">
        <f>IF(COUNTIF($A192:$S192,"&lt;&gt;")=0,"",IF(OR($D192="",$D192&lt;=0),"Trage einen Betrag größer als null ein.",IF($E192="","Wähle aus, wer bezahlt hat.",IF(COUNTIF($G192:$L192,"Ja")=0,"Wähle mindestens eine beteiligte Person aus.",IF($F192="Gleichmäßig unter Beteiligten","Geprüft",IF($F192="Vereinbarte Beträge",IF(OR(AND(G192="Ja",M192=""),AND(H192="Ja",N192=""),AND(I192="Ja",O192=""),AND(J192="Ja",P192=""),AND(K192="Ja",Q192=""),AND(L192="Ja",R192="")),"Trage die vereinbarten Beträge so ein, dass ihre Summe der Ausgabe entspricht.",IF(ABS(SUM($M192:$R192))&lt;0.005,"Trage die vereinbarten Beträge so ein, dass ihre Summe der Ausgabe entspricht.",IF(SUM($M192:$R192)&lt;$D192-0.005,"Bei der Aufteilung fehlen "&amp;ROUND($D192-SUM($M192:$R192),2)&amp;".",IF(SUM($M192:$R192)&gt;$D192+0.005,"Die Aufteilung übersteigt die Ausgabe um "&amp;ROUND(SUM($M192:$R192)-$D192,2)&amp;".","Geprüft")))),"Trage die vereinbarten Beträge so ein, dass ihre Summe der Ausgabe entspricht."))))))</f>
      </c>
    </row>
    <row r="193">
      <c r="A193" s="83"/>
      <c r="B193" s="57"/>
      <c r="C193" s="57"/>
      <c r="D193" s="85"/>
      <c r="E193" s="57"/>
      <c r="F193" s="57"/>
      <c r="G193" s="57"/>
      <c r="H193" s="57"/>
      <c r="I193" s="57"/>
      <c r="J193" s="57"/>
      <c r="K193" s="57"/>
      <c r="L193" s="57"/>
      <c r="M193" s="85"/>
      <c r="N193" s="85"/>
      <c r="O193" s="85"/>
      <c r="P193" s="85"/>
      <c r="Q193" s="85"/>
      <c r="R193" s="85"/>
      <c r="S193" s="57"/>
      <c r="T193" s="87" t="str">
        <f>IF(COUNTIF($A193:$S193,"&lt;&gt;")=0,"",IF($F193="Gleichmäßig unter Beteiligten",IF(G193&lt;&gt;"Ja",0,IF(COUNTIF($H193:$L193,"Ja")=0,$D193-0,ROUND($D193/COUNTIF($G193:$L193,"Ja"),2))),IF($F193="Vereinbarte Beträge",IF(G193="Ja",M193,0),"")))</f>
      </c>
      <c r="U193" s="87" t="str">
        <f>IF(COUNTIF($A193:$S193,"&lt;&gt;")=0,"",IF($F193="Gleichmäßig unter Beteiligten",IF(H193&lt;&gt;"Ja",0,IF(COUNTIF($I193:$L193,"Ja")=0,$D193-SUM($T193:T193),ROUND($D193/COUNTIF($G193:$L193,"Ja"),2))),IF($F193="Vereinbarte Beträge",IF(H193="Ja",N193,0),"")))</f>
      </c>
      <c r="V193" s="87" t="str">
        <f>IF(COUNTIF($A193:$S193,"&lt;&gt;")=0,"",IF($F193="Gleichmäßig unter Beteiligten",IF(I193&lt;&gt;"Ja",0,IF(COUNTIF($J193:$L193,"Ja")=0,$D193-SUM($T193:U193),ROUND($D193/COUNTIF($G193:$L193,"Ja"),2))),IF($F193="Vereinbarte Beträge",IF(I193="Ja",O193,0),"")))</f>
      </c>
      <c r="W193" s="87" t="str">
        <f>IF(COUNTIF($A193:$S193,"&lt;&gt;")=0,"",IF($F193="Gleichmäßig unter Beteiligten",IF(J193&lt;&gt;"Ja",0,IF(COUNTIF($K193:$L193,"Ja")=0,$D193-SUM($T193:V193),ROUND($D193/COUNTIF($G193:$L193,"Ja"),2))),IF($F193="Vereinbarte Beträge",IF(J193="Ja",P193,0),"")))</f>
      </c>
      <c r="X193" s="87" t="str">
        <f>IF(COUNTIF($A193:$S193,"&lt;&gt;")=0,"",IF($F193="Gleichmäßig unter Beteiligten",IF(K193&lt;&gt;"Ja",0,IF(COUNTIF($L193:$L193,"Ja")=0,$D193-SUM($T193:W193),ROUND($D193/COUNTIF($G193:$L193,"Ja"),2))),IF($F193="Vereinbarte Beträge",IF(K193="Ja",Q193,0),"")))</f>
      </c>
      <c r="Y193" s="87" t="str">
        <f>IF(COUNTIF($A193:$S193,"&lt;&gt;")=0,"",IF($F193="Gleichmäßig unter Beteiligten",IF(L193&lt;&gt;"Ja",0,IF(0=0,$D193-SUM($T193:X193),ROUND($D193/COUNTIF($G193:$L193,"Ja"),2))),IF($F193="Vereinbarte Beträge",IF(L193="Ja",R193,0),"")))</f>
      </c>
      <c r="Z193" s="81" t="str">
        <f>IF(COUNTIF($A193:$S193,"&lt;&gt;")=0,"",IF(OR($D193="",$D193&lt;=0),"Trage einen Betrag größer als null ein.",IF($E193="","Wähle aus, wer bezahlt hat.",IF(COUNTIF($G193:$L193,"Ja")=0,"Wähle mindestens eine beteiligte Person aus.",IF($F193="Gleichmäßig unter Beteiligten","Geprüft",IF($F193="Vereinbarte Beträge",IF(OR(AND(G193="Ja",M193=""),AND(H193="Ja",N193=""),AND(I193="Ja",O193=""),AND(J193="Ja",P193=""),AND(K193="Ja",Q193=""),AND(L193="Ja",R193="")),"Trage die vereinbarten Beträge so ein, dass ihre Summe der Ausgabe entspricht.",IF(ABS(SUM($M193:$R193))&lt;0.005,"Trage die vereinbarten Beträge so ein, dass ihre Summe der Ausgabe entspricht.",IF(SUM($M193:$R193)&lt;$D193-0.005,"Bei der Aufteilung fehlen "&amp;ROUND($D193-SUM($M193:$R193),2)&amp;".",IF(SUM($M193:$R193)&gt;$D193+0.005,"Die Aufteilung übersteigt die Ausgabe um "&amp;ROUND(SUM($M193:$R193)-$D193,2)&amp;".","Geprüft")))),"Trage die vereinbarten Beträge so ein, dass ihre Summe der Ausgabe entspricht."))))))</f>
      </c>
    </row>
    <row r="194">
      <c r="A194" s="83"/>
      <c r="B194" s="57"/>
      <c r="C194" s="57"/>
      <c r="D194" s="85"/>
      <c r="E194" s="57"/>
      <c r="F194" s="57"/>
      <c r="G194" s="57"/>
      <c r="H194" s="57"/>
      <c r="I194" s="57"/>
      <c r="J194" s="57"/>
      <c r="K194" s="57"/>
      <c r="L194" s="57"/>
      <c r="M194" s="85"/>
      <c r="N194" s="85"/>
      <c r="O194" s="85"/>
      <c r="P194" s="85"/>
      <c r="Q194" s="85"/>
      <c r="R194" s="85"/>
      <c r="S194" s="57"/>
      <c r="T194" s="87" t="str">
        <f>IF(COUNTIF($A194:$S194,"&lt;&gt;")=0,"",IF($F194="Gleichmäßig unter Beteiligten",IF(G194&lt;&gt;"Ja",0,IF(COUNTIF($H194:$L194,"Ja")=0,$D194-0,ROUND($D194/COUNTIF($G194:$L194,"Ja"),2))),IF($F194="Vereinbarte Beträge",IF(G194="Ja",M194,0),"")))</f>
      </c>
      <c r="U194" s="87" t="str">
        <f>IF(COUNTIF($A194:$S194,"&lt;&gt;")=0,"",IF($F194="Gleichmäßig unter Beteiligten",IF(H194&lt;&gt;"Ja",0,IF(COUNTIF($I194:$L194,"Ja")=0,$D194-SUM($T194:T194),ROUND($D194/COUNTIF($G194:$L194,"Ja"),2))),IF($F194="Vereinbarte Beträge",IF(H194="Ja",N194,0),"")))</f>
      </c>
      <c r="V194" s="87" t="str">
        <f>IF(COUNTIF($A194:$S194,"&lt;&gt;")=0,"",IF($F194="Gleichmäßig unter Beteiligten",IF(I194&lt;&gt;"Ja",0,IF(COUNTIF($J194:$L194,"Ja")=0,$D194-SUM($T194:U194),ROUND($D194/COUNTIF($G194:$L194,"Ja"),2))),IF($F194="Vereinbarte Beträge",IF(I194="Ja",O194,0),"")))</f>
      </c>
      <c r="W194" s="87" t="str">
        <f>IF(COUNTIF($A194:$S194,"&lt;&gt;")=0,"",IF($F194="Gleichmäßig unter Beteiligten",IF(J194&lt;&gt;"Ja",0,IF(COUNTIF($K194:$L194,"Ja")=0,$D194-SUM($T194:V194),ROUND($D194/COUNTIF($G194:$L194,"Ja"),2))),IF($F194="Vereinbarte Beträge",IF(J194="Ja",P194,0),"")))</f>
      </c>
      <c r="X194" s="87" t="str">
        <f>IF(COUNTIF($A194:$S194,"&lt;&gt;")=0,"",IF($F194="Gleichmäßig unter Beteiligten",IF(K194&lt;&gt;"Ja",0,IF(COUNTIF($L194:$L194,"Ja")=0,$D194-SUM($T194:W194),ROUND($D194/COUNTIF($G194:$L194,"Ja"),2))),IF($F194="Vereinbarte Beträge",IF(K194="Ja",Q194,0),"")))</f>
      </c>
      <c r="Y194" s="87" t="str">
        <f>IF(COUNTIF($A194:$S194,"&lt;&gt;")=0,"",IF($F194="Gleichmäßig unter Beteiligten",IF(L194&lt;&gt;"Ja",0,IF(0=0,$D194-SUM($T194:X194),ROUND($D194/COUNTIF($G194:$L194,"Ja"),2))),IF($F194="Vereinbarte Beträge",IF(L194="Ja",R194,0),"")))</f>
      </c>
      <c r="Z194" s="81" t="str">
        <f>IF(COUNTIF($A194:$S194,"&lt;&gt;")=0,"",IF(OR($D194="",$D194&lt;=0),"Trage einen Betrag größer als null ein.",IF($E194="","Wähle aus, wer bezahlt hat.",IF(COUNTIF($G194:$L194,"Ja")=0,"Wähle mindestens eine beteiligte Person aus.",IF($F194="Gleichmäßig unter Beteiligten","Geprüft",IF($F194="Vereinbarte Beträge",IF(OR(AND(G194="Ja",M194=""),AND(H194="Ja",N194=""),AND(I194="Ja",O194=""),AND(J194="Ja",P194=""),AND(K194="Ja",Q194=""),AND(L194="Ja",R194="")),"Trage die vereinbarten Beträge so ein, dass ihre Summe der Ausgabe entspricht.",IF(ABS(SUM($M194:$R194))&lt;0.005,"Trage die vereinbarten Beträge so ein, dass ihre Summe der Ausgabe entspricht.",IF(SUM($M194:$R194)&lt;$D194-0.005,"Bei der Aufteilung fehlen "&amp;ROUND($D194-SUM($M194:$R194),2)&amp;".",IF(SUM($M194:$R194)&gt;$D194+0.005,"Die Aufteilung übersteigt die Ausgabe um "&amp;ROUND(SUM($M194:$R194)-$D194,2)&amp;".","Geprüft")))),"Trage die vereinbarten Beträge so ein, dass ihre Summe der Ausgabe entspricht."))))))</f>
      </c>
    </row>
    <row r="195">
      <c r="A195" s="83"/>
      <c r="B195" s="57"/>
      <c r="C195" s="57"/>
      <c r="D195" s="85"/>
      <c r="E195" s="57"/>
      <c r="F195" s="57"/>
      <c r="G195" s="57"/>
      <c r="H195" s="57"/>
      <c r="I195" s="57"/>
      <c r="J195" s="57"/>
      <c r="K195" s="57"/>
      <c r="L195" s="57"/>
      <c r="M195" s="85"/>
      <c r="N195" s="85"/>
      <c r="O195" s="85"/>
      <c r="P195" s="85"/>
      <c r="Q195" s="85"/>
      <c r="R195" s="85"/>
      <c r="S195" s="57"/>
      <c r="T195" s="87" t="str">
        <f>IF(COUNTIF($A195:$S195,"&lt;&gt;")=0,"",IF($F195="Gleichmäßig unter Beteiligten",IF(G195&lt;&gt;"Ja",0,IF(COUNTIF($H195:$L195,"Ja")=0,$D195-0,ROUND($D195/COUNTIF($G195:$L195,"Ja"),2))),IF($F195="Vereinbarte Beträge",IF(G195="Ja",M195,0),"")))</f>
      </c>
      <c r="U195" s="87" t="str">
        <f>IF(COUNTIF($A195:$S195,"&lt;&gt;")=0,"",IF($F195="Gleichmäßig unter Beteiligten",IF(H195&lt;&gt;"Ja",0,IF(COUNTIF($I195:$L195,"Ja")=0,$D195-SUM($T195:T195),ROUND($D195/COUNTIF($G195:$L195,"Ja"),2))),IF($F195="Vereinbarte Beträge",IF(H195="Ja",N195,0),"")))</f>
      </c>
      <c r="V195" s="87" t="str">
        <f>IF(COUNTIF($A195:$S195,"&lt;&gt;")=0,"",IF($F195="Gleichmäßig unter Beteiligten",IF(I195&lt;&gt;"Ja",0,IF(COUNTIF($J195:$L195,"Ja")=0,$D195-SUM($T195:U195),ROUND($D195/COUNTIF($G195:$L195,"Ja"),2))),IF($F195="Vereinbarte Beträge",IF(I195="Ja",O195,0),"")))</f>
      </c>
      <c r="W195" s="87" t="str">
        <f>IF(COUNTIF($A195:$S195,"&lt;&gt;")=0,"",IF($F195="Gleichmäßig unter Beteiligten",IF(J195&lt;&gt;"Ja",0,IF(COUNTIF($K195:$L195,"Ja")=0,$D195-SUM($T195:V195),ROUND($D195/COUNTIF($G195:$L195,"Ja"),2))),IF($F195="Vereinbarte Beträge",IF(J195="Ja",P195,0),"")))</f>
      </c>
      <c r="X195" s="87" t="str">
        <f>IF(COUNTIF($A195:$S195,"&lt;&gt;")=0,"",IF($F195="Gleichmäßig unter Beteiligten",IF(K195&lt;&gt;"Ja",0,IF(COUNTIF($L195:$L195,"Ja")=0,$D195-SUM($T195:W195),ROUND($D195/COUNTIF($G195:$L195,"Ja"),2))),IF($F195="Vereinbarte Beträge",IF(K195="Ja",Q195,0),"")))</f>
      </c>
      <c r="Y195" s="87" t="str">
        <f>IF(COUNTIF($A195:$S195,"&lt;&gt;")=0,"",IF($F195="Gleichmäßig unter Beteiligten",IF(L195&lt;&gt;"Ja",0,IF(0=0,$D195-SUM($T195:X195),ROUND($D195/COUNTIF($G195:$L195,"Ja"),2))),IF($F195="Vereinbarte Beträge",IF(L195="Ja",R195,0),"")))</f>
      </c>
      <c r="Z195" s="81" t="str">
        <f>IF(COUNTIF($A195:$S195,"&lt;&gt;")=0,"",IF(OR($D195="",$D195&lt;=0),"Trage einen Betrag größer als null ein.",IF($E195="","Wähle aus, wer bezahlt hat.",IF(COUNTIF($G195:$L195,"Ja")=0,"Wähle mindestens eine beteiligte Person aus.",IF($F195="Gleichmäßig unter Beteiligten","Geprüft",IF($F195="Vereinbarte Beträge",IF(OR(AND(G195="Ja",M195=""),AND(H195="Ja",N195=""),AND(I195="Ja",O195=""),AND(J195="Ja",P195=""),AND(K195="Ja",Q195=""),AND(L195="Ja",R195="")),"Trage die vereinbarten Beträge so ein, dass ihre Summe der Ausgabe entspricht.",IF(ABS(SUM($M195:$R195))&lt;0.005,"Trage die vereinbarten Beträge so ein, dass ihre Summe der Ausgabe entspricht.",IF(SUM($M195:$R195)&lt;$D195-0.005,"Bei der Aufteilung fehlen "&amp;ROUND($D195-SUM($M195:$R195),2)&amp;".",IF(SUM($M195:$R195)&gt;$D195+0.005,"Die Aufteilung übersteigt die Ausgabe um "&amp;ROUND(SUM($M195:$R195)-$D195,2)&amp;".","Geprüft")))),"Trage die vereinbarten Beträge so ein, dass ihre Summe der Ausgabe entspricht."))))))</f>
      </c>
    </row>
    <row r="196">
      <c r="A196" s="83"/>
      <c r="B196" s="57"/>
      <c r="C196" s="57"/>
      <c r="D196" s="85"/>
      <c r="E196" s="57"/>
      <c r="F196" s="57"/>
      <c r="G196" s="57"/>
      <c r="H196" s="57"/>
      <c r="I196" s="57"/>
      <c r="J196" s="57"/>
      <c r="K196" s="57"/>
      <c r="L196" s="57"/>
      <c r="M196" s="85"/>
      <c r="N196" s="85"/>
      <c r="O196" s="85"/>
      <c r="P196" s="85"/>
      <c r="Q196" s="85"/>
      <c r="R196" s="85"/>
      <c r="S196" s="57"/>
      <c r="T196" s="87" t="str">
        <f>IF(COUNTIF($A196:$S196,"&lt;&gt;")=0,"",IF($F196="Gleichmäßig unter Beteiligten",IF(G196&lt;&gt;"Ja",0,IF(COUNTIF($H196:$L196,"Ja")=0,$D196-0,ROUND($D196/COUNTIF($G196:$L196,"Ja"),2))),IF($F196="Vereinbarte Beträge",IF(G196="Ja",M196,0),"")))</f>
      </c>
      <c r="U196" s="87" t="str">
        <f>IF(COUNTIF($A196:$S196,"&lt;&gt;")=0,"",IF($F196="Gleichmäßig unter Beteiligten",IF(H196&lt;&gt;"Ja",0,IF(COUNTIF($I196:$L196,"Ja")=0,$D196-SUM($T196:T196),ROUND($D196/COUNTIF($G196:$L196,"Ja"),2))),IF($F196="Vereinbarte Beträge",IF(H196="Ja",N196,0),"")))</f>
      </c>
      <c r="V196" s="87" t="str">
        <f>IF(COUNTIF($A196:$S196,"&lt;&gt;")=0,"",IF($F196="Gleichmäßig unter Beteiligten",IF(I196&lt;&gt;"Ja",0,IF(COUNTIF($J196:$L196,"Ja")=0,$D196-SUM($T196:U196),ROUND($D196/COUNTIF($G196:$L196,"Ja"),2))),IF($F196="Vereinbarte Beträge",IF(I196="Ja",O196,0),"")))</f>
      </c>
      <c r="W196" s="87" t="str">
        <f>IF(COUNTIF($A196:$S196,"&lt;&gt;")=0,"",IF($F196="Gleichmäßig unter Beteiligten",IF(J196&lt;&gt;"Ja",0,IF(COUNTIF($K196:$L196,"Ja")=0,$D196-SUM($T196:V196),ROUND($D196/COUNTIF($G196:$L196,"Ja"),2))),IF($F196="Vereinbarte Beträge",IF(J196="Ja",P196,0),"")))</f>
      </c>
      <c r="X196" s="87" t="str">
        <f>IF(COUNTIF($A196:$S196,"&lt;&gt;")=0,"",IF($F196="Gleichmäßig unter Beteiligten",IF(K196&lt;&gt;"Ja",0,IF(COUNTIF($L196:$L196,"Ja")=0,$D196-SUM($T196:W196),ROUND($D196/COUNTIF($G196:$L196,"Ja"),2))),IF($F196="Vereinbarte Beträge",IF(K196="Ja",Q196,0),"")))</f>
      </c>
      <c r="Y196" s="87" t="str">
        <f>IF(COUNTIF($A196:$S196,"&lt;&gt;")=0,"",IF($F196="Gleichmäßig unter Beteiligten",IF(L196&lt;&gt;"Ja",0,IF(0=0,$D196-SUM($T196:X196),ROUND($D196/COUNTIF($G196:$L196,"Ja"),2))),IF($F196="Vereinbarte Beträge",IF(L196="Ja",R196,0),"")))</f>
      </c>
      <c r="Z196" s="81" t="str">
        <f>IF(COUNTIF($A196:$S196,"&lt;&gt;")=0,"",IF(OR($D196="",$D196&lt;=0),"Trage einen Betrag größer als null ein.",IF($E196="","Wähle aus, wer bezahlt hat.",IF(COUNTIF($G196:$L196,"Ja")=0,"Wähle mindestens eine beteiligte Person aus.",IF($F196="Gleichmäßig unter Beteiligten","Geprüft",IF($F196="Vereinbarte Beträge",IF(OR(AND(G196="Ja",M196=""),AND(H196="Ja",N196=""),AND(I196="Ja",O196=""),AND(J196="Ja",P196=""),AND(K196="Ja",Q196=""),AND(L196="Ja",R196="")),"Trage die vereinbarten Beträge so ein, dass ihre Summe der Ausgabe entspricht.",IF(ABS(SUM($M196:$R196))&lt;0.005,"Trage die vereinbarten Beträge so ein, dass ihre Summe der Ausgabe entspricht.",IF(SUM($M196:$R196)&lt;$D196-0.005,"Bei der Aufteilung fehlen "&amp;ROUND($D196-SUM($M196:$R196),2)&amp;".",IF(SUM($M196:$R196)&gt;$D196+0.005,"Die Aufteilung übersteigt die Ausgabe um "&amp;ROUND(SUM($M196:$R196)-$D196,2)&amp;".","Geprüft")))),"Trage die vereinbarten Beträge so ein, dass ihre Summe der Ausgabe entspricht."))))))</f>
      </c>
    </row>
    <row r="197">
      <c r="A197" s="83"/>
      <c r="B197" s="57"/>
      <c r="C197" s="57"/>
      <c r="D197" s="85"/>
      <c r="E197" s="57"/>
      <c r="F197" s="57"/>
      <c r="G197" s="57"/>
      <c r="H197" s="57"/>
      <c r="I197" s="57"/>
      <c r="J197" s="57"/>
      <c r="K197" s="57"/>
      <c r="L197" s="57"/>
      <c r="M197" s="85"/>
      <c r="N197" s="85"/>
      <c r="O197" s="85"/>
      <c r="P197" s="85"/>
      <c r="Q197" s="85"/>
      <c r="R197" s="85"/>
      <c r="S197" s="57"/>
      <c r="T197" s="87" t="str">
        <f>IF(COUNTIF($A197:$S197,"&lt;&gt;")=0,"",IF($F197="Gleichmäßig unter Beteiligten",IF(G197&lt;&gt;"Ja",0,IF(COUNTIF($H197:$L197,"Ja")=0,$D197-0,ROUND($D197/COUNTIF($G197:$L197,"Ja"),2))),IF($F197="Vereinbarte Beträge",IF(G197="Ja",M197,0),"")))</f>
      </c>
      <c r="U197" s="87" t="str">
        <f>IF(COUNTIF($A197:$S197,"&lt;&gt;")=0,"",IF($F197="Gleichmäßig unter Beteiligten",IF(H197&lt;&gt;"Ja",0,IF(COUNTIF($I197:$L197,"Ja")=0,$D197-SUM($T197:T197),ROUND($D197/COUNTIF($G197:$L197,"Ja"),2))),IF($F197="Vereinbarte Beträge",IF(H197="Ja",N197,0),"")))</f>
      </c>
      <c r="V197" s="87" t="str">
        <f>IF(COUNTIF($A197:$S197,"&lt;&gt;")=0,"",IF($F197="Gleichmäßig unter Beteiligten",IF(I197&lt;&gt;"Ja",0,IF(COUNTIF($J197:$L197,"Ja")=0,$D197-SUM($T197:U197),ROUND($D197/COUNTIF($G197:$L197,"Ja"),2))),IF($F197="Vereinbarte Beträge",IF(I197="Ja",O197,0),"")))</f>
      </c>
      <c r="W197" s="87" t="str">
        <f>IF(COUNTIF($A197:$S197,"&lt;&gt;")=0,"",IF($F197="Gleichmäßig unter Beteiligten",IF(J197&lt;&gt;"Ja",0,IF(COUNTIF($K197:$L197,"Ja")=0,$D197-SUM($T197:V197),ROUND($D197/COUNTIF($G197:$L197,"Ja"),2))),IF($F197="Vereinbarte Beträge",IF(J197="Ja",P197,0),"")))</f>
      </c>
      <c r="X197" s="87" t="str">
        <f>IF(COUNTIF($A197:$S197,"&lt;&gt;")=0,"",IF($F197="Gleichmäßig unter Beteiligten",IF(K197&lt;&gt;"Ja",0,IF(COUNTIF($L197:$L197,"Ja")=0,$D197-SUM($T197:W197),ROUND($D197/COUNTIF($G197:$L197,"Ja"),2))),IF($F197="Vereinbarte Beträge",IF(K197="Ja",Q197,0),"")))</f>
      </c>
      <c r="Y197" s="87" t="str">
        <f>IF(COUNTIF($A197:$S197,"&lt;&gt;")=0,"",IF($F197="Gleichmäßig unter Beteiligten",IF(L197&lt;&gt;"Ja",0,IF(0=0,$D197-SUM($T197:X197),ROUND($D197/COUNTIF($G197:$L197,"Ja"),2))),IF($F197="Vereinbarte Beträge",IF(L197="Ja",R197,0),"")))</f>
      </c>
      <c r="Z197" s="81" t="str">
        <f>IF(COUNTIF($A197:$S197,"&lt;&gt;")=0,"",IF(OR($D197="",$D197&lt;=0),"Trage einen Betrag größer als null ein.",IF($E197="","Wähle aus, wer bezahlt hat.",IF(COUNTIF($G197:$L197,"Ja")=0,"Wähle mindestens eine beteiligte Person aus.",IF($F197="Gleichmäßig unter Beteiligten","Geprüft",IF($F197="Vereinbarte Beträge",IF(OR(AND(G197="Ja",M197=""),AND(H197="Ja",N197=""),AND(I197="Ja",O197=""),AND(J197="Ja",P197=""),AND(K197="Ja",Q197=""),AND(L197="Ja",R197="")),"Trage die vereinbarten Beträge so ein, dass ihre Summe der Ausgabe entspricht.",IF(ABS(SUM($M197:$R197))&lt;0.005,"Trage die vereinbarten Beträge so ein, dass ihre Summe der Ausgabe entspricht.",IF(SUM($M197:$R197)&lt;$D197-0.005,"Bei der Aufteilung fehlen "&amp;ROUND($D197-SUM($M197:$R197),2)&amp;".",IF(SUM($M197:$R197)&gt;$D197+0.005,"Die Aufteilung übersteigt die Ausgabe um "&amp;ROUND(SUM($M197:$R197)-$D197,2)&amp;".","Geprüft")))),"Trage die vereinbarten Beträge so ein, dass ihre Summe der Ausgabe entspricht."))))))</f>
      </c>
    </row>
    <row r="198">
      <c r="A198" s="83"/>
      <c r="B198" s="57"/>
      <c r="C198" s="57"/>
      <c r="D198" s="85"/>
      <c r="E198" s="57"/>
      <c r="F198" s="57"/>
      <c r="G198" s="57"/>
      <c r="H198" s="57"/>
      <c r="I198" s="57"/>
      <c r="J198" s="57"/>
      <c r="K198" s="57"/>
      <c r="L198" s="57"/>
      <c r="M198" s="85"/>
      <c r="N198" s="85"/>
      <c r="O198" s="85"/>
      <c r="P198" s="85"/>
      <c r="Q198" s="85"/>
      <c r="R198" s="85"/>
      <c r="S198" s="57"/>
      <c r="T198" s="87" t="str">
        <f>IF(COUNTIF($A198:$S198,"&lt;&gt;")=0,"",IF($F198="Gleichmäßig unter Beteiligten",IF(G198&lt;&gt;"Ja",0,IF(COUNTIF($H198:$L198,"Ja")=0,$D198-0,ROUND($D198/COUNTIF($G198:$L198,"Ja"),2))),IF($F198="Vereinbarte Beträge",IF(G198="Ja",M198,0),"")))</f>
      </c>
      <c r="U198" s="87" t="str">
        <f>IF(COUNTIF($A198:$S198,"&lt;&gt;")=0,"",IF($F198="Gleichmäßig unter Beteiligten",IF(H198&lt;&gt;"Ja",0,IF(COUNTIF($I198:$L198,"Ja")=0,$D198-SUM($T198:T198),ROUND($D198/COUNTIF($G198:$L198,"Ja"),2))),IF($F198="Vereinbarte Beträge",IF(H198="Ja",N198,0),"")))</f>
      </c>
      <c r="V198" s="87" t="str">
        <f>IF(COUNTIF($A198:$S198,"&lt;&gt;")=0,"",IF($F198="Gleichmäßig unter Beteiligten",IF(I198&lt;&gt;"Ja",0,IF(COUNTIF($J198:$L198,"Ja")=0,$D198-SUM($T198:U198),ROUND($D198/COUNTIF($G198:$L198,"Ja"),2))),IF($F198="Vereinbarte Beträge",IF(I198="Ja",O198,0),"")))</f>
      </c>
      <c r="W198" s="87" t="str">
        <f>IF(COUNTIF($A198:$S198,"&lt;&gt;")=0,"",IF($F198="Gleichmäßig unter Beteiligten",IF(J198&lt;&gt;"Ja",0,IF(COUNTIF($K198:$L198,"Ja")=0,$D198-SUM($T198:V198),ROUND($D198/COUNTIF($G198:$L198,"Ja"),2))),IF($F198="Vereinbarte Beträge",IF(J198="Ja",P198,0),"")))</f>
      </c>
      <c r="X198" s="87" t="str">
        <f>IF(COUNTIF($A198:$S198,"&lt;&gt;")=0,"",IF($F198="Gleichmäßig unter Beteiligten",IF(K198&lt;&gt;"Ja",0,IF(COUNTIF($L198:$L198,"Ja")=0,$D198-SUM($T198:W198),ROUND($D198/COUNTIF($G198:$L198,"Ja"),2))),IF($F198="Vereinbarte Beträge",IF(K198="Ja",Q198,0),"")))</f>
      </c>
      <c r="Y198" s="87" t="str">
        <f>IF(COUNTIF($A198:$S198,"&lt;&gt;")=0,"",IF($F198="Gleichmäßig unter Beteiligten",IF(L198&lt;&gt;"Ja",0,IF(0=0,$D198-SUM($T198:X198),ROUND($D198/COUNTIF($G198:$L198,"Ja"),2))),IF($F198="Vereinbarte Beträge",IF(L198="Ja",R198,0),"")))</f>
      </c>
      <c r="Z198" s="81" t="str">
        <f>IF(COUNTIF($A198:$S198,"&lt;&gt;")=0,"",IF(OR($D198="",$D198&lt;=0),"Trage einen Betrag größer als null ein.",IF($E198="","Wähle aus, wer bezahlt hat.",IF(COUNTIF($G198:$L198,"Ja")=0,"Wähle mindestens eine beteiligte Person aus.",IF($F198="Gleichmäßig unter Beteiligten","Geprüft",IF($F198="Vereinbarte Beträge",IF(OR(AND(G198="Ja",M198=""),AND(H198="Ja",N198=""),AND(I198="Ja",O198=""),AND(J198="Ja",P198=""),AND(K198="Ja",Q198=""),AND(L198="Ja",R198="")),"Trage die vereinbarten Beträge so ein, dass ihre Summe der Ausgabe entspricht.",IF(ABS(SUM($M198:$R198))&lt;0.005,"Trage die vereinbarten Beträge so ein, dass ihre Summe der Ausgabe entspricht.",IF(SUM($M198:$R198)&lt;$D198-0.005,"Bei der Aufteilung fehlen "&amp;ROUND($D198-SUM($M198:$R198),2)&amp;".",IF(SUM($M198:$R198)&gt;$D198+0.005,"Die Aufteilung übersteigt die Ausgabe um "&amp;ROUND(SUM($M198:$R198)-$D198,2)&amp;".","Geprüft")))),"Trage die vereinbarten Beträge so ein, dass ihre Summe der Ausgabe entspricht."))))))</f>
      </c>
    </row>
    <row r="199">
      <c r="A199" s="83"/>
      <c r="B199" s="57"/>
      <c r="C199" s="57"/>
      <c r="D199" s="85"/>
      <c r="E199" s="57"/>
      <c r="F199" s="57"/>
      <c r="G199" s="57"/>
      <c r="H199" s="57"/>
      <c r="I199" s="57"/>
      <c r="J199" s="57"/>
      <c r="K199" s="57"/>
      <c r="L199" s="57"/>
      <c r="M199" s="85"/>
      <c r="N199" s="85"/>
      <c r="O199" s="85"/>
      <c r="P199" s="85"/>
      <c r="Q199" s="85"/>
      <c r="R199" s="85"/>
      <c r="S199" s="57"/>
      <c r="T199" s="87" t="str">
        <f>IF(COUNTIF($A199:$S199,"&lt;&gt;")=0,"",IF($F199="Gleichmäßig unter Beteiligten",IF(G199&lt;&gt;"Ja",0,IF(COUNTIF($H199:$L199,"Ja")=0,$D199-0,ROUND($D199/COUNTIF($G199:$L199,"Ja"),2))),IF($F199="Vereinbarte Beträge",IF(G199="Ja",M199,0),"")))</f>
      </c>
      <c r="U199" s="87" t="str">
        <f>IF(COUNTIF($A199:$S199,"&lt;&gt;")=0,"",IF($F199="Gleichmäßig unter Beteiligten",IF(H199&lt;&gt;"Ja",0,IF(COUNTIF($I199:$L199,"Ja")=0,$D199-SUM($T199:T199),ROUND($D199/COUNTIF($G199:$L199,"Ja"),2))),IF($F199="Vereinbarte Beträge",IF(H199="Ja",N199,0),"")))</f>
      </c>
      <c r="V199" s="87" t="str">
        <f>IF(COUNTIF($A199:$S199,"&lt;&gt;")=0,"",IF($F199="Gleichmäßig unter Beteiligten",IF(I199&lt;&gt;"Ja",0,IF(COUNTIF($J199:$L199,"Ja")=0,$D199-SUM($T199:U199),ROUND($D199/COUNTIF($G199:$L199,"Ja"),2))),IF($F199="Vereinbarte Beträge",IF(I199="Ja",O199,0),"")))</f>
      </c>
      <c r="W199" s="87" t="str">
        <f>IF(COUNTIF($A199:$S199,"&lt;&gt;")=0,"",IF($F199="Gleichmäßig unter Beteiligten",IF(J199&lt;&gt;"Ja",0,IF(COUNTIF($K199:$L199,"Ja")=0,$D199-SUM($T199:V199),ROUND($D199/COUNTIF($G199:$L199,"Ja"),2))),IF($F199="Vereinbarte Beträge",IF(J199="Ja",P199,0),"")))</f>
      </c>
      <c r="X199" s="87" t="str">
        <f>IF(COUNTIF($A199:$S199,"&lt;&gt;")=0,"",IF($F199="Gleichmäßig unter Beteiligten",IF(K199&lt;&gt;"Ja",0,IF(COUNTIF($L199:$L199,"Ja")=0,$D199-SUM($T199:W199),ROUND($D199/COUNTIF($G199:$L199,"Ja"),2))),IF($F199="Vereinbarte Beträge",IF(K199="Ja",Q199,0),"")))</f>
      </c>
      <c r="Y199" s="87" t="str">
        <f>IF(COUNTIF($A199:$S199,"&lt;&gt;")=0,"",IF($F199="Gleichmäßig unter Beteiligten",IF(L199&lt;&gt;"Ja",0,IF(0=0,$D199-SUM($T199:X199),ROUND($D199/COUNTIF($G199:$L199,"Ja"),2))),IF($F199="Vereinbarte Beträge",IF(L199="Ja",R199,0),"")))</f>
      </c>
      <c r="Z199" s="81" t="str">
        <f>IF(COUNTIF($A199:$S199,"&lt;&gt;")=0,"",IF(OR($D199="",$D199&lt;=0),"Trage einen Betrag größer als null ein.",IF($E199="","Wähle aus, wer bezahlt hat.",IF(COUNTIF($G199:$L199,"Ja")=0,"Wähle mindestens eine beteiligte Person aus.",IF($F199="Gleichmäßig unter Beteiligten","Geprüft",IF($F199="Vereinbarte Beträge",IF(OR(AND(G199="Ja",M199=""),AND(H199="Ja",N199=""),AND(I199="Ja",O199=""),AND(J199="Ja",P199=""),AND(K199="Ja",Q199=""),AND(L199="Ja",R199="")),"Trage die vereinbarten Beträge so ein, dass ihre Summe der Ausgabe entspricht.",IF(ABS(SUM($M199:$R199))&lt;0.005,"Trage die vereinbarten Beträge so ein, dass ihre Summe der Ausgabe entspricht.",IF(SUM($M199:$R199)&lt;$D199-0.005,"Bei der Aufteilung fehlen "&amp;ROUND($D199-SUM($M199:$R199),2)&amp;".",IF(SUM($M199:$R199)&gt;$D199+0.005,"Die Aufteilung übersteigt die Ausgabe um "&amp;ROUND(SUM($M199:$R199)-$D199,2)&amp;".","Geprüft")))),"Trage die vereinbarten Beträge so ein, dass ihre Summe der Ausgabe entspricht."))))))</f>
      </c>
    </row>
    <row r="200">
      <c r="A200" s="83"/>
      <c r="B200" s="57"/>
      <c r="C200" s="57"/>
      <c r="D200" s="85"/>
      <c r="E200" s="57"/>
      <c r="F200" s="57"/>
      <c r="G200" s="57"/>
      <c r="H200" s="57"/>
      <c r="I200" s="57"/>
      <c r="J200" s="57"/>
      <c r="K200" s="57"/>
      <c r="L200" s="57"/>
      <c r="M200" s="85"/>
      <c r="N200" s="85"/>
      <c r="O200" s="85"/>
      <c r="P200" s="85"/>
      <c r="Q200" s="85"/>
      <c r="R200" s="85"/>
      <c r="S200" s="57"/>
      <c r="T200" s="87" t="str">
        <f>IF(COUNTIF($A200:$S200,"&lt;&gt;")=0,"",IF($F200="Gleichmäßig unter Beteiligten",IF(G200&lt;&gt;"Ja",0,IF(COUNTIF($H200:$L200,"Ja")=0,$D200-0,ROUND($D200/COUNTIF($G200:$L200,"Ja"),2))),IF($F200="Vereinbarte Beträge",IF(G200="Ja",M200,0),"")))</f>
      </c>
      <c r="U200" s="87" t="str">
        <f>IF(COUNTIF($A200:$S200,"&lt;&gt;")=0,"",IF($F200="Gleichmäßig unter Beteiligten",IF(H200&lt;&gt;"Ja",0,IF(COUNTIF($I200:$L200,"Ja")=0,$D200-SUM($T200:T200),ROUND($D200/COUNTIF($G200:$L200,"Ja"),2))),IF($F200="Vereinbarte Beträge",IF(H200="Ja",N200,0),"")))</f>
      </c>
      <c r="V200" s="87" t="str">
        <f>IF(COUNTIF($A200:$S200,"&lt;&gt;")=0,"",IF($F200="Gleichmäßig unter Beteiligten",IF(I200&lt;&gt;"Ja",0,IF(COUNTIF($J200:$L200,"Ja")=0,$D200-SUM($T200:U200),ROUND($D200/COUNTIF($G200:$L200,"Ja"),2))),IF($F200="Vereinbarte Beträge",IF(I200="Ja",O200,0),"")))</f>
      </c>
      <c r="W200" s="87" t="str">
        <f>IF(COUNTIF($A200:$S200,"&lt;&gt;")=0,"",IF($F200="Gleichmäßig unter Beteiligten",IF(J200&lt;&gt;"Ja",0,IF(COUNTIF($K200:$L200,"Ja")=0,$D200-SUM($T200:V200),ROUND($D200/COUNTIF($G200:$L200,"Ja"),2))),IF($F200="Vereinbarte Beträge",IF(J200="Ja",P200,0),"")))</f>
      </c>
      <c r="X200" s="87" t="str">
        <f>IF(COUNTIF($A200:$S200,"&lt;&gt;")=0,"",IF($F200="Gleichmäßig unter Beteiligten",IF(K200&lt;&gt;"Ja",0,IF(COUNTIF($L200:$L200,"Ja")=0,$D200-SUM($T200:W200),ROUND($D200/COUNTIF($G200:$L200,"Ja"),2))),IF($F200="Vereinbarte Beträge",IF(K200="Ja",Q200,0),"")))</f>
      </c>
      <c r="Y200" s="87" t="str">
        <f>IF(COUNTIF($A200:$S200,"&lt;&gt;")=0,"",IF($F200="Gleichmäßig unter Beteiligten",IF(L200&lt;&gt;"Ja",0,IF(0=0,$D200-SUM($T200:X200),ROUND($D200/COUNTIF($G200:$L200,"Ja"),2))),IF($F200="Vereinbarte Beträge",IF(L200="Ja",R200,0),"")))</f>
      </c>
      <c r="Z200" s="81" t="str">
        <f>IF(COUNTIF($A200:$S200,"&lt;&gt;")=0,"",IF(OR($D200="",$D200&lt;=0),"Trage einen Betrag größer als null ein.",IF($E200="","Wähle aus, wer bezahlt hat.",IF(COUNTIF($G200:$L200,"Ja")=0,"Wähle mindestens eine beteiligte Person aus.",IF($F200="Gleichmäßig unter Beteiligten","Geprüft",IF($F200="Vereinbarte Beträge",IF(OR(AND(G200="Ja",M200=""),AND(H200="Ja",N200=""),AND(I200="Ja",O200=""),AND(J200="Ja",P200=""),AND(K200="Ja",Q200=""),AND(L200="Ja",R200="")),"Trage die vereinbarten Beträge so ein, dass ihre Summe der Ausgabe entspricht.",IF(ABS(SUM($M200:$R200))&lt;0.005,"Trage die vereinbarten Beträge so ein, dass ihre Summe der Ausgabe entspricht.",IF(SUM($M200:$R200)&lt;$D200-0.005,"Bei der Aufteilung fehlen "&amp;ROUND($D200-SUM($M200:$R200),2)&amp;".",IF(SUM($M200:$R200)&gt;$D200+0.005,"Die Aufteilung übersteigt die Ausgabe um "&amp;ROUND(SUM($M200:$R200)-$D200,2)&amp;".","Geprüft")))),"Trage die vereinbarten Beträge so ein, dass ihre Summe der Ausgabe entspricht."))))))</f>
      </c>
    </row>
    <row r="201">
      <c r="A201" s="83"/>
      <c r="B201" s="57"/>
      <c r="C201" s="57"/>
      <c r="D201" s="85"/>
      <c r="E201" s="57"/>
      <c r="F201" s="57"/>
      <c r="G201" s="57"/>
      <c r="H201" s="57"/>
      <c r="I201" s="57"/>
      <c r="J201" s="57"/>
      <c r="K201" s="57"/>
      <c r="L201" s="57"/>
      <c r="M201" s="85"/>
      <c r="N201" s="85"/>
      <c r="O201" s="85"/>
      <c r="P201" s="85"/>
      <c r="Q201" s="85"/>
      <c r="R201" s="85"/>
      <c r="S201" s="57"/>
      <c r="T201" s="87" t="str">
        <f>IF(COUNTIF($A201:$S201,"&lt;&gt;")=0,"",IF($F201="Gleichmäßig unter Beteiligten",IF(G201&lt;&gt;"Ja",0,IF(COUNTIF($H201:$L201,"Ja")=0,$D201-0,ROUND($D201/COUNTIF($G201:$L201,"Ja"),2))),IF($F201="Vereinbarte Beträge",IF(G201="Ja",M201,0),"")))</f>
      </c>
      <c r="U201" s="87" t="str">
        <f>IF(COUNTIF($A201:$S201,"&lt;&gt;")=0,"",IF($F201="Gleichmäßig unter Beteiligten",IF(H201&lt;&gt;"Ja",0,IF(COUNTIF($I201:$L201,"Ja")=0,$D201-SUM($T201:T201),ROUND($D201/COUNTIF($G201:$L201,"Ja"),2))),IF($F201="Vereinbarte Beträge",IF(H201="Ja",N201,0),"")))</f>
      </c>
      <c r="V201" s="87" t="str">
        <f>IF(COUNTIF($A201:$S201,"&lt;&gt;")=0,"",IF($F201="Gleichmäßig unter Beteiligten",IF(I201&lt;&gt;"Ja",0,IF(COUNTIF($J201:$L201,"Ja")=0,$D201-SUM($T201:U201),ROUND($D201/COUNTIF($G201:$L201,"Ja"),2))),IF($F201="Vereinbarte Beträge",IF(I201="Ja",O201,0),"")))</f>
      </c>
      <c r="W201" s="87" t="str">
        <f>IF(COUNTIF($A201:$S201,"&lt;&gt;")=0,"",IF($F201="Gleichmäßig unter Beteiligten",IF(J201&lt;&gt;"Ja",0,IF(COUNTIF($K201:$L201,"Ja")=0,$D201-SUM($T201:V201),ROUND($D201/COUNTIF($G201:$L201,"Ja"),2))),IF($F201="Vereinbarte Beträge",IF(J201="Ja",P201,0),"")))</f>
      </c>
      <c r="X201" s="87" t="str">
        <f>IF(COUNTIF($A201:$S201,"&lt;&gt;")=0,"",IF($F201="Gleichmäßig unter Beteiligten",IF(K201&lt;&gt;"Ja",0,IF(COUNTIF($L201:$L201,"Ja")=0,$D201-SUM($T201:W201),ROUND($D201/COUNTIF($G201:$L201,"Ja"),2))),IF($F201="Vereinbarte Beträge",IF(K201="Ja",Q201,0),"")))</f>
      </c>
      <c r="Y201" s="87" t="str">
        <f>IF(COUNTIF($A201:$S201,"&lt;&gt;")=0,"",IF($F201="Gleichmäßig unter Beteiligten",IF(L201&lt;&gt;"Ja",0,IF(0=0,$D201-SUM($T201:X201),ROUND($D201/COUNTIF($G201:$L201,"Ja"),2))),IF($F201="Vereinbarte Beträge",IF(L201="Ja",R201,0),"")))</f>
      </c>
      <c r="Z201" s="81" t="str">
        <f>IF(COUNTIF($A201:$S201,"&lt;&gt;")=0,"",IF(OR($D201="",$D201&lt;=0),"Trage einen Betrag größer als null ein.",IF($E201="","Wähle aus, wer bezahlt hat.",IF(COUNTIF($G201:$L201,"Ja")=0,"Wähle mindestens eine beteiligte Person aus.",IF($F201="Gleichmäßig unter Beteiligten","Geprüft",IF($F201="Vereinbarte Beträge",IF(OR(AND(G201="Ja",M201=""),AND(H201="Ja",N201=""),AND(I201="Ja",O201=""),AND(J201="Ja",P201=""),AND(K201="Ja",Q201=""),AND(L201="Ja",R201="")),"Trage die vereinbarten Beträge so ein, dass ihre Summe der Ausgabe entspricht.",IF(ABS(SUM($M201:$R201))&lt;0.005,"Trage die vereinbarten Beträge so ein, dass ihre Summe der Ausgabe entspricht.",IF(SUM($M201:$R201)&lt;$D201-0.005,"Bei der Aufteilung fehlen "&amp;ROUND($D201-SUM($M201:$R201),2)&amp;".",IF(SUM($M201:$R201)&gt;$D201+0.005,"Die Aufteilung übersteigt die Ausgabe um "&amp;ROUND(SUM($M201:$R201)-$D201,2)&amp;".","Geprüft")))),"Trage die vereinbarten Beträge so ein, dass ihre Summe der Ausgabe entspricht."))))))</f>
      </c>
    </row>
    <row r="202">
      <c r="A202" s="83"/>
      <c r="B202" s="57"/>
      <c r="C202" s="57"/>
      <c r="D202" s="85"/>
      <c r="E202" s="57"/>
      <c r="F202" s="57"/>
      <c r="G202" s="57"/>
      <c r="H202" s="57"/>
      <c r="I202" s="57"/>
      <c r="J202" s="57"/>
      <c r="K202" s="57"/>
      <c r="L202" s="57"/>
      <c r="M202" s="85"/>
      <c r="N202" s="85"/>
      <c r="O202" s="85"/>
      <c r="P202" s="85"/>
      <c r="Q202" s="85"/>
      <c r="R202" s="85"/>
      <c r="S202" s="57"/>
      <c r="T202" s="87" t="str">
        <f>IF(COUNTIF($A202:$S202,"&lt;&gt;")=0,"",IF($F202="Gleichmäßig unter Beteiligten",IF(G202&lt;&gt;"Ja",0,IF(COUNTIF($H202:$L202,"Ja")=0,$D202-0,ROUND($D202/COUNTIF($G202:$L202,"Ja"),2))),IF($F202="Vereinbarte Beträge",IF(G202="Ja",M202,0),"")))</f>
      </c>
      <c r="U202" s="87" t="str">
        <f>IF(COUNTIF($A202:$S202,"&lt;&gt;")=0,"",IF($F202="Gleichmäßig unter Beteiligten",IF(H202&lt;&gt;"Ja",0,IF(COUNTIF($I202:$L202,"Ja")=0,$D202-SUM($T202:T202),ROUND($D202/COUNTIF($G202:$L202,"Ja"),2))),IF($F202="Vereinbarte Beträge",IF(H202="Ja",N202,0),"")))</f>
      </c>
      <c r="V202" s="87" t="str">
        <f>IF(COUNTIF($A202:$S202,"&lt;&gt;")=0,"",IF($F202="Gleichmäßig unter Beteiligten",IF(I202&lt;&gt;"Ja",0,IF(COUNTIF($J202:$L202,"Ja")=0,$D202-SUM($T202:U202),ROUND($D202/COUNTIF($G202:$L202,"Ja"),2))),IF($F202="Vereinbarte Beträge",IF(I202="Ja",O202,0),"")))</f>
      </c>
      <c r="W202" s="87" t="str">
        <f>IF(COUNTIF($A202:$S202,"&lt;&gt;")=0,"",IF($F202="Gleichmäßig unter Beteiligten",IF(J202&lt;&gt;"Ja",0,IF(COUNTIF($K202:$L202,"Ja")=0,$D202-SUM($T202:V202),ROUND($D202/COUNTIF($G202:$L202,"Ja"),2))),IF($F202="Vereinbarte Beträge",IF(J202="Ja",P202,0),"")))</f>
      </c>
      <c r="X202" s="87" t="str">
        <f>IF(COUNTIF($A202:$S202,"&lt;&gt;")=0,"",IF($F202="Gleichmäßig unter Beteiligten",IF(K202&lt;&gt;"Ja",0,IF(COUNTIF($L202:$L202,"Ja")=0,$D202-SUM($T202:W202),ROUND($D202/COUNTIF($G202:$L202,"Ja"),2))),IF($F202="Vereinbarte Beträge",IF(K202="Ja",Q202,0),"")))</f>
      </c>
      <c r="Y202" s="87" t="str">
        <f>IF(COUNTIF($A202:$S202,"&lt;&gt;")=0,"",IF($F202="Gleichmäßig unter Beteiligten",IF(L202&lt;&gt;"Ja",0,IF(0=0,$D202-SUM($T202:X202),ROUND($D202/COUNTIF($G202:$L202,"Ja"),2))),IF($F202="Vereinbarte Beträge",IF(L202="Ja",R202,0),"")))</f>
      </c>
      <c r="Z202" s="81" t="str">
        <f>IF(COUNTIF($A202:$S202,"&lt;&gt;")=0,"",IF(OR($D202="",$D202&lt;=0),"Trage einen Betrag größer als null ein.",IF($E202="","Wähle aus, wer bezahlt hat.",IF(COUNTIF($G202:$L202,"Ja")=0,"Wähle mindestens eine beteiligte Person aus.",IF($F202="Gleichmäßig unter Beteiligten","Geprüft",IF($F202="Vereinbarte Beträge",IF(OR(AND(G202="Ja",M202=""),AND(H202="Ja",N202=""),AND(I202="Ja",O202=""),AND(J202="Ja",P202=""),AND(K202="Ja",Q202=""),AND(L202="Ja",R202="")),"Trage die vereinbarten Beträge so ein, dass ihre Summe der Ausgabe entspricht.",IF(ABS(SUM($M202:$R202))&lt;0.005,"Trage die vereinbarten Beträge so ein, dass ihre Summe der Ausgabe entspricht.",IF(SUM($M202:$R202)&lt;$D202-0.005,"Bei der Aufteilung fehlen "&amp;ROUND($D202-SUM($M202:$R202),2)&amp;".",IF(SUM($M202:$R202)&gt;$D202+0.005,"Die Aufteilung übersteigt die Ausgabe um "&amp;ROUND(SUM($M202:$R202)-$D202,2)&amp;".","Geprüft")))),"Trage die vereinbarten Beträge so ein, dass ihre Summe der Ausgabe entspricht."))))))</f>
      </c>
    </row>
    <row r="203">
      <c r="A203" s="83"/>
      <c r="B203" s="57"/>
      <c r="C203" s="57"/>
      <c r="D203" s="85"/>
      <c r="E203" s="57"/>
      <c r="F203" s="57"/>
      <c r="G203" s="57"/>
      <c r="H203" s="57"/>
      <c r="I203" s="57"/>
      <c r="J203" s="57"/>
      <c r="K203" s="57"/>
      <c r="L203" s="57"/>
      <c r="M203" s="85"/>
      <c r="N203" s="85"/>
      <c r="O203" s="85"/>
      <c r="P203" s="85"/>
      <c r="Q203" s="85"/>
      <c r="R203" s="85"/>
      <c r="S203" s="57"/>
      <c r="T203" s="87" t="str">
        <f>IF(COUNTIF($A203:$S203,"&lt;&gt;")=0,"",IF($F203="Gleichmäßig unter Beteiligten",IF(G203&lt;&gt;"Ja",0,IF(COUNTIF($H203:$L203,"Ja")=0,$D203-0,ROUND($D203/COUNTIF($G203:$L203,"Ja"),2))),IF($F203="Vereinbarte Beträge",IF(G203="Ja",M203,0),"")))</f>
      </c>
      <c r="U203" s="87" t="str">
        <f>IF(COUNTIF($A203:$S203,"&lt;&gt;")=0,"",IF($F203="Gleichmäßig unter Beteiligten",IF(H203&lt;&gt;"Ja",0,IF(COUNTIF($I203:$L203,"Ja")=0,$D203-SUM($T203:T203),ROUND($D203/COUNTIF($G203:$L203,"Ja"),2))),IF($F203="Vereinbarte Beträge",IF(H203="Ja",N203,0),"")))</f>
      </c>
      <c r="V203" s="87" t="str">
        <f>IF(COUNTIF($A203:$S203,"&lt;&gt;")=0,"",IF($F203="Gleichmäßig unter Beteiligten",IF(I203&lt;&gt;"Ja",0,IF(COUNTIF($J203:$L203,"Ja")=0,$D203-SUM($T203:U203),ROUND($D203/COUNTIF($G203:$L203,"Ja"),2))),IF($F203="Vereinbarte Beträge",IF(I203="Ja",O203,0),"")))</f>
      </c>
      <c r="W203" s="87" t="str">
        <f>IF(COUNTIF($A203:$S203,"&lt;&gt;")=0,"",IF($F203="Gleichmäßig unter Beteiligten",IF(J203&lt;&gt;"Ja",0,IF(COUNTIF($K203:$L203,"Ja")=0,$D203-SUM($T203:V203),ROUND($D203/COUNTIF($G203:$L203,"Ja"),2))),IF($F203="Vereinbarte Beträge",IF(J203="Ja",P203,0),"")))</f>
      </c>
      <c r="X203" s="87" t="str">
        <f>IF(COUNTIF($A203:$S203,"&lt;&gt;")=0,"",IF($F203="Gleichmäßig unter Beteiligten",IF(K203&lt;&gt;"Ja",0,IF(COUNTIF($L203:$L203,"Ja")=0,$D203-SUM($T203:W203),ROUND($D203/COUNTIF($G203:$L203,"Ja"),2))),IF($F203="Vereinbarte Beträge",IF(K203="Ja",Q203,0),"")))</f>
      </c>
      <c r="Y203" s="87" t="str">
        <f>IF(COUNTIF($A203:$S203,"&lt;&gt;")=0,"",IF($F203="Gleichmäßig unter Beteiligten",IF(L203&lt;&gt;"Ja",0,IF(0=0,$D203-SUM($T203:X203),ROUND($D203/COUNTIF($G203:$L203,"Ja"),2))),IF($F203="Vereinbarte Beträge",IF(L203="Ja",R203,0),"")))</f>
      </c>
      <c r="Z203" s="81" t="str">
        <f>IF(COUNTIF($A203:$S203,"&lt;&gt;")=0,"",IF(OR($D203="",$D203&lt;=0),"Trage einen Betrag größer als null ein.",IF($E203="","Wähle aus, wer bezahlt hat.",IF(COUNTIF($G203:$L203,"Ja")=0,"Wähle mindestens eine beteiligte Person aus.",IF($F203="Gleichmäßig unter Beteiligten","Geprüft",IF($F203="Vereinbarte Beträge",IF(OR(AND(G203="Ja",M203=""),AND(H203="Ja",N203=""),AND(I203="Ja",O203=""),AND(J203="Ja",P203=""),AND(K203="Ja",Q203=""),AND(L203="Ja",R203="")),"Trage die vereinbarten Beträge so ein, dass ihre Summe der Ausgabe entspricht.",IF(ABS(SUM($M203:$R203))&lt;0.005,"Trage die vereinbarten Beträge so ein, dass ihre Summe der Ausgabe entspricht.",IF(SUM($M203:$R203)&lt;$D203-0.005,"Bei der Aufteilung fehlen "&amp;ROUND($D203-SUM($M203:$R203),2)&amp;".",IF(SUM($M203:$R203)&gt;$D203+0.005,"Die Aufteilung übersteigt die Ausgabe um "&amp;ROUND(SUM($M203:$R203)-$D203,2)&amp;".","Geprüft")))),"Trage die vereinbarten Beträge so ein, dass ihre Summe der Ausgabe entspricht."))))))</f>
      </c>
    </row>
    <row r="204">
      <c r="A204" s="83"/>
      <c r="B204" s="57"/>
      <c r="C204" s="57"/>
      <c r="D204" s="85"/>
      <c r="E204" s="57"/>
      <c r="F204" s="57"/>
      <c r="G204" s="57"/>
      <c r="H204" s="57"/>
      <c r="I204" s="57"/>
      <c r="J204" s="57"/>
      <c r="K204" s="57"/>
      <c r="L204" s="57"/>
      <c r="M204" s="85"/>
      <c r="N204" s="85"/>
      <c r="O204" s="85"/>
      <c r="P204" s="85"/>
      <c r="Q204" s="85"/>
      <c r="R204" s="85"/>
      <c r="S204" s="57"/>
      <c r="T204" s="87" t="str">
        <f>IF(COUNTIF($A204:$S204,"&lt;&gt;")=0,"",IF($F204="Gleichmäßig unter Beteiligten",IF(G204&lt;&gt;"Ja",0,IF(COUNTIF($H204:$L204,"Ja")=0,$D204-0,ROUND($D204/COUNTIF($G204:$L204,"Ja"),2))),IF($F204="Vereinbarte Beträge",IF(G204="Ja",M204,0),"")))</f>
      </c>
      <c r="U204" s="87" t="str">
        <f>IF(COUNTIF($A204:$S204,"&lt;&gt;")=0,"",IF($F204="Gleichmäßig unter Beteiligten",IF(H204&lt;&gt;"Ja",0,IF(COUNTIF($I204:$L204,"Ja")=0,$D204-SUM($T204:T204),ROUND($D204/COUNTIF($G204:$L204,"Ja"),2))),IF($F204="Vereinbarte Beträge",IF(H204="Ja",N204,0),"")))</f>
      </c>
      <c r="V204" s="87" t="str">
        <f>IF(COUNTIF($A204:$S204,"&lt;&gt;")=0,"",IF($F204="Gleichmäßig unter Beteiligten",IF(I204&lt;&gt;"Ja",0,IF(COUNTIF($J204:$L204,"Ja")=0,$D204-SUM($T204:U204),ROUND($D204/COUNTIF($G204:$L204,"Ja"),2))),IF($F204="Vereinbarte Beträge",IF(I204="Ja",O204,0),"")))</f>
      </c>
      <c r="W204" s="87" t="str">
        <f>IF(COUNTIF($A204:$S204,"&lt;&gt;")=0,"",IF($F204="Gleichmäßig unter Beteiligten",IF(J204&lt;&gt;"Ja",0,IF(COUNTIF($K204:$L204,"Ja")=0,$D204-SUM($T204:V204),ROUND($D204/COUNTIF($G204:$L204,"Ja"),2))),IF($F204="Vereinbarte Beträge",IF(J204="Ja",P204,0),"")))</f>
      </c>
      <c r="X204" s="87" t="str">
        <f>IF(COUNTIF($A204:$S204,"&lt;&gt;")=0,"",IF($F204="Gleichmäßig unter Beteiligten",IF(K204&lt;&gt;"Ja",0,IF(COUNTIF($L204:$L204,"Ja")=0,$D204-SUM($T204:W204),ROUND($D204/COUNTIF($G204:$L204,"Ja"),2))),IF($F204="Vereinbarte Beträge",IF(K204="Ja",Q204,0),"")))</f>
      </c>
      <c r="Y204" s="87" t="str">
        <f>IF(COUNTIF($A204:$S204,"&lt;&gt;")=0,"",IF($F204="Gleichmäßig unter Beteiligten",IF(L204&lt;&gt;"Ja",0,IF(0=0,$D204-SUM($T204:X204),ROUND($D204/COUNTIF($G204:$L204,"Ja"),2))),IF($F204="Vereinbarte Beträge",IF(L204="Ja",R204,0),"")))</f>
      </c>
      <c r="Z204" s="81" t="str">
        <f>IF(COUNTIF($A204:$S204,"&lt;&gt;")=0,"",IF(OR($D204="",$D204&lt;=0),"Trage einen Betrag größer als null ein.",IF($E204="","Wähle aus, wer bezahlt hat.",IF(COUNTIF($G204:$L204,"Ja")=0,"Wähle mindestens eine beteiligte Person aus.",IF($F204="Gleichmäßig unter Beteiligten","Geprüft",IF($F204="Vereinbarte Beträge",IF(OR(AND(G204="Ja",M204=""),AND(H204="Ja",N204=""),AND(I204="Ja",O204=""),AND(J204="Ja",P204=""),AND(K204="Ja",Q204=""),AND(L204="Ja",R204="")),"Trage die vereinbarten Beträge so ein, dass ihre Summe der Ausgabe entspricht.",IF(ABS(SUM($M204:$R204))&lt;0.005,"Trage die vereinbarten Beträge so ein, dass ihre Summe der Ausgabe entspricht.",IF(SUM($M204:$R204)&lt;$D204-0.005,"Bei der Aufteilung fehlen "&amp;ROUND($D204-SUM($M204:$R204),2)&amp;".",IF(SUM($M204:$R204)&gt;$D204+0.005,"Die Aufteilung übersteigt die Ausgabe um "&amp;ROUND(SUM($M204:$R204)-$D204,2)&amp;".","Geprüft")))),"Trage die vereinbarten Beträge so ein, dass ihre Summe der Ausgabe entspricht."))))))</f>
      </c>
    </row>
  </sheetData>
  <autoFilter ref="A4:Z204"/>
  <mergeCells>
    <mergeCell ref="A1:Z1"/>
    <mergeCell ref="A2:Z2"/>
    <mergeCell ref="A3:F3"/>
    <mergeCell ref="G3:L3"/>
    <mergeCell ref="M3:R3"/>
    <mergeCell ref="T3:Y3"/>
  </mergeCells>
  <conditionalFormatting sqref="Z5:Z204">
    <cfRule type="containsText" dxfId="2" priority="1" operator="containsText" text="Geprüft"/>
    <cfRule type="notContainsText" dxfId="3" priority="2" text="Geprüft"/>
  </conditionalFormatting>
  <dataValidations count="6">
    <dataValidation type="list" sqref="C5:C204">
      <formula1>CategoriesList</formula1>
    </dataValidation>
    <dataValidation type="decimal" operator="greaterThan" sqref="D5:D204">
      <formula1>0</formula1>
    </dataValidation>
    <dataValidation type="list" sqref="E5:E204">
      <formula1>RoommateNames</formula1>
    </dataValidation>
    <dataValidation type="list" sqref="F5:F204">
      <formula1>SplitMethodsList</formula1>
    </dataValidation>
    <dataValidation type="list" sqref="G5:L204">
      <formula1>YesNoList</formula1>
    </dataValidation>
    <dataValidation type="decimal" operator="greaterThanOrEqual" sqref="M5:R204">
      <formula1>0</formula1>
    </dataValidation>
  </dataValidations>
  <pageMargins left="0.7" right="0.7" top="0.75" bottom="0.75" header="0.3" footer="0.3"/>
</worksheet>
</file>

<file path=xl/worksheets/sheet4.xml><?xml version="1.0" encoding="utf-8"?>
<worksheet xmlns="http://schemas.openxmlformats.org/spreadsheetml/2006/main" xmlns:ns1="http://schemas.openxmlformats.org/officeDocument/2006/relationships">
  <sheetViews>
    <sheetView showGridLines="0" workbookViewId="0">
      <pane ySplit="4" topLeftCell="A5" activePane="bottomLeft" state="frozen"/>
    </sheetView>
  </sheetViews>
  <sheetFormatPr defaultRowHeight="15"/>
  <cols>
    <col min="1" max="1" width="14" hidden="0" customWidth="1"/>
    <col min="2" max="2" width="22" hidden="0" customWidth="1"/>
    <col min="3" max="3" width="22" hidden="0" customWidth="1"/>
    <col min="4" max="4" width="16" hidden="0" customWidth="1"/>
    <col min="5" max="5" width="42" hidden="0" customWidth="1"/>
    <col min="6" max="6" width="48" hidden="0" customWidth="1"/>
  </cols>
  <sheetData>
    <row r="1" ht="34" customHeight="1">
      <c r="A1" s="4" t="str">
        <v>Zahlungen untereinander</v>
      </c>
      <c r="B1" s="4" t="str">
        <v>Zahlungen untereinander</v>
      </c>
      <c r="C1" s="4" t="str">
        <v>Zahlungen untereinander</v>
      </c>
      <c r="D1" s="4" t="str">
        <v>Zahlungen untereinander</v>
      </c>
      <c r="E1" s="4" t="str">
        <v>Zahlungen untereinander</v>
      </c>
      <c r="F1" s="4" t="str">
        <v>Zahlungen untereinander</v>
      </c>
    </row>
    <row r="2" ht="30" customHeight="1">
      <c r="A2" s="8" t="str">
        <v>Trage jede Zahlung einmal ein: von der Person, die gezahlt hat, an die Person, die das Geld erhalten hat. Verringere oder lösche dafür nicht die ursprüngliche Ausgabe.</v>
      </c>
      <c r="B2" s="8" t="str">
        <v>Trage jede Zahlung einmal ein: von der Person, die gezahlt hat, an die Person, die das Geld erhalten hat. Verringere oder lösche dafür nicht die ursprüngliche Ausgabe.</v>
      </c>
      <c r="C2" s="8" t="str">
        <v>Trage jede Zahlung einmal ein: von der Person, die gezahlt hat, an die Person, die das Geld erhalten hat. Verringere oder lösche dafür nicht die ursprüngliche Ausgabe.</v>
      </c>
      <c r="D2" s="8" t="str">
        <v>Trage jede Zahlung einmal ein: von der Person, die gezahlt hat, an die Person, die das Geld erhalten hat. Verringere oder lösche dafür nicht die ursprüngliche Ausgabe.</v>
      </c>
      <c r="E2" s="8" t="str">
        <v>Trage jede Zahlung einmal ein: von der Person, die gezahlt hat, an die Person, die das Geld erhalten hat. Verringere oder lösche dafür nicht die ursprüngliche Ausgabe.</v>
      </c>
      <c r="F2" s="8" t="str">
        <v>Trage jede Zahlung einmal ein: von der Person, die gezahlt hat, an die Person, die das Geld erhalten hat. Verringere oder lösche dafür nicht die ursprüngliche Ausgabe.</v>
      </c>
    </row>
    <row r="4" ht="34" customHeight="1">
      <c r="A4" s="51" t="str">
        <v>Datum</v>
      </c>
      <c r="B4" s="51" t="str">
        <v>Von</v>
      </c>
      <c r="C4" s="51" t="str">
        <v>An</v>
      </c>
      <c r="D4" s="51" t="str">
        <v>Betrag</v>
      </c>
      <c r="E4" s="51" t="str">
        <v>Notiz</v>
      </c>
      <c r="F4" s="51" t="str">
        <v>Prüfung</v>
      </c>
    </row>
    <row r="5">
      <c r="A5" s="82"/>
      <c r="B5" s="56"/>
      <c r="C5" s="56"/>
      <c r="D5" s="84"/>
      <c r="E5" s="56"/>
      <c r="F5" s="80" t="str">
        <f>IF(COUNTIF($A5:$E5,"&lt;&gt;")=0,"",IF(OR($B5="",$C5=""),"Wähle aus, wer gezahlt und wer das Geld erhalten hat.",IF($B5=$C5,"Wähle zwei unterschiedliche Personen aus.",IF(OR($D5="",$D5&lt;=0),"Trage einen Betrag größer als null ein.","Geprüft"))))</f>
      </c>
    </row>
    <row r="6">
      <c r="A6" s="83"/>
      <c r="B6" s="57"/>
      <c r="C6" s="57"/>
      <c r="D6" s="85"/>
      <c r="E6" s="57"/>
      <c r="F6" s="81" t="str">
        <f>IF(COUNTIF($A6:$E6,"&lt;&gt;")=0,"",IF(OR($B6="",$C6=""),"Wähle aus, wer gezahlt und wer das Geld erhalten hat.",IF($B6=$C6,"Wähle zwei unterschiedliche Personen aus.",IF(OR($D6="",$D6&lt;=0),"Trage einen Betrag größer als null ein.","Geprüft"))))</f>
      </c>
    </row>
    <row r="7">
      <c r="A7" s="83"/>
      <c r="B7" s="57"/>
      <c r="C7" s="57"/>
      <c r="D7" s="85"/>
      <c r="E7" s="57"/>
      <c r="F7" s="81" t="str">
        <f>IF(COUNTIF($A7:$E7,"&lt;&gt;")=0,"",IF(OR($B7="",$C7=""),"Wähle aus, wer gezahlt und wer das Geld erhalten hat.",IF($B7=$C7,"Wähle zwei unterschiedliche Personen aus.",IF(OR($D7="",$D7&lt;=0),"Trage einen Betrag größer als null ein.","Geprüft"))))</f>
      </c>
    </row>
    <row r="8">
      <c r="A8" s="83"/>
      <c r="B8" s="57"/>
      <c r="C8" s="57"/>
      <c r="D8" s="85"/>
      <c r="E8" s="57"/>
      <c r="F8" s="81" t="str">
        <f>IF(COUNTIF($A8:$E8,"&lt;&gt;")=0,"",IF(OR($B8="",$C8=""),"Wähle aus, wer gezahlt und wer das Geld erhalten hat.",IF($B8=$C8,"Wähle zwei unterschiedliche Personen aus.",IF(OR($D8="",$D8&lt;=0),"Trage einen Betrag größer als null ein.","Geprüft"))))</f>
      </c>
    </row>
    <row r="9">
      <c r="A9" s="83"/>
      <c r="B9" s="57"/>
      <c r="C9" s="57"/>
      <c r="D9" s="85"/>
      <c r="E9" s="57"/>
      <c r="F9" s="81" t="str">
        <f>IF(COUNTIF($A9:$E9,"&lt;&gt;")=0,"",IF(OR($B9="",$C9=""),"Wähle aus, wer gezahlt und wer das Geld erhalten hat.",IF($B9=$C9,"Wähle zwei unterschiedliche Personen aus.",IF(OR($D9="",$D9&lt;=0),"Trage einen Betrag größer als null ein.","Geprüft"))))</f>
      </c>
    </row>
    <row r="10">
      <c r="A10" s="83"/>
      <c r="B10" s="57"/>
      <c r="C10" s="57"/>
      <c r="D10" s="85"/>
      <c r="E10" s="57"/>
      <c r="F10" s="81" t="str">
        <f>IF(COUNTIF($A10:$E10,"&lt;&gt;")=0,"",IF(OR($B10="",$C10=""),"Wähle aus, wer gezahlt und wer das Geld erhalten hat.",IF($B10=$C10,"Wähle zwei unterschiedliche Personen aus.",IF(OR($D10="",$D10&lt;=0),"Trage einen Betrag größer als null ein.","Geprüft"))))</f>
      </c>
    </row>
    <row r="11">
      <c r="A11" s="83"/>
      <c r="B11" s="57"/>
      <c r="C11" s="57"/>
      <c r="D11" s="85"/>
      <c r="E11" s="57"/>
      <c r="F11" s="81" t="str">
        <f>IF(COUNTIF($A11:$E11,"&lt;&gt;")=0,"",IF(OR($B11="",$C11=""),"Wähle aus, wer gezahlt und wer das Geld erhalten hat.",IF($B11=$C11,"Wähle zwei unterschiedliche Personen aus.",IF(OR($D11="",$D11&lt;=0),"Trage einen Betrag größer als null ein.","Geprüft"))))</f>
      </c>
    </row>
    <row r="12">
      <c r="A12" s="83"/>
      <c r="B12" s="57"/>
      <c r="C12" s="57"/>
      <c r="D12" s="85"/>
      <c r="E12" s="57"/>
      <c r="F12" s="81" t="str">
        <f>IF(COUNTIF($A12:$E12,"&lt;&gt;")=0,"",IF(OR($B12="",$C12=""),"Wähle aus, wer gezahlt und wer das Geld erhalten hat.",IF($B12=$C12,"Wähle zwei unterschiedliche Personen aus.",IF(OR($D12="",$D12&lt;=0),"Trage einen Betrag größer als null ein.","Geprüft"))))</f>
      </c>
    </row>
    <row r="13">
      <c r="A13" s="83"/>
      <c r="B13" s="57"/>
      <c r="C13" s="57"/>
      <c r="D13" s="85"/>
      <c r="E13" s="57"/>
      <c r="F13" s="81" t="str">
        <f>IF(COUNTIF($A13:$E13,"&lt;&gt;")=0,"",IF(OR($B13="",$C13=""),"Wähle aus, wer gezahlt und wer das Geld erhalten hat.",IF($B13=$C13,"Wähle zwei unterschiedliche Personen aus.",IF(OR($D13="",$D13&lt;=0),"Trage einen Betrag größer als null ein.","Geprüft"))))</f>
      </c>
    </row>
    <row r="14">
      <c r="A14" s="83"/>
      <c r="B14" s="57"/>
      <c r="C14" s="57"/>
      <c r="D14" s="85"/>
      <c r="E14" s="57"/>
      <c r="F14" s="81" t="str">
        <f>IF(COUNTIF($A14:$E14,"&lt;&gt;")=0,"",IF(OR($B14="",$C14=""),"Wähle aus, wer gezahlt und wer das Geld erhalten hat.",IF($B14=$C14,"Wähle zwei unterschiedliche Personen aus.",IF(OR($D14="",$D14&lt;=0),"Trage einen Betrag größer als null ein.","Geprüft"))))</f>
      </c>
    </row>
    <row r="15">
      <c r="A15" s="83"/>
      <c r="B15" s="57"/>
      <c r="C15" s="57"/>
      <c r="D15" s="85"/>
      <c r="E15" s="57"/>
      <c r="F15" s="81" t="str">
        <f>IF(COUNTIF($A15:$E15,"&lt;&gt;")=0,"",IF(OR($B15="",$C15=""),"Wähle aus, wer gezahlt und wer das Geld erhalten hat.",IF($B15=$C15,"Wähle zwei unterschiedliche Personen aus.",IF(OR($D15="",$D15&lt;=0),"Trage einen Betrag größer als null ein.","Geprüft"))))</f>
      </c>
    </row>
    <row r="16">
      <c r="A16" s="83"/>
      <c r="B16" s="57"/>
      <c r="C16" s="57"/>
      <c r="D16" s="85"/>
      <c r="E16" s="57"/>
      <c r="F16" s="81" t="str">
        <f>IF(COUNTIF($A16:$E16,"&lt;&gt;")=0,"",IF(OR($B16="",$C16=""),"Wähle aus, wer gezahlt und wer das Geld erhalten hat.",IF($B16=$C16,"Wähle zwei unterschiedliche Personen aus.",IF(OR($D16="",$D16&lt;=0),"Trage einen Betrag größer als null ein.","Geprüft"))))</f>
      </c>
    </row>
    <row r="17">
      <c r="A17" s="83"/>
      <c r="B17" s="57"/>
      <c r="C17" s="57"/>
      <c r="D17" s="85"/>
      <c r="E17" s="57"/>
      <c r="F17" s="81" t="str">
        <f>IF(COUNTIF($A17:$E17,"&lt;&gt;")=0,"",IF(OR($B17="",$C17=""),"Wähle aus, wer gezahlt und wer das Geld erhalten hat.",IF($B17=$C17,"Wähle zwei unterschiedliche Personen aus.",IF(OR($D17="",$D17&lt;=0),"Trage einen Betrag größer als null ein.","Geprüft"))))</f>
      </c>
    </row>
    <row r="18">
      <c r="A18" s="83"/>
      <c r="B18" s="57"/>
      <c r="C18" s="57"/>
      <c r="D18" s="85"/>
      <c r="E18" s="57"/>
      <c r="F18" s="81" t="str">
        <f>IF(COUNTIF($A18:$E18,"&lt;&gt;")=0,"",IF(OR($B18="",$C18=""),"Wähle aus, wer gezahlt und wer das Geld erhalten hat.",IF($B18=$C18,"Wähle zwei unterschiedliche Personen aus.",IF(OR($D18="",$D18&lt;=0),"Trage einen Betrag größer als null ein.","Geprüft"))))</f>
      </c>
    </row>
    <row r="19">
      <c r="A19" s="83"/>
      <c r="B19" s="57"/>
      <c r="C19" s="57"/>
      <c r="D19" s="85"/>
      <c r="E19" s="57"/>
      <c r="F19" s="81" t="str">
        <f>IF(COUNTIF($A19:$E19,"&lt;&gt;")=0,"",IF(OR($B19="",$C19=""),"Wähle aus, wer gezahlt und wer das Geld erhalten hat.",IF($B19=$C19,"Wähle zwei unterschiedliche Personen aus.",IF(OR($D19="",$D19&lt;=0),"Trage einen Betrag größer als null ein.","Geprüft"))))</f>
      </c>
    </row>
    <row r="20">
      <c r="A20" s="83"/>
      <c r="B20" s="57"/>
      <c r="C20" s="57"/>
      <c r="D20" s="85"/>
      <c r="E20" s="57"/>
      <c r="F20" s="81" t="str">
        <f>IF(COUNTIF($A20:$E20,"&lt;&gt;")=0,"",IF(OR($B20="",$C20=""),"Wähle aus, wer gezahlt und wer das Geld erhalten hat.",IF($B20=$C20,"Wähle zwei unterschiedliche Personen aus.",IF(OR($D20="",$D20&lt;=0),"Trage einen Betrag größer als null ein.","Geprüft"))))</f>
      </c>
    </row>
    <row r="21">
      <c r="A21" s="83"/>
      <c r="B21" s="57"/>
      <c r="C21" s="57"/>
      <c r="D21" s="85"/>
      <c r="E21" s="57"/>
      <c r="F21" s="81" t="str">
        <f>IF(COUNTIF($A21:$E21,"&lt;&gt;")=0,"",IF(OR($B21="",$C21=""),"Wähle aus, wer gezahlt und wer das Geld erhalten hat.",IF($B21=$C21,"Wähle zwei unterschiedliche Personen aus.",IF(OR($D21="",$D21&lt;=0),"Trage einen Betrag größer als null ein.","Geprüft"))))</f>
      </c>
    </row>
    <row r="22">
      <c r="A22" s="83"/>
      <c r="B22" s="57"/>
      <c r="C22" s="57"/>
      <c r="D22" s="85"/>
      <c r="E22" s="57"/>
      <c r="F22" s="81" t="str">
        <f>IF(COUNTIF($A22:$E22,"&lt;&gt;")=0,"",IF(OR($B22="",$C22=""),"Wähle aus, wer gezahlt und wer das Geld erhalten hat.",IF($B22=$C22,"Wähle zwei unterschiedliche Personen aus.",IF(OR($D22="",$D22&lt;=0),"Trage einen Betrag größer als null ein.","Geprüft"))))</f>
      </c>
    </row>
    <row r="23">
      <c r="A23" s="83"/>
      <c r="B23" s="57"/>
      <c r="C23" s="57"/>
      <c r="D23" s="85"/>
      <c r="E23" s="57"/>
      <c r="F23" s="81" t="str">
        <f>IF(COUNTIF($A23:$E23,"&lt;&gt;")=0,"",IF(OR($B23="",$C23=""),"Wähle aus, wer gezahlt und wer das Geld erhalten hat.",IF($B23=$C23,"Wähle zwei unterschiedliche Personen aus.",IF(OR($D23="",$D23&lt;=0),"Trage einen Betrag größer als null ein.","Geprüft"))))</f>
      </c>
    </row>
    <row r="24">
      <c r="A24" s="83"/>
      <c r="B24" s="57"/>
      <c r="C24" s="57"/>
      <c r="D24" s="85"/>
      <c r="E24" s="57"/>
      <c r="F24" s="81" t="str">
        <f>IF(COUNTIF($A24:$E24,"&lt;&gt;")=0,"",IF(OR($B24="",$C24=""),"Wähle aus, wer gezahlt und wer das Geld erhalten hat.",IF($B24=$C24,"Wähle zwei unterschiedliche Personen aus.",IF(OR($D24="",$D24&lt;=0),"Trage einen Betrag größer als null ein.","Geprüft"))))</f>
      </c>
    </row>
    <row r="25">
      <c r="A25" s="83"/>
      <c r="B25" s="57"/>
      <c r="C25" s="57"/>
      <c r="D25" s="85"/>
      <c r="E25" s="57"/>
      <c r="F25" s="81" t="str">
        <f>IF(COUNTIF($A25:$E25,"&lt;&gt;")=0,"",IF(OR($B25="",$C25=""),"Wähle aus, wer gezahlt und wer das Geld erhalten hat.",IF($B25=$C25,"Wähle zwei unterschiedliche Personen aus.",IF(OR($D25="",$D25&lt;=0),"Trage einen Betrag größer als null ein.","Geprüft"))))</f>
      </c>
    </row>
    <row r="26">
      <c r="A26" s="83"/>
      <c r="B26" s="57"/>
      <c r="C26" s="57"/>
      <c r="D26" s="85"/>
      <c r="E26" s="57"/>
      <c r="F26" s="81" t="str">
        <f>IF(COUNTIF($A26:$E26,"&lt;&gt;")=0,"",IF(OR($B26="",$C26=""),"Wähle aus, wer gezahlt und wer das Geld erhalten hat.",IF($B26=$C26,"Wähle zwei unterschiedliche Personen aus.",IF(OR($D26="",$D26&lt;=0),"Trage einen Betrag größer als null ein.","Geprüft"))))</f>
      </c>
    </row>
    <row r="27">
      <c r="A27" s="83"/>
      <c r="B27" s="57"/>
      <c r="C27" s="57"/>
      <c r="D27" s="85"/>
      <c r="E27" s="57"/>
      <c r="F27" s="81" t="str">
        <f>IF(COUNTIF($A27:$E27,"&lt;&gt;")=0,"",IF(OR($B27="",$C27=""),"Wähle aus, wer gezahlt und wer das Geld erhalten hat.",IF($B27=$C27,"Wähle zwei unterschiedliche Personen aus.",IF(OR($D27="",$D27&lt;=0),"Trage einen Betrag größer als null ein.","Geprüft"))))</f>
      </c>
    </row>
    <row r="28">
      <c r="A28" s="83"/>
      <c r="B28" s="57"/>
      <c r="C28" s="57"/>
      <c r="D28" s="85"/>
      <c r="E28" s="57"/>
      <c r="F28" s="81" t="str">
        <f>IF(COUNTIF($A28:$E28,"&lt;&gt;")=0,"",IF(OR($B28="",$C28=""),"Wähle aus, wer gezahlt und wer das Geld erhalten hat.",IF($B28=$C28,"Wähle zwei unterschiedliche Personen aus.",IF(OR($D28="",$D28&lt;=0),"Trage einen Betrag größer als null ein.","Geprüft"))))</f>
      </c>
    </row>
    <row r="29">
      <c r="A29" s="83"/>
      <c r="B29" s="57"/>
      <c r="C29" s="57"/>
      <c r="D29" s="85"/>
      <c r="E29" s="57"/>
      <c r="F29" s="81" t="str">
        <f>IF(COUNTIF($A29:$E29,"&lt;&gt;")=0,"",IF(OR($B29="",$C29=""),"Wähle aus, wer gezahlt und wer das Geld erhalten hat.",IF($B29=$C29,"Wähle zwei unterschiedliche Personen aus.",IF(OR($D29="",$D29&lt;=0),"Trage einen Betrag größer als null ein.","Geprüft"))))</f>
      </c>
    </row>
    <row r="30">
      <c r="A30" s="83"/>
      <c r="B30" s="57"/>
      <c r="C30" s="57"/>
      <c r="D30" s="85"/>
      <c r="E30" s="57"/>
      <c r="F30" s="81" t="str">
        <f>IF(COUNTIF($A30:$E30,"&lt;&gt;")=0,"",IF(OR($B30="",$C30=""),"Wähle aus, wer gezahlt und wer das Geld erhalten hat.",IF($B30=$C30,"Wähle zwei unterschiedliche Personen aus.",IF(OR($D30="",$D30&lt;=0),"Trage einen Betrag größer als null ein.","Geprüft"))))</f>
      </c>
    </row>
    <row r="31">
      <c r="A31" s="83"/>
      <c r="B31" s="57"/>
      <c r="C31" s="57"/>
      <c r="D31" s="85"/>
      <c r="E31" s="57"/>
      <c r="F31" s="81" t="str">
        <f>IF(COUNTIF($A31:$E31,"&lt;&gt;")=0,"",IF(OR($B31="",$C31=""),"Wähle aus, wer gezahlt und wer das Geld erhalten hat.",IF($B31=$C31,"Wähle zwei unterschiedliche Personen aus.",IF(OR($D31="",$D31&lt;=0),"Trage einen Betrag größer als null ein.","Geprüft"))))</f>
      </c>
    </row>
    <row r="32">
      <c r="A32" s="83"/>
      <c r="B32" s="57"/>
      <c r="C32" s="57"/>
      <c r="D32" s="85"/>
      <c r="E32" s="57"/>
      <c r="F32" s="81" t="str">
        <f>IF(COUNTIF($A32:$E32,"&lt;&gt;")=0,"",IF(OR($B32="",$C32=""),"Wähle aus, wer gezahlt und wer das Geld erhalten hat.",IF($B32=$C32,"Wähle zwei unterschiedliche Personen aus.",IF(OR($D32="",$D32&lt;=0),"Trage einen Betrag größer als null ein.","Geprüft"))))</f>
      </c>
    </row>
    <row r="33">
      <c r="A33" s="83"/>
      <c r="B33" s="57"/>
      <c r="C33" s="57"/>
      <c r="D33" s="85"/>
      <c r="E33" s="57"/>
      <c r="F33" s="81" t="str">
        <f>IF(COUNTIF($A33:$E33,"&lt;&gt;")=0,"",IF(OR($B33="",$C33=""),"Wähle aus, wer gezahlt und wer das Geld erhalten hat.",IF($B33=$C33,"Wähle zwei unterschiedliche Personen aus.",IF(OR($D33="",$D33&lt;=0),"Trage einen Betrag größer als null ein.","Geprüft"))))</f>
      </c>
    </row>
    <row r="34">
      <c r="A34" s="83"/>
      <c r="B34" s="57"/>
      <c r="C34" s="57"/>
      <c r="D34" s="85"/>
      <c r="E34" s="57"/>
      <c r="F34" s="81" t="str">
        <f>IF(COUNTIF($A34:$E34,"&lt;&gt;")=0,"",IF(OR($B34="",$C34=""),"Wähle aus, wer gezahlt und wer das Geld erhalten hat.",IF($B34=$C34,"Wähle zwei unterschiedliche Personen aus.",IF(OR($D34="",$D34&lt;=0),"Trage einen Betrag größer als null ein.","Geprüft"))))</f>
      </c>
    </row>
    <row r="35">
      <c r="A35" s="83"/>
      <c r="B35" s="57"/>
      <c r="C35" s="57"/>
      <c r="D35" s="85"/>
      <c r="E35" s="57"/>
      <c r="F35" s="81" t="str">
        <f>IF(COUNTIF($A35:$E35,"&lt;&gt;")=0,"",IF(OR($B35="",$C35=""),"Wähle aus, wer gezahlt und wer das Geld erhalten hat.",IF($B35=$C35,"Wähle zwei unterschiedliche Personen aus.",IF(OR($D35="",$D35&lt;=0),"Trage einen Betrag größer als null ein.","Geprüft"))))</f>
      </c>
    </row>
    <row r="36">
      <c r="A36" s="83"/>
      <c r="B36" s="57"/>
      <c r="C36" s="57"/>
      <c r="D36" s="85"/>
      <c r="E36" s="57"/>
      <c r="F36" s="81" t="str">
        <f>IF(COUNTIF($A36:$E36,"&lt;&gt;")=0,"",IF(OR($B36="",$C36=""),"Wähle aus, wer gezahlt und wer das Geld erhalten hat.",IF($B36=$C36,"Wähle zwei unterschiedliche Personen aus.",IF(OR($D36="",$D36&lt;=0),"Trage einen Betrag größer als null ein.","Geprüft"))))</f>
      </c>
    </row>
    <row r="37">
      <c r="A37" s="83"/>
      <c r="B37" s="57"/>
      <c r="C37" s="57"/>
      <c r="D37" s="85"/>
      <c r="E37" s="57"/>
      <c r="F37" s="81" t="str">
        <f>IF(COUNTIF($A37:$E37,"&lt;&gt;")=0,"",IF(OR($B37="",$C37=""),"Wähle aus, wer gezahlt und wer das Geld erhalten hat.",IF($B37=$C37,"Wähle zwei unterschiedliche Personen aus.",IF(OR($D37="",$D37&lt;=0),"Trage einen Betrag größer als null ein.","Geprüft"))))</f>
      </c>
    </row>
    <row r="38">
      <c r="A38" s="83"/>
      <c r="B38" s="57"/>
      <c r="C38" s="57"/>
      <c r="D38" s="85"/>
      <c r="E38" s="57"/>
      <c r="F38" s="81" t="str">
        <f>IF(COUNTIF($A38:$E38,"&lt;&gt;")=0,"",IF(OR($B38="",$C38=""),"Wähle aus, wer gezahlt und wer das Geld erhalten hat.",IF($B38=$C38,"Wähle zwei unterschiedliche Personen aus.",IF(OR($D38="",$D38&lt;=0),"Trage einen Betrag größer als null ein.","Geprüft"))))</f>
      </c>
    </row>
    <row r="39">
      <c r="A39" s="83"/>
      <c r="B39" s="57"/>
      <c r="C39" s="57"/>
      <c r="D39" s="85"/>
      <c r="E39" s="57"/>
      <c r="F39" s="81" t="str">
        <f>IF(COUNTIF($A39:$E39,"&lt;&gt;")=0,"",IF(OR($B39="",$C39=""),"Wähle aus, wer gezahlt und wer das Geld erhalten hat.",IF($B39=$C39,"Wähle zwei unterschiedliche Personen aus.",IF(OR($D39="",$D39&lt;=0),"Trage einen Betrag größer als null ein.","Geprüft"))))</f>
      </c>
    </row>
    <row r="40">
      <c r="A40" s="83"/>
      <c r="B40" s="57"/>
      <c r="C40" s="57"/>
      <c r="D40" s="85"/>
      <c r="E40" s="57"/>
      <c r="F40" s="81" t="str">
        <f>IF(COUNTIF($A40:$E40,"&lt;&gt;")=0,"",IF(OR($B40="",$C40=""),"Wähle aus, wer gezahlt und wer das Geld erhalten hat.",IF($B40=$C40,"Wähle zwei unterschiedliche Personen aus.",IF(OR($D40="",$D40&lt;=0),"Trage einen Betrag größer als null ein.","Geprüft"))))</f>
      </c>
    </row>
    <row r="41">
      <c r="A41" s="83"/>
      <c r="B41" s="57"/>
      <c r="C41" s="57"/>
      <c r="D41" s="85"/>
      <c r="E41" s="57"/>
      <c r="F41" s="81" t="str">
        <f>IF(COUNTIF($A41:$E41,"&lt;&gt;")=0,"",IF(OR($B41="",$C41=""),"Wähle aus, wer gezahlt und wer das Geld erhalten hat.",IF($B41=$C41,"Wähle zwei unterschiedliche Personen aus.",IF(OR($D41="",$D41&lt;=0),"Trage einen Betrag größer als null ein.","Geprüft"))))</f>
      </c>
    </row>
    <row r="42">
      <c r="A42" s="83"/>
      <c r="B42" s="57"/>
      <c r="C42" s="57"/>
      <c r="D42" s="85"/>
      <c r="E42" s="57"/>
      <c r="F42" s="81" t="str">
        <f>IF(COUNTIF($A42:$E42,"&lt;&gt;")=0,"",IF(OR($B42="",$C42=""),"Wähle aus, wer gezahlt und wer das Geld erhalten hat.",IF($B42=$C42,"Wähle zwei unterschiedliche Personen aus.",IF(OR($D42="",$D42&lt;=0),"Trage einen Betrag größer als null ein.","Geprüft"))))</f>
      </c>
    </row>
    <row r="43">
      <c r="A43" s="83"/>
      <c r="B43" s="57"/>
      <c r="C43" s="57"/>
      <c r="D43" s="85"/>
      <c r="E43" s="57"/>
      <c r="F43" s="81" t="str">
        <f>IF(COUNTIF($A43:$E43,"&lt;&gt;")=0,"",IF(OR($B43="",$C43=""),"Wähle aus, wer gezahlt und wer das Geld erhalten hat.",IF($B43=$C43,"Wähle zwei unterschiedliche Personen aus.",IF(OR($D43="",$D43&lt;=0),"Trage einen Betrag größer als null ein.","Geprüft"))))</f>
      </c>
    </row>
    <row r="44">
      <c r="A44" s="83"/>
      <c r="B44" s="57"/>
      <c r="C44" s="57"/>
      <c r="D44" s="85"/>
      <c r="E44" s="57"/>
      <c r="F44" s="81" t="str">
        <f>IF(COUNTIF($A44:$E44,"&lt;&gt;")=0,"",IF(OR($B44="",$C44=""),"Wähle aus, wer gezahlt und wer das Geld erhalten hat.",IF($B44=$C44,"Wähle zwei unterschiedliche Personen aus.",IF(OR($D44="",$D44&lt;=0),"Trage einen Betrag größer als null ein.","Geprüft"))))</f>
      </c>
    </row>
    <row r="45">
      <c r="A45" s="83"/>
      <c r="B45" s="57"/>
      <c r="C45" s="57"/>
      <c r="D45" s="85"/>
      <c r="E45" s="57"/>
      <c r="F45" s="81" t="str">
        <f>IF(COUNTIF($A45:$E45,"&lt;&gt;")=0,"",IF(OR($B45="",$C45=""),"Wähle aus, wer gezahlt und wer das Geld erhalten hat.",IF($B45=$C45,"Wähle zwei unterschiedliche Personen aus.",IF(OR($D45="",$D45&lt;=0),"Trage einen Betrag größer als null ein.","Geprüft"))))</f>
      </c>
    </row>
    <row r="46">
      <c r="A46" s="83"/>
      <c r="B46" s="57"/>
      <c r="C46" s="57"/>
      <c r="D46" s="85"/>
      <c r="E46" s="57"/>
      <c r="F46" s="81" t="str">
        <f>IF(COUNTIF($A46:$E46,"&lt;&gt;")=0,"",IF(OR($B46="",$C46=""),"Wähle aus, wer gezahlt und wer das Geld erhalten hat.",IF($B46=$C46,"Wähle zwei unterschiedliche Personen aus.",IF(OR($D46="",$D46&lt;=0),"Trage einen Betrag größer als null ein.","Geprüft"))))</f>
      </c>
    </row>
    <row r="47">
      <c r="A47" s="83"/>
      <c r="B47" s="57"/>
      <c r="C47" s="57"/>
      <c r="D47" s="85"/>
      <c r="E47" s="57"/>
      <c r="F47" s="81" t="str">
        <f>IF(COUNTIF($A47:$E47,"&lt;&gt;")=0,"",IF(OR($B47="",$C47=""),"Wähle aus, wer gezahlt und wer das Geld erhalten hat.",IF($B47=$C47,"Wähle zwei unterschiedliche Personen aus.",IF(OR($D47="",$D47&lt;=0),"Trage einen Betrag größer als null ein.","Geprüft"))))</f>
      </c>
    </row>
    <row r="48">
      <c r="A48" s="83"/>
      <c r="B48" s="57"/>
      <c r="C48" s="57"/>
      <c r="D48" s="85"/>
      <c r="E48" s="57"/>
      <c r="F48" s="81" t="str">
        <f>IF(COUNTIF($A48:$E48,"&lt;&gt;")=0,"",IF(OR($B48="",$C48=""),"Wähle aus, wer gezahlt und wer das Geld erhalten hat.",IF($B48=$C48,"Wähle zwei unterschiedliche Personen aus.",IF(OR($D48="",$D48&lt;=0),"Trage einen Betrag größer als null ein.","Geprüft"))))</f>
      </c>
    </row>
    <row r="49">
      <c r="A49" s="83"/>
      <c r="B49" s="57"/>
      <c r="C49" s="57"/>
      <c r="D49" s="85"/>
      <c r="E49" s="57"/>
      <c r="F49" s="81" t="str">
        <f>IF(COUNTIF($A49:$E49,"&lt;&gt;")=0,"",IF(OR($B49="",$C49=""),"Wähle aus, wer gezahlt und wer das Geld erhalten hat.",IF($B49=$C49,"Wähle zwei unterschiedliche Personen aus.",IF(OR($D49="",$D49&lt;=0),"Trage einen Betrag größer als null ein.","Geprüft"))))</f>
      </c>
    </row>
    <row r="50">
      <c r="A50" s="83"/>
      <c r="B50" s="57"/>
      <c r="C50" s="57"/>
      <c r="D50" s="85"/>
      <c r="E50" s="57"/>
      <c r="F50" s="81" t="str">
        <f>IF(COUNTIF($A50:$E50,"&lt;&gt;")=0,"",IF(OR($B50="",$C50=""),"Wähle aus, wer gezahlt und wer das Geld erhalten hat.",IF($B50=$C50,"Wähle zwei unterschiedliche Personen aus.",IF(OR($D50="",$D50&lt;=0),"Trage einen Betrag größer als null ein.","Geprüft"))))</f>
      </c>
    </row>
    <row r="51">
      <c r="A51" s="83"/>
      <c r="B51" s="57"/>
      <c r="C51" s="57"/>
      <c r="D51" s="85"/>
      <c r="E51" s="57"/>
      <c r="F51" s="81" t="str">
        <f>IF(COUNTIF($A51:$E51,"&lt;&gt;")=0,"",IF(OR($B51="",$C51=""),"Wähle aus, wer gezahlt und wer das Geld erhalten hat.",IF($B51=$C51,"Wähle zwei unterschiedliche Personen aus.",IF(OR($D51="",$D51&lt;=0),"Trage einen Betrag größer als null ein.","Geprüft"))))</f>
      </c>
    </row>
    <row r="52">
      <c r="A52" s="83"/>
      <c r="B52" s="57"/>
      <c r="C52" s="57"/>
      <c r="D52" s="85"/>
      <c r="E52" s="57"/>
      <c r="F52" s="81" t="str">
        <f>IF(COUNTIF($A52:$E52,"&lt;&gt;")=0,"",IF(OR($B52="",$C52=""),"Wähle aus, wer gezahlt und wer das Geld erhalten hat.",IF($B52=$C52,"Wähle zwei unterschiedliche Personen aus.",IF(OR($D52="",$D52&lt;=0),"Trage einen Betrag größer als null ein.","Geprüft"))))</f>
      </c>
    </row>
    <row r="53">
      <c r="A53" s="83"/>
      <c r="B53" s="57"/>
      <c r="C53" s="57"/>
      <c r="D53" s="85"/>
      <c r="E53" s="57"/>
      <c r="F53" s="81" t="str">
        <f>IF(COUNTIF($A53:$E53,"&lt;&gt;")=0,"",IF(OR($B53="",$C53=""),"Wähle aus, wer gezahlt und wer das Geld erhalten hat.",IF($B53=$C53,"Wähle zwei unterschiedliche Personen aus.",IF(OR($D53="",$D53&lt;=0),"Trage einen Betrag größer als null ein.","Geprüft"))))</f>
      </c>
    </row>
    <row r="54">
      <c r="A54" s="83"/>
      <c r="B54" s="57"/>
      <c r="C54" s="57"/>
      <c r="D54" s="85"/>
      <c r="E54" s="57"/>
      <c r="F54" s="81" t="str">
        <f>IF(COUNTIF($A54:$E54,"&lt;&gt;")=0,"",IF(OR($B54="",$C54=""),"Wähle aus, wer gezahlt und wer das Geld erhalten hat.",IF($B54=$C54,"Wähle zwei unterschiedliche Personen aus.",IF(OR($D54="",$D54&lt;=0),"Trage einen Betrag größer als null ein.","Geprüft"))))</f>
      </c>
    </row>
    <row r="55">
      <c r="A55" s="83"/>
      <c r="B55" s="57"/>
      <c r="C55" s="57"/>
      <c r="D55" s="85"/>
      <c r="E55" s="57"/>
      <c r="F55" s="81" t="str">
        <f>IF(COUNTIF($A55:$E55,"&lt;&gt;")=0,"",IF(OR($B55="",$C55=""),"Wähle aus, wer gezahlt und wer das Geld erhalten hat.",IF($B55=$C55,"Wähle zwei unterschiedliche Personen aus.",IF(OR($D55="",$D55&lt;=0),"Trage einen Betrag größer als null ein.","Geprüft"))))</f>
      </c>
    </row>
    <row r="56">
      <c r="A56" s="83"/>
      <c r="B56" s="57"/>
      <c r="C56" s="57"/>
      <c r="D56" s="85"/>
      <c r="E56" s="57"/>
      <c r="F56" s="81" t="str">
        <f>IF(COUNTIF($A56:$E56,"&lt;&gt;")=0,"",IF(OR($B56="",$C56=""),"Wähle aus, wer gezahlt und wer das Geld erhalten hat.",IF($B56=$C56,"Wähle zwei unterschiedliche Personen aus.",IF(OR($D56="",$D56&lt;=0),"Trage einen Betrag größer als null ein.","Geprüft"))))</f>
      </c>
    </row>
    <row r="57">
      <c r="A57" s="83"/>
      <c r="B57" s="57"/>
      <c r="C57" s="57"/>
      <c r="D57" s="85"/>
      <c r="E57" s="57"/>
      <c r="F57" s="81" t="str">
        <f>IF(COUNTIF($A57:$E57,"&lt;&gt;")=0,"",IF(OR($B57="",$C57=""),"Wähle aus, wer gezahlt und wer das Geld erhalten hat.",IF($B57=$C57,"Wähle zwei unterschiedliche Personen aus.",IF(OR($D57="",$D57&lt;=0),"Trage einen Betrag größer als null ein.","Geprüft"))))</f>
      </c>
    </row>
    <row r="58">
      <c r="A58" s="83"/>
      <c r="B58" s="57"/>
      <c r="C58" s="57"/>
      <c r="D58" s="85"/>
      <c r="E58" s="57"/>
      <c r="F58" s="81" t="str">
        <f>IF(COUNTIF($A58:$E58,"&lt;&gt;")=0,"",IF(OR($B58="",$C58=""),"Wähle aus, wer gezahlt und wer das Geld erhalten hat.",IF($B58=$C58,"Wähle zwei unterschiedliche Personen aus.",IF(OR($D58="",$D58&lt;=0),"Trage einen Betrag größer als null ein.","Geprüft"))))</f>
      </c>
    </row>
    <row r="59">
      <c r="A59" s="83"/>
      <c r="B59" s="57"/>
      <c r="C59" s="57"/>
      <c r="D59" s="85"/>
      <c r="E59" s="57"/>
      <c r="F59" s="81" t="str">
        <f>IF(COUNTIF($A59:$E59,"&lt;&gt;")=0,"",IF(OR($B59="",$C59=""),"Wähle aus, wer gezahlt und wer das Geld erhalten hat.",IF($B59=$C59,"Wähle zwei unterschiedliche Personen aus.",IF(OR($D59="",$D59&lt;=0),"Trage einen Betrag größer als null ein.","Geprüft"))))</f>
      </c>
    </row>
    <row r="60">
      <c r="A60" s="83"/>
      <c r="B60" s="57"/>
      <c r="C60" s="57"/>
      <c r="D60" s="85"/>
      <c r="E60" s="57"/>
      <c r="F60" s="81" t="str">
        <f>IF(COUNTIF($A60:$E60,"&lt;&gt;")=0,"",IF(OR($B60="",$C60=""),"Wähle aus, wer gezahlt und wer das Geld erhalten hat.",IF($B60=$C60,"Wähle zwei unterschiedliche Personen aus.",IF(OR($D60="",$D60&lt;=0),"Trage einen Betrag größer als null ein.","Geprüft"))))</f>
      </c>
    </row>
    <row r="61">
      <c r="A61" s="83"/>
      <c r="B61" s="57"/>
      <c r="C61" s="57"/>
      <c r="D61" s="85"/>
      <c r="E61" s="57"/>
      <c r="F61" s="81" t="str">
        <f>IF(COUNTIF($A61:$E61,"&lt;&gt;")=0,"",IF(OR($B61="",$C61=""),"Wähle aus, wer gezahlt und wer das Geld erhalten hat.",IF($B61=$C61,"Wähle zwei unterschiedliche Personen aus.",IF(OR($D61="",$D61&lt;=0),"Trage einen Betrag größer als null ein.","Geprüft"))))</f>
      </c>
    </row>
    <row r="62">
      <c r="A62" s="83"/>
      <c r="B62" s="57"/>
      <c r="C62" s="57"/>
      <c r="D62" s="85"/>
      <c r="E62" s="57"/>
      <c r="F62" s="81" t="str">
        <f>IF(COUNTIF($A62:$E62,"&lt;&gt;")=0,"",IF(OR($B62="",$C62=""),"Wähle aus, wer gezahlt und wer das Geld erhalten hat.",IF($B62=$C62,"Wähle zwei unterschiedliche Personen aus.",IF(OR($D62="",$D62&lt;=0),"Trage einen Betrag größer als null ein.","Geprüft"))))</f>
      </c>
    </row>
    <row r="63">
      <c r="A63" s="83"/>
      <c r="B63" s="57"/>
      <c r="C63" s="57"/>
      <c r="D63" s="85"/>
      <c r="E63" s="57"/>
      <c r="F63" s="81" t="str">
        <f>IF(COUNTIF($A63:$E63,"&lt;&gt;")=0,"",IF(OR($B63="",$C63=""),"Wähle aus, wer gezahlt und wer das Geld erhalten hat.",IF($B63=$C63,"Wähle zwei unterschiedliche Personen aus.",IF(OR($D63="",$D63&lt;=0),"Trage einen Betrag größer als null ein.","Geprüft"))))</f>
      </c>
    </row>
    <row r="64">
      <c r="A64" s="83"/>
      <c r="B64" s="57"/>
      <c r="C64" s="57"/>
      <c r="D64" s="85"/>
      <c r="E64" s="57"/>
      <c r="F64" s="81" t="str">
        <f>IF(COUNTIF($A64:$E64,"&lt;&gt;")=0,"",IF(OR($B64="",$C64=""),"Wähle aus, wer gezahlt und wer das Geld erhalten hat.",IF($B64=$C64,"Wähle zwei unterschiedliche Personen aus.",IF(OR($D64="",$D64&lt;=0),"Trage einen Betrag größer als null ein.","Geprüft"))))</f>
      </c>
    </row>
    <row r="65">
      <c r="A65" s="83"/>
      <c r="B65" s="57"/>
      <c r="C65" s="57"/>
      <c r="D65" s="85"/>
      <c r="E65" s="57"/>
      <c r="F65" s="81" t="str">
        <f>IF(COUNTIF($A65:$E65,"&lt;&gt;")=0,"",IF(OR($B65="",$C65=""),"Wähle aus, wer gezahlt und wer das Geld erhalten hat.",IF($B65=$C65,"Wähle zwei unterschiedliche Personen aus.",IF(OR($D65="",$D65&lt;=0),"Trage einen Betrag größer als null ein.","Geprüft"))))</f>
      </c>
    </row>
    <row r="66">
      <c r="A66" s="83"/>
      <c r="B66" s="57"/>
      <c r="C66" s="57"/>
      <c r="D66" s="85"/>
      <c r="E66" s="57"/>
      <c r="F66" s="81" t="str">
        <f>IF(COUNTIF($A66:$E66,"&lt;&gt;")=0,"",IF(OR($B66="",$C66=""),"Wähle aus, wer gezahlt und wer das Geld erhalten hat.",IF($B66=$C66,"Wähle zwei unterschiedliche Personen aus.",IF(OR($D66="",$D66&lt;=0),"Trage einen Betrag größer als null ein.","Geprüft"))))</f>
      </c>
    </row>
    <row r="67">
      <c r="A67" s="83"/>
      <c r="B67" s="57"/>
      <c r="C67" s="57"/>
      <c r="D67" s="85"/>
      <c r="E67" s="57"/>
      <c r="F67" s="81" t="str">
        <f>IF(COUNTIF($A67:$E67,"&lt;&gt;")=0,"",IF(OR($B67="",$C67=""),"Wähle aus, wer gezahlt und wer das Geld erhalten hat.",IF($B67=$C67,"Wähle zwei unterschiedliche Personen aus.",IF(OR($D67="",$D67&lt;=0),"Trage einen Betrag größer als null ein.","Geprüft"))))</f>
      </c>
    </row>
    <row r="68">
      <c r="A68" s="83"/>
      <c r="B68" s="57"/>
      <c r="C68" s="57"/>
      <c r="D68" s="85"/>
      <c r="E68" s="57"/>
      <c r="F68" s="81" t="str">
        <f>IF(COUNTIF($A68:$E68,"&lt;&gt;")=0,"",IF(OR($B68="",$C68=""),"Wähle aus, wer gezahlt und wer das Geld erhalten hat.",IF($B68=$C68,"Wähle zwei unterschiedliche Personen aus.",IF(OR($D68="",$D68&lt;=0),"Trage einen Betrag größer als null ein.","Geprüft"))))</f>
      </c>
    </row>
    <row r="69">
      <c r="A69" s="83"/>
      <c r="B69" s="57"/>
      <c r="C69" s="57"/>
      <c r="D69" s="85"/>
      <c r="E69" s="57"/>
      <c r="F69" s="81" t="str">
        <f>IF(COUNTIF($A69:$E69,"&lt;&gt;")=0,"",IF(OR($B69="",$C69=""),"Wähle aus, wer gezahlt und wer das Geld erhalten hat.",IF($B69=$C69,"Wähle zwei unterschiedliche Personen aus.",IF(OR($D69="",$D69&lt;=0),"Trage einen Betrag größer als null ein.","Geprüft"))))</f>
      </c>
    </row>
    <row r="70">
      <c r="A70" s="83"/>
      <c r="B70" s="57"/>
      <c r="C70" s="57"/>
      <c r="D70" s="85"/>
      <c r="E70" s="57"/>
      <c r="F70" s="81" t="str">
        <f>IF(COUNTIF($A70:$E70,"&lt;&gt;")=0,"",IF(OR($B70="",$C70=""),"Wähle aus, wer gezahlt und wer das Geld erhalten hat.",IF($B70=$C70,"Wähle zwei unterschiedliche Personen aus.",IF(OR($D70="",$D70&lt;=0),"Trage einen Betrag größer als null ein.","Geprüft"))))</f>
      </c>
    </row>
    <row r="71">
      <c r="A71" s="83"/>
      <c r="B71" s="57"/>
      <c r="C71" s="57"/>
      <c r="D71" s="85"/>
      <c r="E71" s="57"/>
      <c r="F71" s="81" t="str">
        <f>IF(COUNTIF($A71:$E71,"&lt;&gt;")=0,"",IF(OR($B71="",$C71=""),"Wähle aus, wer gezahlt und wer das Geld erhalten hat.",IF($B71=$C71,"Wähle zwei unterschiedliche Personen aus.",IF(OR($D71="",$D71&lt;=0),"Trage einen Betrag größer als null ein.","Geprüft"))))</f>
      </c>
    </row>
    <row r="72">
      <c r="A72" s="83"/>
      <c r="B72" s="57"/>
      <c r="C72" s="57"/>
      <c r="D72" s="85"/>
      <c r="E72" s="57"/>
      <c r="F72" s="81" t="str">
        <f>IF(COUNTIF($A72:$E72,"&lt;&gt;")=0,"",IF(OR($B72="",$C72=""),"Wähle aus, wer gezahlt und wer das Geld erhalten hat.",IF($B72=$C72,"Wähle zwei unterschiedliche Personen aus.",IF(OR($D72="",$D72&lt;=0),"Trage einen Betrag größer als null ein.","Geprüft"))))</f>
      </c>
    </row>
    <row r="73">
      <c r="A73" s="83"/>
      <c r="B73" s="57"/>
      <c r="C73" s="57"/>
      <c r="D73" s="85"/>
      <c r="E73" s="57"/>
      <c r="F73" s="81" t="str">
        <f>IF(COUNTIF($A73:$E73,"&lt;&gt;")=0,"",IF(OR($B73="",$C73=""),"Wähle aus, wer gezahlt und wer das Geld erhalten hat.",IF($B73=$C73,"Wähle zwei unterschiedliche Personen aus.",IF(OR($D73="",$D73&lt;=0),"Trage einen Betrag größer als null ein.","Geprüft"))))</f>
      </c>
    </row>
    <row r="74">
      <c r="A74" s="83"/>
      <c r="B74" s="57"/>
      <c r="C74" s="57"/>
      <c r="D74" s="85"/>
      <c r="E74" s="57"/>
      <c r="F74" s="81" t="str">
        <f>IF(COUNTIF($A74:$E74,"&lt;&gt;")=0,"",IF(OR($B74="",$C74=""),"Wähle aus, wer gezahlt und wer das Geld erhalten hat.",IF($B74=$C74,"Wähle zwei unterschiedliche Personen aus.",IF(OR($D74="",$D74&lt;=0),"Trage einen Betrag größer als null ein.","Geprüft"))))</f>
      </c>
    </row>
    <row r="75">
      <c r="A75" s="83"/>
      <c r="B75" s="57"/>
      <c r="C75" s="57"/>
      <c r="D75" s="85"/>
      <c r="E75" s="57"/>
      <c r="F75" s="81" t="str">
        <f>IF(COUNTIF($A75:$E75,"&lt;&gt;")=0,"",IF(OR($B75="",$C75=""),"Wähle aus, wer gezahlt und wer das Geld erhalten hat.",IF($B75=$C75,"Wähle zwei unterschiedliche Personen aus.",IF(OR($D75="",$D75&lt;=0),"Trage einen Betrag größer als null ein.","Geprüft"))))</f>
      </c>
    </row>
    <row r="76">
      <c r="A76" s="83"/>
      <c r="B76" s="57"/>
      <c r="C76" s="57"/>
      <c r="D76" s="85"/>
      <c r="E76" s="57"/>
      <c r="F76" s="81" t="str">
        <f>IF(COUNTIF($A76:$E76,"&lt;&gt;")=0,"",IF(OR($B76="",$C76=""),"Wähle aus, wer gezahlt und wer das Geld erhalten hat.",IF($B76=$C76,"Wähle zwei unterschiedliche Personen aus.",IF(OR($D76="",$D76&lt;=0),"Trage einen Betrag größer als null ein.","Geprüft"))))</f>
      </c>
    </row>
    <row r="77">
      <c r="A77" s="83"/>
      <c r="B77" s="57"/>
      <c r="C77" s="57"/>
      <c r="D77" s="85"/>
      <c r="E77" s="57"/>
      <c r="F77" s="81" t="str">
        <f>IF(COUNTIF($A77:$E77,"&lt;&gt;")=0,"",IF(OR($B77="",$C77=""),"Wähle aus, wer gezahlt und wer das Geld erhalten hat.",IF($B77=$C77,"Wähle zwei unterschiedliche Personen aus.",IF(OR($D77="",$D77&lt;=0),"Trage einen Betrag größer als null ein.","Geprüft"))))</f>
      </c>
    </row>
    <row r="78">
      <c r="A78" s="83"/>
      <c r="B78" s="57"/>
      <c r="C78" s="57"/>
      <c r="D78" s="85"/>
      <c r="E78" s="57"/>
      <c r="F78" s="81" t="str">
        <f>IF(COUNTIF($A78:$E78,"&lt;&gt;")=0,"",IF(OR($B78="",$C78=""),"Wähle aus, wer gezahlt und wer das Geld erhalten hat.",IF($B78=$C78,"Wähle zwei unterschiedliche Personen aus.",IF(OR($D78="",$D78&lt;=0),"Trage einen Betrag größer als null ein.","Geprüft"))))</f>
      </c>
    </row>
    <row r="79">
      <c r="A79" s="83"/>
      <c r="B79" s="57"/>
      <c r="C79" s="57"/>
      <c r="D79" s="85"/>
      <c r="E79" s="57"/>
      <c r="F79" s="81" t="str">
        <f>IF(COUNTIF($A79:$E79,"&lt;&gt;")=0,"",IF(OR($B79="",$C79=""),"Wähle aus, wer gezahlt und wer das Geld erhalten hat.",IF($B79=$C79,"Wähle zwei unterschiedliche Personen aus.",IF(OR($D79="",$D79&lt;=0),"Trage einen Betrag größer als null ein.","Geprüft"))))</f>
      </c>
    </row>
    <row r="80">
      <c r="A80" s="83"/>
      <c r="B80" s="57"/>
      <c r="C80" s="57"/>
      <c r="D80" s="85"/>
      <c r="E80" s="57"/>
      <c r="F80" s="81" t="str">
        <f>IF(COUNTIF($A80:$E80,"&lt;&gt;")=0,"",IF(OR($B80="",$C80=""),"Wähle aus, wer gezahlt und wer das Geld erhalten hat.",IF($B80=$C80,"Wähle zwei unterschiedliche Personen aus.",IF(OR($D80="",$D80&lt;=0),"Trage einen Betrag größer als null ein.","Geprüft"))))</f>
      </c>
    </row>
    <row r="81">
      <c r="A81" s="83"/>
      <c r="B81" s="57"/>
      <c r="C81" s="57"/>
      <c r="D81" s="85"/>
      <c r="E81" s="57"/>
      <c r="F81" s="81" t="str">
        <f>IF(COUNTIF($A81:$E81,"&lt;&gt;")=0,"",IF(OR($B81="",$C81=""),"Wähle aus, wer gezahlt und wer das Geld erhalten hat.",IF($B81=$C81,"Wähle zwei unterschiedliche Personen aus.",IF(OR($D81="",$D81&lt;=0),"Trage einen Betrag größer als null ein.","Geprüft"))))</f>
      </c>
    </row>
    <row r="82">
      <c r="A82" s="83"/>
      <c r="B82" s="57"/>
      <c r="C82" s="57"/>
      <c r="D82" s="85"/>
      <c r="E82" s="57"/>
      <c r="F82" s="81" t="str">
        <f>IF(COUNTIF($A82:$E82,"&lt;&gt;")=0,"",IF(OR($B82="",$C82=""),"Wähle aus, wer gezahlt und wer das Geld erhalten hat.",IF($B82=$C82,"Wähle zwei unterschiedliche Personen aus.",IF(OR($D82="",$D82&lt;=0),"Trage einen Betrag größer als null ein.","Geprüft"))))</f>
      </c>
    </row>
    <row r="83">
      <c r="A83" s="83"/>
      <c r="B83" s="57"/>
      <c r="C83" s="57"/>
      <c r="D83" s="85"/>
      <c r="E83" s="57"/>
      <c r="F83" s="81" t="str">
        <f>IF(COUNTIF($A83:$E83,"&lt;&gt;")=0,"",IF(OR($B83="",$C83=""),"Wähle aus, wer gezahlt und wer das Geld erhalten hat.",IF($B83=$C83,"Wähle zwei unterschiedliche Personen aus.",IF(OR($D83="",$D83&lt;=0),"Trage einen Betrag größer als null ein.","Geprüft"))))</f>
      </c>
    </row>
    <row r="84">
      <c r="A84" s="83"/>
      <c r="B84" s="57"/>
      <c r="C84" s="57"/>
      <c r="D84" s="85"/>
      <c r="E84" s="57"/>
      <c r="F84" s="81" t="str">
        <f>IF(COUNTIF($A84:$E84,"&lt;&gt;")=0,"",IF(OR($B84="",$C84=""),"Wähle aus, wer gezahlt und wer das Geld erhalten hat.",IF($B84=$C84,"Wähle zwei unterschiedliche Personen aus.",IF(OR($D84="",$D84&lt;=0),"Trage einen Betrag größer als null ein.","Geprüft"))))</f>
      </c>
    </row>
    <row r="85">
      <c r="A85" s="83"/>
      <c r="B85" s="57"/>
      <c r="C85" s="57"/>
      <c r="D85" s="85"/>
      <c r="E85" s="57"/>
      <c r="F85" s="81" t="str">
        <f>IF(COUNTIF($A85:$E85,"&lt;&gt;")=0,"",IF(OR($B85="",$C85=""),"Wähle aus, wer gezahlt und wer das Geld erhalten hat.",IF($B85=$C85,"Wähle zwei unterschiedliche Personen aus.",IF(OR($D85="",$D85&lt;=0),"Trage einen Betrag größer als null ein.","Geprüft"))))</f>
      </c>
    </row>
    <row r="86">
      <c r="A86" s="83"/>
      <c r="B86" s="57"/>
      <c r="C86" s="57"/>
      <c r="D86" s="85"/>
      <c r="E86" s="57"/>
      <c r="F86" s="81" t="str">
        <f>IF(COUNTIF($A86:$E86,"&lt;&gt;")=0,"",IF(OR($B86="",$C86=""),"Wähle aus, wer gezahlt und wer das Geld erhalten hat.",IF($B86=$C86,"Wähle zwei unterschiedliche Personen aus.",IF(OR($D86="",$D86&lt;=0),"Trage einen Betrag größer als null ein.","Geprüft"))))</f>
      </c>
    </row>
    <row r="87">
      <c r="A87" s="83"/>
      <c r="B87" s="57"/>
      <c r="C87" s="57"/>
      <c r="D87" s="85"/>
      <c r="E87" s="57"/>
      <c r="F87" s="81" t="str">
        <f>IF(COUNTIF($A87:$E87,"&lt;&gt;")=0,"",IF(OR($B87="",$C87=""),"Wähle aus, wer gezahlt und wer das Geld erhalten hat.",IF($B87=$C87,"Wähle zwei unterschiedliche Personen aus.",IF(OR($D87="",$D87&lt;=0),"Trage einen Betrag größer als null ein.","Geprüft"))))</f>
      </c>
    </row>
    <row r="88">
      <c r="A88" s="83"/>
      <c r="B88" s="57"/>
      <c r="C88" s="57"/>
      <c r="D88" s="85"/>
      <c r="E88" s="57"/>
      <c r="F88" s="81" t="str">
        <f>IF(COUNTIF($A88:$E88,"&lt;&gt;")=0,"",IF(OR($B88="",$C88=""),"Wähle aus, wer gezahlt und wer das Geld erhalten hat.",IF($B88=$C88,"Wähle zwei unterschiedliche Personen aus.",IF(OR($D88="",$D88&lt;=0),"Trage einen Betrag größer als null ein.","Geprüft"))))</f>
      </c>
    </row>
    <row r="89">
      <c r="A89" s="83"/>
      <c r="B89" s="57"/>
      <c r="C89" s="57"/>
      <c r="D89" s="85"/>
      <c r="E89" s="57"/>
      <c r="F89" s="81" t="str">
        <f>IF(COUNTIF($A89:$E89,"&lt;&gt;")=0,"",IF(OR($B89="",$C89=""),"Wähle aus, wer gezahlt und wer das Geld erhalten hat.",IF($B89=$C89,"Wähle zwei unterschiedliche Personen aus.",IF(OR($D89="",$D89&lt;=0),"Trage einen Betrag größer als null ein.","Geprüft"))))</f>
      </c>
    </row>
    <row r="90">
      <c r="A90" s="83"/>
      <c r="B90" s="57"/>
      <c r="C90" s="57"/>
      <c r="D90" s="85"/>
      <c r="E90" s="57"/>
      <c r="F90" s="81" t="str">
        <f>IF(COUNTIF($A90:$E90,"&lt;&gt;")=0,"",IF(OR($B90="",$C90=""),"Wähle aus, wer gezahlt und wer das Geld erhalten hat.",IF($B90=$C90,"Wähle zwei unterschiedliche Personen aus.",IF(OR($D90="",$D90&lt;=0),"Trage einen Betrag größer als null ein.","Geprüft"))))</f>
      </c>
    </row>
    <row r="91">
      <c r="A91" s="83"/>
      <c r="B91" s="57"/>
      <c r="C91" s="57"/>
      <c r="D91" s="85"/>
      <c r="E91" s="57"/>
      <c r="F91" s="81" t="str">
        <f>IF(COUNTIF($A91:$E91,"&lt;&gt;")=0,"",IF(OR($B91="",$C91=""),"Wähle aus, wer gezahlt und wer das Geld erhalten hat.",IF($B91=$C91,"Wähle zwei unterschiedliche Personen aus.",IF(OR($D91="",$D91&lt;=0),"Trage einen Betrag größer als null ein.","Geprüft"))))</f>
      </c>
    </row>
    <row r="92">
      <c r="A92" s="83"/>
      <c r="B92" s="57"/>
      <c r="C92" s="57"/>
      <c r="D92" s="85"/>
      <c r="E92" s="57"/>
      <c r="F92" s="81" t="str">
        <f>IF(COUNTIF($A92:$E92,"&lt;&gt;")=0,"",IF(OR($B92="",$C92=""),"Wähle aus, wer gezahlt und wer das Geld erhalten hat.",IF($B92=$C92,"Wähle zwei unterschiedliche Personen aus.",IF(OR($D92="",$D92&lt;=0),"Trage einen Betrag größer als null ein.","Geprüft"))))</f>
      </c>
    </row>
    <row r="93">
      <c r="A93" s="83"/>
      <c r="B93" s="57"/>
      <c r="C93" s="57"/>
      <c r="D93" s="85"/>
      <c r="E93" s="57"/>
      <c r="F93" s="81" t="str">
        <f>IF(COUNTIF($A93:$E93,"&lt;&gt;")=0,"",IF(OR($B93="",$C93=""),"Wähle aus, wer gezahlt und wer das Geld erhalten hat.",IF($B93=$C93,"Wähle zwei unterschiedliche Personen aus.",IF(OR($D93="",$D93&lt;=0),"Trage einen Betrag größer als null ein.","Geprüft"))))</f>
      </c>
    </row>
    <row r="94">
      <c r="A94" s="83"/>
      <c r="B94" s="57"/>
      <c r="C94" s="57"/>
      <c r="D94" s="85"/>
      <c r="E94" s="57"/>
      <c r="F94" s="81" t="str">
        <f>IF(COUNTIF($A94:$E94,"&lt;&gt;")=0,"",IF(OR($B94="",$C94=""),"Wähle aus, wer gezahlt und wer das Geld erhalten hat.",IF($B94=$C94,"Wähle zwei unterschiedliche Personen aus.",IF(OR($D94="",$D94&lt;=0),"Trage einen Betrag größer als null ein.","Geprüft"))))</f>
      </c>
    </row>
    <row r="95">
      <c r="A95" s="83"/>
      <c r="B95" s="57"/>
      <c r="C95" s="57"/>
      <c r="D95" s="85"/>
      <c r="E95" s="57"/>
      <c r="F95" s="81" t="str">
        <f>IF(COUNTIF($A95:$E95,"&lt;&gt;")=0,"",IF(OR($B95="",$C95=""),"Wähle aus, wer gezahlt und wer das Geld erhalten hat.",IF($B95=$C95,"Wähle zwei unterschiedliche Personen aus.",IF(OR($D95="",$D95&lt;=0),"Trage einen Betrag größer als null ein.","Geprüft"))))</f>
      </c>
    </row>
    <row r="96">
      <c r="A96" s="83"/>
      <c r="B96" s="57"/>
      <c r="C96" s="57"/>
      <c r="D96" s="85"/>
      <c r="E96" s="57"/>
      <c r="F96" s="81" t="str">
        <f>IF(COUNTIF($A96:$E96,"&lt;&gt;")=0,"",IF(OR($B96="",$C96=""),"Wähle aus, wer gezahlt und wer das Geld erhalten hat.",IF($B96=$C96,"Wähle zwei unterschiedliche Personen aus.",IF(OR($D96="",$D96&lt;=0),"Trage einen Betrag größer als null ein.","Geprüft"))))</f>
      </c>
    </row>
    <row r="97">
      <c r="A97" s="83"/>
      <c r="B97" s="57"/>
      <c r="C97" s="57"/>
      <c r="D97" s="85"/>
      <c r="E97" s="57"/>
      <c r="F97" s="81" t="str">
        <f>IF(COUNTIF($A97:$E97,"&lt;&gt;")=0,"",IF(OR($B97="",$C97=""),"Wähle aus, wer gezahlt und wer das Geld erhalten hat.",IF($B97=$C97,"Wähle zwei unterschiedliche Personen aus.",IF(OR($D97="",$D97&lt;=0),"Trage einen Betrag größer als null ein.","Geprüft"))))</f>
      </c>
    </row>
    <row r="98">
      <c r="A98" s="83"/>
      <c r="B98" s="57"/>
      <c r="C98" s="57"/>
      <c r="D98" s="85"/>
      <c r="E98" s="57"/>
      <c r="F98" s="81" t="str">
        <f>IF(COUNTIF($A98:$E98,"&lt;&gt;")=0,"",IF(OR($B98="",$C98=""),"Wähle aus, wer gezahlt und wer das Geld erhalten hat.",IF($B98=$C98,"Wähle zwei unterschiedliche Personen aus.",IF(OR($D98="",$D98&lt;=0),"Trage einen Betrag größer als null ein.","Geprüft"))))</f>
      </c>
    </row>
    <row r="99">
      <c r="A99" s="83"/>
      <c r="B99" s="57"/>
      <c r="C99" s="57"/>
      <c r="D99" s="85"/>
      <c r="E99" s="57"/>
      <c r="F99" s="81" t="str">
        <f>IF(COUNTIF($A99:$E99,"&lt;&gt;")=0,"",IF(OR($B99="",$C99=""),"Wähle aus, wer gezahlt und wer das Geld erhalten hat.",IF($B99=$C99,"Wähle zwei unterschiedliche Personen aus.",IF(OR($D99="",$D99&lt;=0),"Trage einen Betrag größer als null ein.","Geprüft"))))</f>
      </c>
    </row>
    <row r="100">
      <c r="A100" s="83"/>
      <c r="B100" s="57"/>
      <c r="C100" s="57"/>
      <c r="D100" s="85"/>
      <c r="E100" s="57"/>
      <c r="F100" s="81" t="str">
        <f>IF(COUNTIF($A100:$E100,"&lt;&gt;")=0,"",IF(OR($B100="",$C100=""),"Wähle aus, wer gezahlt und wer das Geld erhalten hat.",IF($B100=$C100,"Wähle zwei unterschiedliche Personen aus.",IF(OR($D100="",$D100&lt;=0),"Trage einen Betrag größer als null ein.","Geprüft"))))</f>
      </c>
    </row>
    <row r="101">
      <c r="A101" s="83"/>
      <c r="B101" s="57"/>
      <c r="C101" s="57"/>
      <c r="D101" s="85"/>
      <c r="E101" s="57"/>
      <c r="F101" s="81" t="str">
        <f>IF(COUNTIF($A101:$E101,"&lt;&gt;")=0,"",IF(OR($B101="",$C101=""),"Wähle aus, wer gezahlt und wer das Geld erhalten hat.",IF($B101=$C101,"Wähle zwei unterschiedliche Personen aus.",IF(OR($D101="",$D101&lt;=0),"Trage einen Betrag größer als null ein.","Geprüft"))))</f>
      </c>
    </row>
    <row r="102">
      <c r="A102" s="83"/>
      <c r="B102" s="57"/>
      <c r="C102" s="57"/>
      <c r="D102" s="85"/>
      <c r="E102" s="57"/>
      <c r="F102" s="81" t="str">
        <f>IF(COUNTIF($A102:$E102,"&lt;&gt;")=0,"",IF(OR($B102="",$C102=""),"Wähle aus, wer gezahlt und wer das Geld erhalten hat.",IF($B102=$C102,"Wähle zwei unterschiedliche Personen aus.",IF(OR($D102="",$D102&lt;=0),"Trage einen Betrag größer als null ein.","Geprüft"))))</f>
      </c>
    </row>
    <row r="103">
      <c r="A103" s="83"/>
      <c r="B103" s="57"/>
      <c r="C103" s="57"/>
      <c r="D103" s="85"/>
      <c r="E103" s="57"/>
      <c r="F103" s="81" t="str">
        <f>IF(COUNTIF($A103:$E103,"&lt;&gt;")=0,"",IF(OR($B103="",$C103=""),"Wähle aus, wer gezahlt und wer das Geld erhalten hat.",IF($B103=$C103,"Wähle zwei unterschiedliche Personen aus.",IF(OR($D103="",$D103&lt;=0),"Trage einen Betrag größer als null ein.","Geprüft"))))</f>
      </c>
    </row>
    <row r="104">
      <c r="A104" s="83"/>
      <c r="B104" s="57"/>
      <c r="C104" s="57"/>
      <c r="D104" s="85"/>
      <c r="E104" s="57"/>
      <c r="F104" s="81" t="str">
        <f>IF(COUNTIF($A104:$E104,"&lt;&gt;")=0,"",IF(OR($B104="",$C104=""),"Wähle aus, wer gezahlt und wer das Geld erhalten hat.",IF($B104=$C104,"Wähle zwei unterschiedliche Personen aus.",IF(OR($D104="",$D104&lt;=0),"Trage einen Betrag größer als null ein.","Geprüft"))))</f>
      </c>
    </row>
    <row r="105">
      <c r="A105" s="83"/>
      <c r="B105" s="57"/>
      <c r="C105" s="57"/>
      <c r="D105" s="85"/>
      <c r="E105" s="57"/>
      <c r="F105" s="81" t="str">
        <f>IF(COUNTIF($A105:$E105,"&lt;&gt;")=0,"",IF(OR($B105="",$C105=""),"Wähle aus, wer gezahlt und wer das Geld erhalten hat.",IF($B105=$C105,"Wähle zwei unterschiedliche Personen aus.",IF(OR($D105="",$D105&lt;=0),"Trage einen Betrag größer als null ein.","Geprüft"))))</f>
      </c>
    </row>
    <row r="106">
      <c r="A106" s="83"/>
      <c r="B106" s="57"/>
      <c r="C106" s="57"/>
      <c r="D106" s="85"/>
      <c r="E106" s="57"/>
      <c r="F106" s="81" t="str">
        <f>IF(COUNTIF($A106:$E106,"&lt;&gt;")=0,"",IF(OR($B106="",$C106=""),"Wähle aus, wer gezahlt und wer das Geld erhalten hat.",IF($B106=$C106,"Wähle zwei unterschiedliche Personen aus.",IF(OR($D106="",$D106&lt;=0),"Trage einen Betrag größer als null ein.","Geprüft"))))</f>
      </c>
    </row>
    <row r="107">
      <c r="A107" s="83"/>
      <c r="B107" s="57"/>
      <c r="C107" s="57"/>
      <c r="D107" s="85"/>
      <c r="E107" s="57"/>
      <c r="F107" s="81" t="str">
        <f>IF(COUNTIF($A107:$E107,"&lt;&gt;")=0,"",IF(OR($B107="",$C107=""),"Wähle aus, wer gezahlt und wer das Geld erhalten hat.",IF($B107=$C107,"Wähle zwei unterschiedliche Personen aus.",IF(OR($D107="",$D107&lt;=0),"Trage einen Betrag größer als null ein.","Geprüft"))))</f>
      </c>
    </row>
    <row r="108">
      <c r="A108" s="83"/>
      <c r="B108" s="57"/>
      <c r="C108" s="57"/>
      <c r="D108" s="85"/>
      <c r="E108" s="57"/>
      <c r="F108" s="81" t="str">
        <f>IF(COUNTIF($A108:$E108,"&lt;&gt;")=0,"",IF(OR($B108="",$C108=""),"Wähle aus, wer gezahlt und wer das Geld erhalten hat.",IF($B108=$C108,"Wähle zwei unterschiedliche Personen aus.",IF(OR($D108="",$D108&lt;=0),"Trage einen Betrag größer als null ein.","Geprüft"))))</f>
      </c>
    </row>
    <row r="109">
      <c r="A109" s="83"/>
      <c r="B109" s="57"/>
      <c r="C109" s="57"/>
      <c r="D109" s="85"/>
      <c r="E109" s="57"/>
      <c r="F109" s="81" t="str">
        <f>IF(COUNTIF($A109:$E109,"&lt;&gt;")=0,"",IF(OR($B109="",$C109=""),"Wähle aus, wer gezahlt und wer das Geld erhalten hat.",IF($B109=$C109,"Wähle zwei unterschiedliche Personen aus.",IF(OR($D109="",$D109&lt;=0),"Trage einen Betrag größer als null ein.","Geprüft"))))</f>
      </c>
    </row>
    <row r="110">
      <c r="A110" s="83"/>
      <c r="B110" s="57"/>
      <c r="C110" s="57"/>
      <c r="D110" s="85"/>
      <c r="E110" s="57"/>
      <c r="F110" s="81" t="str">
        <f>IF(COUNTIF($A110:$E110,"&lt;&gt;")=0,"",IF(OR($B110="",$C110=""),"Wähle aus, wer gezahlt und wer das Geld erhalten hat.",IF($B110=$C110,"Wähle zwei unterschiedliche Personen aus.",IF(OR($D110="",$D110&lt;=0),"Trage einen Betrag größer als null ein.","Geprüft"))))</f>
      </c>
    </row>
    <row r="111">
      <c r="A111" s="83"/>
      <c r="B111" s="57"/>
      <c r="C111" s="57"/>
      <c r="D111" s="85"/>
      <c r="E111" s="57"/>
      <c r="F111" s="81" t="str">
        <f>IF(COUNTIF($A111:$E111,"&lt;&gt;")=0,"",IF(OR($B111="",$C111=""),"Wähle aus, wer gezahlt und wer das Geld erhalten hat.",IF($B111=$C111,"Wähle zwei unterschiedliche Personen aus.",IF(OR($D111="",$D111&lt;=0),"Trage einen Betrag größer als null ein.","Geprüft"))))</f>
      </c>
    </row>
    <row r="112">
      <c r="A112" s="83"/>
      <c r="B112" s="57"/>
      <c r="C112" s="57"/>
      <c r="D112" s="85"/>
      <c r="E112" s="57"/>
      <c r="F112" s="81" t="str">
        <f>IF(COUNTIF($A112:$E112,"&lt;&gt;")=0,"",IF(OR($B112="",$C112=""),"Wähle aus, wer gezahlt und wer das Geld erhalten hat.",IF($B112=$C112,"Wähle zwei unterschiedliche Personen aus.",IF(OR($D112="",$D112&lt;=0),"Trage einen Betrag größer als null ein.","Geprüft"))))</f>
      </c>
    </row>
    <row r="113">
      <c r="A113" s="83"/>
      <c r="B113" s="57"/>
      <c r="C113" s="57"/>
      <c r="D113" s="85"/>
      <c r="E113" s="57"/>
      <c r="F113" s="81" t="str">
        <f>IF(COUNTIF($A113:$E113,"&lt;&gt;")=0,"",IF(OR($B113="",$C113=""),"Wähle aus, wer gezahlt und wer das Geld erhalten hat.",IF($B113=$C113,"Wähle zwei unterschiedliche Personen aus.",IF(OR($D113="",$D113&lt;=0),"Trage einen Betrag größer als null ein.","Geprüft"))))</f>
      </c>
    </row>
    <row r="114">
      <c r="A114" s="83"/>
      <c r="B114" s="57"/>
      <c r="C114" s="57"/>
      <c r="D114" s="85"/>
      <c r="E114" s="57"/>
      <c r="F114" s="81" t="str">
        <f>IF(COUNTIF($A114:$E114,"&lt;&gt;")=0,"",IF(OR($B114="",$C114=""),"Wähle aus, wer gezahlt und wer das Geld erhalten hat.",IF($B114=$C114,"Wähle zwei unterschiedliche Personen aus.",IF(OR($D114="",$D114&lt;=0),"Trage einen Betrag größer als null ein.","Geprüft"))))</f>
      </c>
    </row>
    <row r="115">
      <c r="A115" s="83"/>
      <c r="B115" s="57"/>
      <c r="C115" s="57"/>
      <c r="D115" s="85"/>
      <c r="E115" s="57"/>
      <c r="F115" s="81" t="str">
        <f>IF(COUNTIF($A115:$E115,"&lt;&gt;")=0,"",IF(OR($B115="",$C115=""),"Wähle aus, wer gezahlt und wer das Geld erhalten hat.",IF($B115=$C115,"Wähle zwei unterschiedliche Personen aus.",IF(OR($D115="",$D115&lt;=0),"Trage einen Betrag größer als null ein.","Geprüft"))))</f>
      </c>
    </row>
    <row r="116">
      <c r="A116" s="83"/>
      <c r="B116" s="57"/>
      <c r="C116" s="57"/>
      <c r="D116" s="85"/>
      <c r="E116" s="57"/>
      <c r="F116" s="81" t="str">
        <f>IF(COUNTIF($A116:$E116,"&lt;&gt;")=0,"",IF(OR($B116="",$C116=""),"Wähle aus, wer gezahlt und wer das Geld erhalten hat.",IF($B116=$C116,"Wähle zwei unterschiedliche Personen aus.",IF(OR($D116="",$D116&lt;=0),"Trage einen Betrag größer als null ein.","Geprüft"))))</f>
      </c>
    </row>
    <row r="117">
      <c r="A117" s="83"/>
      <c r="B117" s="57"/>
      <c r="C117" s="57"/>
      <c r="D117" s="85"/>
      <c r="E117" s="57"/>
      <c r="F117" s="81" t="str">
        <f>IF(COUNTIF($A117:$E117,"&lt;&gt;")=0,"",IF(OR($B117="",$C117=""),"Wähle aus, wer gezahlt und wer das Geld erhalten hat.",IF($B117=$C117,"Wähle zwei unterschiedliche Personen aus.",IF(OR($D117="",$D117&lt;=0),"Trage einen Betrag größer als null ein.","Geprüft"))))</f>
      </c>
    </row>
    <row r="118">
      <c r="A118" s="83"/>
      <c r="B118" s="57"/>
      <c r="C118" s="57"/>
      <c r="D118" s="85"/>
      <c r="E118" s="57"/>
      <c r="F118" s="81" t="str">
        <f>IF(COUNTIF($A118:$E118,"&lt;&gt;")=0,"",IF(OR($B118="",$C118=""),"Wähle aus, wer gezahlt und wer das Geld erhalten hat.",IF($B118=$C118,"Wähle zwei unterschiedliche Personen aus.",IF(OR($D118="",$D118&lt;=0),"Trage einen Betrag größer als null ein.","Geprüft"))))</f>
      </c>
    </row>
    <row r="119">
      <c r="A119" s="83"/>
      <c r="B119" s="57"/>
      <c r="C119" s="57"/>
      <c r="D119" s="85"/>
      <c r="E119" s="57"/>
      <c r="F119" s="81" t="str">
        <f>IF(COUNTIF($A119:$E119,"&lt;&gt;")=0,"",IF(OR($B119="",$C119=""),"Wähle aus, wer gezahlt und wer das Geld erhalten hat.",IF($B119=$C119,"Wähle zwei unterschiedliche Personen aus.",IF(OR($D119="",$D119&lt;=0),"Trage einen Betrag größer als null ein.","Geprüft"))))</f>
      </c>
    </row>
    <row r="120">
      <c r="A120" s="83"/>
      <c r="B120" s="57"/>
      <c r="C120" s="57"/>
      <c r="D120" s="85"/>
      <c r="E120" s="57"/>
      <c r="F120" s="81" t="str">
        <f>IF(COUNTIF($A120:$E120,"&lt;&gt;")=0,"",IF(OR($B120="",$C120=""),"Wähle aus, wer gezahlt und wer das Geld erhalten hat.",IF($B120=$C120,"Wähle zwei unterschiedliche Personen aus.",IF(OR($D120="",$D120&lt;=0),"Trage einen Betrag größer als null ein.","Geprüft"))))</f>
      </c>
    </row>
    <row r="121">
      <c r="A121" s="83"/>
      <c r="B121" s="57"/>
      <c r="C121" s="57"/>
      <c r="D121" s="85"/>
      <c r="E121" s="57"/>
      <c r="F121" s="81" t="str">
        <f>IF(COUNTIF($A121:$E121,"&lt;&gt;")=0,"",IF(OR($B121="",$C121=""),"Wähle aus, wer gezahlt und wer das Geld erhalten hat.",IF($B121=$C121,"Wähle zwei unterschiedliche Personen aus.",IF(OR($D121="",$D121&lt;=0),"Trage einen Betrag größer als null ein.","Geprüft"))))</f>
      </c>
    </row>
    <row r="122">
      <c r="A122" s="83"/>
      <c r="B122" s="57"/>
      <c r="C122" s="57"/>
      <c r="D122" s="85"/>
      <c r="E122" s="57"/>
      <c r="F122" s="81" t="str">
        <f>IF(COUNTIF($A122:$E122,"&lt;&gt;")=0,"",IF(OR($B122="",$C122=""),"Wähle aus, wer gezahlt und wer das Geld erhalten hat.",IF($B122=$C122,"Wähle zwei unterschiedliche Personen aus.",IF(OR($D122="",$D122&lt;=0),"Trage einen Betrag größer als null ein.","Geprüft"))))</f>
      </c>
    </row>
    <row r="123">
      <c r="A123" s="83"/>
      <c r="B123" s="57"/>
      <c r="C123" s="57"/>
      <c r="D123" s="85"/>
      <c r="E123" s="57"/>
      <c r="F123" s="81" t="str">
        <f>IF(COUNTIF($A123:$E123,"&lt;&gt;")=0,"",IF(OR($B123="",$C123=""),"Wähle aus, wer gezahlt und wer das Geld erhalten hat.",IF($B123=$C123,"Wähle zwei unterschiedliche Personen aus.",IF(OR($D123="",$D123&lt;=0),"Trage einen Betrag größer als null ein.","Geprüft"))))</f>
      </c>
    </row>
    <row r="124">
      <c r="A124" s="83"/>
      <c r="B124" s="57"/>
      <c r="C124" s="57"/>
      <c r="D124" s="85"/>
      <c r="E124" s="57"/>
      <c r="F124" s="81" t="str">
        <f>IF(COUNTIF($A124:$E124,"&lt;&gt;")=0,"",IF(OR($B124="",$C124=""),"Wähle aus, wer gezahlt und wer das Geld erhalten hat.",IF($B124=$C124,"Wähle zwei unterschiedliche Personen aus.",IF(OR($D124="",$D124&lt;=0),"Trage einen Betrag größer als null ein.","Geprüft"))))</f>
      </c>
    </row>
    <row r="125">
      <c r="A125" s="83"/>
      <c r="B125" s="57"/>
      <c r="C125" s="57"/>
      <c r="D125" s="85"/>
      <c r="E125" s="57"/>
      <c r="F125" s="81" t="str">
        <f>IF(COUNTIF($A125:$E125,"&lt;&gt;")=0,"",IF(OR($B125="",$C125=""),"Wähle aus, wer gezahlt und wer das Geld erhalten hat.",IF($B125=$C125,"Wähle zwei unterschiedliche Personen aus.",IF(OR($D125="",$D125&lt;=0),"Trage einen Betrag größer als null ein.","Geprüft"))))</f>
      </c>
    </row>
    <row r="126">
      <c r="A126" s="83"/>
      <c r="B126" s="57"/>
      <c r="C126" s="57"/>
      <c r="D126" s="85"/>
      <c r="E126" s="57"/>
      <c r="F126" s="81" t="str">
        <f>IF(COUNTIF($A126:$E126,"&lt;&gt;")=0,"",IF(OR($B126="",$C126=""),"Wähle aus, wer gezahlt und wer das Geld erhalten hat.",IF($B126=$C126,"Wähle zwei unterschiedliche Personen aus.",IF(OR($D126="",$D126&lt;=0),"Trage einen Betrag größer als null ein.","Geprüft"))))</f>
      </c>
    </row>
    <row r="127">
      <c r="A127" s="83"/>
      <c r="B127" s="57"/>
      <c r="C127" s="57"/>
      <c r="D127" s="85"/>
      <c r="E127" s="57"/>
      <c r="F127" s="81" t="str">
        <f>IF(COUNTIF($A127:$E127,"&lt;&gt;")=0,"",IF(OR($B127="",$C127=""),"Wähle aus, wer gezahlt und wer das Geld erhalten hat.",IF($B127=$C127,"Wähle zwei unterschiedliche Personen aus.",IF(OR($D127="",$D127&lt;=0),"Trage einen Betrag größer als null ein.","Geprüft"))))</f>
      </c>
    </row>
    <row r="128">
      <c r="A128" s="83"/>
      <c r="B128" s="57"/>
      <c r="C128" s="57"/>
      <c r="D128" s="85"/>
      <c r="E128" s="57"/>
      <c r="F128" s="81" t="str">
        <f>IF(COUNTIF($A128:$E128,"&lt;&gt;")=0,"",IF(OR($B128="",$C128=""),"Wähle aus, wer gezahlt und wer das Geld erhalten hat.",IF($B128=$C128,"Wähle zwei unterschiedliche Personen aus.",IF(OR($D128="",$D128&lt;=0),"Trage einen Betrag größer als null ein.","Geprüft"))))</f>
      </c>
    </row>
    <row r="129">
      <c r="A129" s="83"/>
      <c r="B129" s="57"/>
      <c r="C129" s="57"/>
      <c r="D129" s="85"/>
      <c r="E129" s="57"/>
      <c r="F129" s="81" t="str">
        <f>IF(COUNTIF($A129:$E129,"&lt;&gt;")=0,"",IF(OR($B129="",$C129=""),"Wähle aus, wer gezahlt und wer das Geld erhalten hat.",IF($B129=$C129,"Wähle zwei unterschiedliche Personen aus.",IF(OR($D129="",$D129&lt;=0),"Trage einen Betrag größer als null ein.","Geprüft"))))</f>
      </c>
    </row>
    <row r="130">
      <c r="A130" s="83"/>
      <c r="B130" s="57"/>
      <c r="C130" s="57"/>
      <c r="D130" s="85"/>
      <c r="E130" s="57"/>
      <c r="F130" s="81" t="str">
        <f>IF(COUNTIF($A130:$E130,"&lt;&gt;")=0,"",IF(OR($B130="",$C130=""),"Wähle aus, wer gezahlt und wer das Geld erhalten hat.",IF($B130=$C130,"Wähle zwei unterschiedliche Personen aus.",IF(OR($D130="",$D130&lt;=0),"Trage einen Betrag größer als null ein.","Geprüft"))))</f>
      </c>
    </row>
    <row r="131">
      <c r="A131" s="83"/>
      <c r="B131" s="57"/>
      <c r="C131" s="57"/>
      <c r="D131" s="85"/>
      <c r="E131" s="57"/>
      <c r="F131" s="81" t="str">
        <f>IF(COUNTIF($A131:$E131,"&lt;&gt;")=0,"",IF(OR($B131="",$C131=""),"Wähle aus, wer gezahlt und wer das Geld erhalten hat.",IF($B131=$C131,"Wähle zwei unterschiedliche Personen aus.",IF(OR($D131="",$D131&lt;=0),"Trage einen Betrag größer als null ein.","Geprüft"))))</f>
      </c>
    </row>
    <row r="132">
      <c r="A132" s="83"/>
      <c r="B132" s="57"/>
      <c r="C132" s="57"/>
      <c r="D132" s="85"/>
      <c r="E132" s="57"/>
      <c r="F132" s="81" t="str">
        <f>IF(COUNTIF($A132:$E132,"&lt;&gt;")=0,"",IF(OR($B132="",$C132=""),"Wähle aus, wer gezahlt und wer das Geld erhalten hat.",IF($B132=$C132,"Wähle zwei unterschiedliche Personen aus.",IF(OR($D132="",$D132&lt;=0),"Trage einen Betrag größer als null ein.","Geprüft"))))</f>
      </c>
    </row>
    <row r="133">
      <c r="A133" s="83"/>
      <c r="B133" s="57"/>
      <c r="C133" s="57"/>
      <c r="D133" s="85"/>
      <c r="E133" s="57"/>
      <c r="F133" s="81" t="str">
        <f>IF(COUNTIF($A133:$E133,"&lt;&gt;")=0,"",IF(OR($B133="",$C133=""),"Wähle aus, wer gezahlt und wer das Geld erhalten hat.",IF($B133=$C133,"Wähle zwei unterschiedliche Personen aus.",IF(OR($D133="",$D133&lt;=0),"Trage einen Betrag größer als null ein.","Geprüft"))))</f>
      </c>
    </row>
    <row r="134">
      <c r="A134" s="83"/>
      <c r="B134" s="57"/>
      <c r="C134" s="57"/>
      <c r="D134" s="85"/>
      <c r="E134" s="57"/>
      <c r="F134" s="81" t="str">
        <f>IF(COUNTIF($A134:$E134,"&lt;&gt;")=0,"",IF(OR($B134="",$C134=""),"Wähle aus, wer gezahlt und wer das Geld erhalten hat.",IF($B134=$C134,"Wähle zwei unterschiedliche Personen aus.",IF(OR($D134="",$D134&lt;=0),"Trage einen Betrag größer als null ein.","Geprüft"))))</f>
      </c>
    </row>
    <row r="135">
      <c r="A135" s="83"/>
      <c r="B135" s="57"/>
      <c r="C135" s="57"/>
      <c r="D135" s="85"/>
      <c r="E135" s="57"/>
      <c r="F135" s="81" t="str">
        <f>IF(COUNTIF($A135:$E135,"&lt;&gt;")=0,"",IF(OR($B135="",$C135=""),"Wähle aus, wer gezahlt und wer das Geld erhalten hat.",IF($B135=$C135,"Wähle zwei unterschiedliche Personen aus.",IF(OR($D135="",$D135&lt;=0),"Trage einen Betrag größer als null ein.","Geprüft"))))</f>
      </c>
    </row>
    <row r="136">
      <c r="A136" s="83"/>
      <c r="B136" s="57"/>
      <c r="C136" s="57"/>
      <c r="D136" s="85"/>
      <c r="E136" s="57"/>
      <c r="F136" s="81" t="str">
        <f>IF(COUNTIF($A136:$E136,"&lt;&gt;")=0,"",IF(OR($B136="",$C136=""),"Wähle aus, wer gezahlt und wer das Geld erhalten hat.",IF($B136=$C136,"Wähle zwei unterschiedliche Personen aus.",IF(OR($D136="",$D136&lt;=0),"Trage einen Betrag größer als null ein.","Geprüft"))))</f>
      </c>
    </row>
    <row r="137">
      <c r="A137" s="83"/>
      <c r="B137" s="57"/>
      <c r="C137" s="57"/>
      <c r="D137" s="85"/>
      <c r="E137" s="57"/>
      <c r="F137" s="81" t="str">
        <f>IF(COUNTIF($A137:$E137,"&lt;&gt;")=0,"",IF(OR($B137="",$C137=""),"Wähle aus, wer gezahlt und wer das Geld erhalten hat.",IF($B137=$C137,"Wähle zwei unterschiedliche Personen aus.",IF(OR($D137="",$D137&lt;=0),"Trage einen Betrag größer als null ein.","Geprüft"))))</f>
      </c>
    </row>
    <row r="138">
      <c r="A138" s="83"/>
      <c r="B138" s="57"/>
      <c r="C138" s="57"/>
      <c r="D138" s="85"/>
      <c r="E138" s="57"/>
      <c r="F138" s="81" t="str">
        <f>IF(COUNTIF($A138:$E138,"&lt;&gt;")=0,"",IF(OR($B138="",$C138=""),"Wähle aus, wer gezahlt und wer das Geld erhalten hat.",IF($B138=$C138,"Wähle zwei unterschiedliche Personen aus.",IF(OR($D138="",$D138&lt;=0),"Trage einen Betrag größer als null ein.","Geprüft"))))</f>
      </c>
    </row>
    <row r="139">
      <c r="A139" s="83"/>
      <c r="B139" s="57"/>
      <c r="C139" s="57"/>
      <c r="D139" s="85"/>
      <c r="E139" s="57"/>
      <c r="F139" s="81" t="str">
        <f>IF(COUNTIF($A139:$E139,"&lt;&gt;")=0,"",IF(OR($B139="",$C139=""),"Wähle aus, wer gezahlt und wer das Geld erhalten hat.",IF($B139=$C139,"Wähle zwei unterschiedliche Personen aus.",IF(OR($D139="",$D139&lt;=0),"Trage einen Betrag größer als null ein.","Geprüft"))))</f>
      </c>
    </row>
    <row r="140">
      <c r="A140" s="83"/>
      <c r="B140" s="57"/>
      <c r="C140" s="57"/>
      <c r="D140" s="85"/>
      <c r="E140" s="57"/>
      <c r="F140" s="81" t="str">
        <f>IF(COUNTIF($A140:$E140,"&lt;&gt;")=0,"",IF(OR($B140="",$C140=""),"Wähle aus, wer gezahlt und wer das Geld erhalten hat.",IF($B140=$C140,"Wähle zwei unterschiedliche Personen aus.",IF(OR($D140="",$D140&lt;=0),"Trage einen Betrag größer als null ein.","Geprüft"))))</f>
      </c>
    </row>
    <row r="141">
      <c r="A141" s="83"/>
      <c r="B141" s="57"/>
      <c r="C141" s="57"/>
      <c r="D141" s="85"/>
      <c r="E141" s="57"/>
      <c r="F141" s="81" t="str">
        <f>IF(COUNTIF($A141:$E141,"&lt;&gt;")=0,"",IF(OR($B141="",$C141=""),"Wähle aus, wer gezahlt und wer das Geld erhalten hat.",IF($B141=$C141,"Wähle zwei unterschiedliche Personen aus.",IF(OR($D141="",$D141&lt;=0),"Trage einen Betrag größer als null ein.","Geprüft"))))</f>
      </c>
    </row>
    <row r="142">
      <c r="A142" s="83"/>
      <c r="B142" s="57"/>
      <c r="C142" s="57"/>
      <c r="D142" s="85"/>
      <c r="E142" s="57"/>
      <c r="F142" s="81" t="str">
        <f>IF(COUNTIF($A142:$E142,"&lt;&gt;")=0,"",IF(OR($B142="",$C142=""),"Wähle aus, wer gezahlt und wer das Geld erhalten hat.",IF($B142=$C142,"Wähle zwei unterschiedliche Personen aus.",IF(OR($D142="",$D142&lt;=0),"Trage einen Betrag größer als null ein.","Geprüft"))))</f>
      </c>
    </row>
    <row r="143">
      <c r="A143" s="83"/>
      <c r="B143" s="57"/>
      <c r="C143" s="57"/>
      <c r="D143" s="85"/>
      <c r="E143" s="57"/>
      <c r="F143" s="81" t="str">
        <f>IF(COUNTIF($A143:$E143,"&lt;&gt;")=0,"",IF(OR($B143="",$C143=""),"Wähle aus, wer gezahlt und wer das Geld erhalten hat.",IF($B143=$C143,"Wähle zwei unterschiedliche Personen aus.",IF(OR($D143="",$D143&lt;=0),"Trage einen Betrag größer als null ein.","Geprüft"))))</f>
      </c>
    </row>
    <row r="144">
      <c r="A144" s="83"/>
      <c r="B144" s="57"/>
      <c r="C144" s="57"/>
      <c r="D144" s="85"/>
      <c r="E144" s="57"/>
      <c r="F144" s="81" t="str">
        <f>IF(COUNTIF($A144:$E144,"&lt;&gt;")=0,"",IF(OR($B144="",$C144=""),"Wähle aus, wer gezahlt und wer das Geld erhalten hat.",IF($B144=$C144,"Wähle zwei unterschiedliche Personen aus.",IF(OR($D144="",$D144&lt;=0),"Trage einen Betrag größer als null ein.","Geprüft"))))</f>
      </c>
    </row>
    <row r="145">
      <c r="A145" s="83"/>
      <c r="B145" s="57"/>
      <c r="C145" s="57"/>
      <c r="D145" s="85"/>
      <c r="E145" s="57"/>
      <c r="F145" s="81" t="str">
        <f>IF(COUNTIF($A145:$E145,"&lt;&gt;")=0,"",IF(OR($B145="",$C145=""),"Wähle aus, wer gezahlt und wer das Geld erhalten hat.",IF($B145=$C145,"Wähle zwei unterschiedliche Personen aus.",IF(OR($D145="",$D145&lt;=0),"Trage einen Betrag größer als null ein.","Geprüft"))))</f>
      </c>
    </row>
    <row r="146">
      <c r="A146" s="83"/>
      <c r="B146" s="57"/>
      <c r="C146" s="57"/>
      <c r="D146" s="85"/>
      <c r="E146" s="57"/>
      <c r="F146" s="81" t="str">
        <f>IF(COUNTIF($A146:$E146,"&lt;&gt;")=0,"",IF(OR($B146="",$C146=""),"Wähle aus, wer gezahlt und wer das Geld erhalten hat.",IF($B146=$C146,"Wähle zwei unterschiedliche Personen aus.",IF(OR($D146="",$D146&lt;=0),"Trage einen Betrag größer als null ein.","Geprüft"))))</f>
      </c>
    </row>
    <row r="147">
      <c r="A147" s="83"/>
      <c r="B147" s="57"/>
      <c r="C147" s="57"/>
      <c r="D147" s="85"/>
      <c r="E147" s="57"/>
      <c r="F147" s="81" t="str">
        <f>IF(COUNTIF($A147:$E147,"&lt;&gt;")=0,"",IF(OR($B147="",$C147=""),"Wähle aus, wer gezahlt und wer das Geld erhalten hat.",IF($B147=$C147,"Wähle zwei unterschiedliche Personen aus.",IF(OR($D147="",$D147&lt;=0),"Trage einen Betrag größer als null ein.","Geprüft"))))</f>
      </c>
    </row>
    <row r="148">
      <c r="A148" s="83"/>
      <c r="B148" s="57"/>
      <c r="C148" s="57"/>
      <c r="D148" s="85"/>
      <c r="E148" s="57"/>
      <c r="F148" s="81" t="str">
        <f>IF(COUNTIF($A148:$E148,"&lt;&gt;")=0,"",IF(OR($B148="",$C148=""),"Wähle aus, wer gezahlt und wer das Geld erhalten hat.",IF($B148=$C148,"Wähle zwei unterschiedliche Personen aus.",IF(OR($D148="",$D148&lt;=0),"Trage einen Betrag größer als null ein.","Geprüft"))))</f>
      </c>
    </row>
    <row r="149">
      <c r="A149" s="83"/>
      <c r="B149" s="57"/>
      <c r="C149" s="57"/>
      <c r="D149" s="85"/>
      <c r="E149" s="57"/>
      <c r="F149" s="81" t="str">
        <f>IF(COUNTIF($A149:$E149,"&lt;&gt;")=0,"",IF(OR($B149="",$C149=""),"Wähle aus, wer gezahlt und wer das Geld erhalten hat.",IF($B149=$C149,"Wähle zwei unterschiedliche Personen aus.",IF(OR($D149="",$D149&lt;=0),"Trage einen Betrag größer als null ein.","Geprüft"))))</f>
      </c>
    </row>
    <row r="150">
      <c r="A150" s="83"/>
      <c r="B150" s="57"/>
      <c r="C150" s="57"/>
      <c r="D150" s="85"/>
      <c r="E150" s="57"/>
      <c r="F150" s="81" t="str">
        <f>IF(COUNTIF($A150:$E150,"&lt;&gt;")=0,"",IF(OR($B150="",$C150=""),"Wähle aus, wer gezahlt und wer das Geld erhalten hat.",IF($B150=$C150,"Wähle zwei unterschiedliche Personen aus.",IF(OR($D150="",$D150&lt;=0),"Trage einen Betrag größer als null ein.","Geprüft"))))</f>
      </c>
    </row>
    <row r="151">
      <c r="A151" s="83"/>
      <c r="B151" s="57"/>
      <c r="C151" s="57"/>
      <c r="D151" s="85"/>
      <c r="E151" s="57"/>
      <c r="F151" s="81" t="str">
        <f>IF(COUNTIF($A151:$E151,"&lt;&gt;")=0,"",IF(OR($B151="",$C151=""),"Wähle aus, wer gezahlt und wer das Geld erhalten hat.",IF($B151=$C151,"Wähle zwei unterschiedliche Personen aus.",IF(OR($D151="",$D151&lt;=0),"Trage einen Betrag größer als null ein.","Geprüft"))))</f>
      </c>
    </row>
    <row r="152">
      <c r="A152" s="83"/>
      <c r="B152" s="57"/>
      <c r="C152" s="57"/>
      <c r="D152" s="85"/>
      <c r="E152" s="57"/>
      <c r="F152" s="81" t="str">
        <f>IF(COUNTIF($A152:$E152,"&lt;&gt;")=0,"",IF(OR($B152="",$C152=""),"Wähle aus, wer gezahlt und wer das Geld erhalten hat.",IF($B152=$C152,"Wähle zwei unterschiedliche Personen aus.",IF(OR($D152="",$D152&lt;=0),"Trage einen Betrag größer als null ein.","Geprüft"))))</f>
      </c>
    </row>
    <row r="153">
      <c r="A153" s="83"/>
      <c r="B153" s="57"/>
      <c r="C153" s="57"/>
      <c r="D153" s="85"/>
      <c r="E153" s="57"/>
      <c r="F153" s="81" t="str">
        <f>IF(COUNTIF($A153:$E153,"&lt;&gt;")=0,"",IF(OR($B153="",$C153=""),"Wähle aus, wer gezahlt und wer das Geld erhalten hat.",IF($B153=$C153,"Wähle zwei unterschiedliche Personen aus.",IF(OR($D153="",$D153&lt;=0),"Trage einen Betrag größer als null ein.","Geprüft"))))</f>
      </c>
    </row>
    <row r="154">
      <c r="A154" s="83"/>
      <c r="B154" s="57"/>
      <c r="C154" s="57"/>
      <c r="D154" s="85"/>
      <c r="E154" s="57"/>
      <c r="F154" s="81" t="str">
        <f>IF(COUNTIF($A154:$E154,"&lt;&gt;")=0,"",IF(OR($B154="",$C154=""),"Wähle aus, wer gezahlt und wer das Geld erhalten hat.",IF($B154=$C154,"Wähle zwei unterschiedliche Personen aus.",IF(OR($D154="",$D154&lt;=0),"Trage einen Betrag größer als null ein.","Geprüft"))))</f>
      </c>
    </row>
    <row r="155">
      <c r="A155" s="83"/>
      <c r="B155" s="57"/>
      <c r="C155" s="57"/>
      <c r="D155" s="85"/>
      <c r="E155" s="57"/>
      <c r="F155" s="81" t="str">
        <f>IF(COUNTIF($A155:$E155,"&lt;&gt;")=0,"",IF(OR($B155="",$C155=""),"Wähle aus, wer gezahlt und wer das Geld erhalten hat.",IF($B155=$C155,"Wähle zwei unterschiedliche Personen aus.",IF(OR($D155="",$D155&lt;=0),"Trage einen Betrag größer als null ein.","Geprüft"))))</f>
      </c>
    </row>
    <row r="156">
      <c r="A156" s="83"/>
      <c r="B156" s="57"/>
      <c r="C156" s="57"/>
      <c r="D156" s="85"/>
      <c r="E156" s="57"/>
      <c r="F156" s="81" t="str">
        <f>IF(COUNTIF($A156:$E156,"&lt;&gt;")=0,"",IF(OR($B156="",$C156=""),"Wähle aus, wer gezahlt und wer das Geld erhalten hat.",IF($B156=$C156,"Wähle zwei unterschiedliche Personen aus.",IF(OR($D156="",$D156&lt;=0),"Trage einen Betrag größer als null ein.","Geprüft"))))</f>
      </c>
    </row>
    <row r="157">
      <c r="A157" s="83"/>
      <c r="B157" s="57"/>
      <c r="C157" s="57"/>
      <c r="D157" s="85"/>
      <c r="E157" s="57"/>
      <c r="F157" s="81" t="str">
        <f>IF(COUNTIF($A157:$E157,"&lt;&gt;")=0,"",IF(OR($B157="",$C157=""),"Wähle aus, wer gezahlt und wer das Geld erhalten hat.",IF($B157=$C157,"Wähle zwei unterschiedliche Personen aus.",IF(OR($D157="",$D157&lt;=0),"Trage einen Betrag größer als null ein.","Geprüft"))))</f>
      </c>
    </row>
    <row r="158">
      <c r="A158" s="83"/>
      <c r="B158" s="57"/>
      <c r="C158" s="57"/>
      <c r="D158" s="85"/>
      <c r="E158" s="57"/>
      <c r="F158" s="81" t="str">
        <f>IF(COUNTIF($A158:$E158,"&lt;&gt;")=0,"",IF(OR($B158="",$C158=""),"Wähle aus, wer gezahlt und wer das Geld erhalten hat.",IF($B158=$C158,"Wähle zwei unterschiedliche Personen aus.",IF(OR($D158="",$D158&lt;=0),"Trage einen Betrag größer als null ein.","Geprüft"))))</f>
      </c>
    </row>
    <row r="159">
      <c r="A159" s="83"/>
      <c r="B159" s="57"/>
      <c r="C159" s="57"/>
      <c r="D159" s="85"/>
      <c r="E159" s="57"/>
      <c r="F159" s="81" t="str">
        <f>IF(COUNTIF($A159:$E159,"&lt;&gt;")=0,"",IF(OR($B159="",$C159=""),"Wähle aus, wer gezahlt und wer das Geld erhalten hat.",IF($B159=$C159,"Wähle zwei unterschiedliche Personen aus.",IF(OR($D159="",$D159&lt;=0),"Trage einen Betrag größer als null ein.","Geprüft"))))</f>
      </c>
    </row>
    <row r="160">
      <c r="A160" s="83"/>
      <c r="B160" s="57"/>
      <c r="C160" s="57"/>
      <c r="D160" s="85"/>
      <c r="E160" s="57"/>
      <c r="F160" s="81" t="str">
        <f>IF(COUNTIF($A160:$E160,"&lt;&gt;")=0,"",IF(OR($B160="",$C160=""),"Wähle aus, wer gezahlt und wer das Geld erhalten hat.",IF($B160=$C160,"Wähle zwei unterschiedliche Personen aus.",IF(OR($D160="",$D160&lt;=0),"Trage einen Betrag größer als null ein.","Geprüft"))))</f>
      </c>
    </row>
    <row r="161">
      <c r="A161" s="83"/>
      <c r="B161" s="57"/>
      <c r="C161" s="57"/>
      <c r="D161" s="85"/>
      <c r="E161" s="57"/>
      <c r="F161" s="81" t="str">
        <f>IF(COUNTIF($A161:$E161,"&lt;&gt;")=0,"",IF(OR($B161="",$C161=""),"Wähle aus, wer gezahlt und wer das Geld erhalten hat.",IF($B161=$C161,"Wähle zwei unterschiedliche Personen aus.",IF(OR($D161="",$D161&lt;=0),"Trage einen Betrag größer als null ein.","Geprüft"))))</f>
      </c>
    </row>
    <row r="162">
      <c r="A162" s="83"/>
      <c r="B162" s="57"/>
      <c r="C162" s="57"/>
      <c r="D162" s="85"/>
      <c r="E162" s="57"/>
      <c r="F162" s="81" t="str">
        <f>IF(COUNTIF($A162:$E162,"&lt;&gt;")=0,"",IF(OR($B162="",$C162=""),"Wähle aus, wer gezahlt und wer das Geld erhalten hat.",IF($B162=$C162,"Wähle zwei unterschiedliche Personen aus.",IF(OR($D162="",$D162&lt;=0),"Trage einen Betrag größer als null ein.","Geprüft"))))</f>
      </c>
    </row>
    <row r="163">
      <c r="A163" s="83"/>
      <c r="B163" s="57"/>
      <c r="C163" s="57"/>
      <c r="D163" s="85"/>
      <c r="E163" s="57"/>
      <c r="F163" s="81" t="str">
        <f>IF(COUNTIF($A163:$E163,"&lt;&gt;")=0,"",IF(OR($B163="",$C163=""),"Wähle aus, wer gezahlt und wer das Geld erhalten hat.",IF($B163=$C163,"Wähle zwei unterschiedliche Personen aus.",IF(OR($D163="",$D163&lt;=0),"Trage einen Betrag größer als null ein.","Geprüft"))))</f>
      </c>
    </row>
    <row r="164">
      <c r="A164" s="83"/>
      <c r="B164" s="57"/>
      <c r="C164" s="57"/>
      <c r="D164" s="85"/>
      <c r="E164" s="57"/>
      <c r="F164" s="81" t="str">
        <f>IF(COUNTIF($A164:$E164,"&lt;&gt;")=0,"",IF(OR($B164="",$C164=""),"Wähle aus, wer gezahlt und wer das Geld erhalten hat.",IF($B164=$C164,"Wähle zwei unterschiedliche Personen aus.",IF(OR($D164="",$D164&lt;=0),"Trage einen Betrag größer als null ein.","Geprüft"))))</f>
      </c>
    </row>
    <row r="165">
      <c r="A165" s="83"/>
      <c r="B165" s="57"/>
      <c r="C165" s="57"/>
      <c r="D165" s="85"/>
      <c r="E165" s="57"/>
      <c r="F165" s="81" t="str">
        <f>IF(COUNTIF($A165:$E165,"&lt;&gt;")=0,"",IF(OR($B165="",$C165=""),"Wähle aus, wer gezahlt und wer das Geld erhalten hat.",IF($B165=$C165,"Wähle zwei unterschiedliche Personen aus.",IF(OR($D165="",$D165&lt;=0),"Trage einen Betrag größer als null ein.","Geprüft"))))</f>
      </c>
    </row>
    <row r="166">
      <c r="A166" s="83"/>
      <c r="B166" s="57"/>
      <c r="C166" s="57"/>
      <c r="D166" s="85"/>
      <c r="E166" s="57"/>
      <c r="F166" s="81" t="str">
        <f>IF(COUNTIF($A166:$E166,"&lt;&gt;")=0,"",IF(OR($B166="",$C166=""),"Wähle aus, wer gezahlt und wer das Geld erhalten hat.",IF($B166=$C166,"Wähle zwei unterschiedliche Personen aus.",IF(OR($D166="",$D166&lt;=0),"Trage einen Betrag größer als null ein.","Geprüft"))))</f>
      </c>
    </row>
    <row r="167">
      <c r="A167" s="83"/>
      <c r="B167" s="57"/>
      <c r="C167" s="57"/>
      <c r="D167" s="85"/>
      <c r="E167" s="57"/>
      <c r="F167" s="81" t="str">
        <f>IF(COUNTIF($A167:$E167,"&lt;&gt;")=0,"",IF(OR($B167="",$C167=""),"Wähle aus, wer gezahlt und wer das Geld erhalten hat.",IF($B167=$C167,"Wähle zwei unterschiedliche Personen aus.",IF(OR($D167="",$D167&lt;=0),"Trage einen Betrag größer als null ein.","Geprüft"))))</f>
      </c>
    </row>
    <row r="168">
      <c r="A168" s="83"/>
      <c r="B168" s="57"/>
      <c r="C168" s="57"/>
      <c r="D168" s="85"/>
      <c r="E168" s="57"/>
      <c r="F168" s="81" t="str">
        <f>IF(COUNTIF($A168:$E168,"&lt;&gt;")=0,"",IF(OR($B168="",$C168=""),"Wähle aus, wer gezahlt und wer das Geld erhalten hat.",IF($B168=$C168,"Wähle zwei unterschiedliche Personen aus.",IF(OR($D168="",$D168&lt;=0),"Trage einen Betrag größer als null ein.","Geprüft"))))</f>
      </c>
    </row>
    <row r="169">
      <c r="A169" s="83"/>
      <c r="B169" s="57"/>
      <c r="C169" s="57"/>
      <c r="D169" s="85"/>
      <c r="E169" s="57"/>
      <c r="F169" s="81" t="str">
        <f>IF(COUNTIF($A169:$E169,"&lt;&gt;")=0,"",IF(OR($B169="",$C169=""),"Wähle aus, wer gezahlt und wer das Geld erhalten hat.",IF($B169=$C169,"Wähle zwei unterschiedliche Personen aus.",IF(OR($D169="",$D169&lt;=0),"Trage einen Betrag größer als null ein.","Geprüft"))))</f>
      </c>
    </row>
    <row r="170">
      <c r="A170" s="83"/>
      <c r="B170" s="57"/>
      <c r="C170" s="57"/>
      <c r="D170" s="85"/>
      <c r="E170" s="57"/>
      <c r="F170" s="81" t="str">
        <f>IF(COUNTIF($A170:$E170,"&lt;&gt;")=0,"",IF(OR($B170="",$C170=""),"Wähle aus, wer gezahlt und wer das Geld erhalten hat.",IF($B170=$C170,"Wähle zwei unterschiedliche Personen aus.",IF(OR($D170="",$D170&lt;=0),"Trage einen Betrag größer als null ein.","Geprüft"))))</f>
      </c>
    </row>
    <row r="171">
      <c r="A171" s="83"/>
      <c r="B171" s="57"/>
      <c r="C171" s="57"/>
      <c r="D171" s="85"/>
      <c r="E171" s="57"/>
      <c r="F171" s="81" t="str">
        <f>IF(COUNTIF($A171:$E171,"&lt;&gt;")=0,"",IF(OR($B171="",$C171=""),"Wähle aus, wer gezahlt und wer das Geld erhalten hat.",IF($B171=$C171,"Wähle zwei unterschiedliche Personen aus.",IF(OR($D171="",$D171&lt;=0),"Trage einen Betrag größer als null ein.","Geprüft"))))</f>
      </c>
    </row>
    <row r="172">
      <c r="A172" s="83"/>
      <c r="B172" s="57"/>
      <c r="C172" s="57"/>
      <c r="D172" s="85"/>
      <c r="E172" s="57"/>
      <c r="F172" s="81" t="str">
        <f>IF(COUNTIF($A172:$E172,"&lt;&gt;")=0,"",IF(OR($B172="",$C172=""),"Wähle aus, wer gezahlt und wer das Geld erhalten hat.",IF($B172=$C172,"Wähle zwei unterschiedliche Personen aus.",IF(OR($D172="",$D172&lt;=0),"Trage einen Betrag größer als null ein.","Geprüft"))))</f>
      </c>
    </row>
    <row r="173">
      <c r="A173" s="83"/>
      <c r="B173" s="57"/>
      <c r="C173" s="57"/>
      <c r="D173" s="85"/>
      <c r="E173" s="57"/>
      <c r="F173" s="81" t="str">
        <f>IF(COUNTIF($A173:$E173,"&lt;&gt;")=0,"",IF(OR($B173="",$C173=""),"Wähle aus, wer gezahlt und wer das Geld erhalten hat.",IF($B173=$C173,"Wähle zwei unterschiedliche Personen aus.",IF(OR($D173="",$D173&lt;=0),"Trage einen Betrag größer als null ein.","Geprüft"))))</f>
      </c>
    </row>
    <row r="174">
      <c r="A174" s="83"/>
      <c r="B174" s="57"/>
      <c r="C174" s="57"/>
      <c r="D174" s="85"/>
      <c r="E174" s="57"/>
      <c r="F174" s="81" t="str">
        <f>IF(COUNTIF($A174:$E174,"&lt;&gt;")=0,"",IF(OR($B174="",$C174=""),"Wähle aus, wer gezahlt und wer das Geld erhalten hat.",IF($B174=$C174,"Wähle zwei unterschiedliche Personen aus.",IF(OR($D174="",$D174&lt;=0),"Trage einen Betrag größer als null ein.","Geprüft"))))</f>
      </c>
    </row>
    <row r="175">
      <c r="A175" s="83"/>
      <c r="B175" s="57"/>
      <c r="C175" s="57"/>
      <c r="D175" s="85"/>
      <c r="E175" s="57"/>
      <c r="F175" s="81" t="str">
        <f>IF(COUNTIF($A175:$E175,"&lt;&gt;")=0,"",IF(OR($B175="",$C175=""),"Wähle aus, wer gezahlt und wer das Geld erhalten hat.",IF($B175=$C175,"Wähle zwei unterschiedliche Personen aus.",IF(OR($D175="",$D175&lt;=0),"Trage einen Betrag größer als null ein.","Geprüft"))))</f>
      </c>
    </row>
    <row r="176">
      <c r="A176" s="83"/>
      <c r="B176" s="57"/>
      <c r="C176" s="57"/>
      <c r="D176" s="85"/>
      <c r="E176" s="57"/>
      <c r="F176" s="81" t="str">
        <f>IF(COUNTIF($A176:$E176,"&lt;&gt;")=0,"",IF(OR($B176="",$C176=""),"Wähle aus, wer gezahlt und wer das Geld erhalten hat.",IF($B176=$C176,"Wähle zwei unterschiedliche Personen aus.",IF(OR($D176="",$D176&lt;=0),"Trage einen Betrag größer als null ein.","Geprüft"))))</f>
      </c>
    </row>
    <row r="177">
      <c r="A177" s="83"/>
      <c r="B177" s="57"/>
      <c r="C177" s="57"/>
      <c r="D177" s="85"/>
      <c r="E177" s="57"/>
      <c r="F177" s="81" t="str">
        <f>IF(COUNTIF($A177:$E177,"&lt;&gt;")=0,"",IF(OR($B177="",$C177=""),"Wähle aus, wer gezahlt und wer das Geld erhalten hat.",IF($B177=$C177,"Wähle zwei unterschiedliche Personen aus.",IF(OR($D177="",$D177&lt;=0),"Trage einen Betrag größer als null ein.","Geprüft"))))</f>
      </c>
    </row>
    <row r="178">
      <c r="A178" s="83"/>
      <c r="B178" s="57"/>
      <c r="C178" s="57"/>
      <c r="D178" s="85"/>
      <c r="E178" s="57"/>
      <c r="F178" s="81" t="str">
        <f>IF(COUNTIF($A178:$E178,"&lt;&gt;")=0,"",IF(OR($B178="",$C178=""),"Wähle aus, wer gezahlt und wer das Geld erhalten hat.",IF($B178=$C178,"Wähle zwei unterschiedliche Personen aus.",IF(OR($D178="",$D178&lt;=0),"Trage einen Betrag größer als null ein.","Geprüft"))))</f>
      </c>
    </row>
    <row r="179">
      <c r="A179" s="83"/>
      <c r="B179" s="57"/>
      <c r="C179" s="57"/>
      <c r="D179" s="85"/>
      <c r="E179" s="57"/>
      <c r="F179" s="81" t="str">
        <f>IF(COUNTIF($A179:$E179,"&lt;&gt;")=0,"",IF(OR($B179="",$C179=""),"Wähle aus, wer gezahlt und wer das Geld erhalten hat.",IF($B179=$C179,"Wähle zwei unterschiedliche Personen aus.",IF(OR($D179="",$D179&lt;=0),"Trage einen Betrag größer als null ein.","Geprüft"))))</f>
      </c>
    </row>
    <row r="180">
      <c r="A180" s="83"/>
      <c r="B180" s="57"/>
      <c r="C180" s="57"/>
      <c r="D180" s="85"/>
      <c r="E180" s="57"/>
      <c r="F180" s="81" t="str">
        <f>IF(COUNTIF($A180:$E180,"&lt;&gt;")=0,"",IF(OR($B180="",$C180=""),"Wähle aus, wer gezahlt und wer das Geld erhalten hat.",IF($B180=$C180,"Wähle zwei unterschiedliche Personen aus.",IF(OR($D180="",$D180&lt;=0),"Trage einen Betrag größer als null ein.","Geprüft"))))</f>
      </c>
    </row>
    <row r="181">
      <c r="A181" s="83"/>
      <c r="B181" s="57"/>
      <c r="C181" s="57"/>
      <c r="D181" s="85"/>
      <c r="E181" s="57"/>
      <c r="F181" s="81" t="str">
        <f>IF(COUNTIF($A181:$E181,"&lt;&gt;")=0,"",IF(OR($B181="",$C181=""),"Wähle aus, wer gezahlt und wer das Geld erhalten hat.",IF($B181=$C181,"Wähle zwei unterschiedliche Personen aus.",IF(OR($D181="",$D181&lt;=0),"Trage einen Betrag größer als null ein.","Geprüft"))))</f>
      </c>
    </row>
    <row r="182">
      <c r="A182" s="83"/>
      <c r="B182" s="57"/>
      <c r="C182" s="57"/>
      <c r="D182" s="85"/>
      <c r="E182" s="57"/>
      <c r="F182" s="81" t="str">
        <f>IF(COUNTIF($A182:$E182,"&lt;&gt;")=0,"",IF(OR($B182="",$C182=""),"Wähle aus, wer gezahlt und wer das Geld erhalten hat.",IF($B182=$C182,"Wähle zwei unterschiedliche Personen aus.",IF(OR($D182="",$D182&lt;=0),"Trage einen Betrag größer als null ein.","Geprüft"))))</f>
      </c>
    </row>
    <row r="183">
      <c r="A183" s="83"/>
      <c r="B183" s="57"/>
      <c r="C183" s="57"/>
      <c r="D183" s="85"/>
      <c r="E183" s="57"/>
      <c r="F183" s="81" t="str">
        <f>IF(COUNTIF($A183:$E183,"&lt;&gt;")=0,"",IF(OR($B183="",$C183=""),"Wähle aus, wer gezahlt und wer das Geld erhalten hat.",IF($B183=$C183,"Wähle zwei unterschiedliche Personen aus.",IF(OR($D183="",$D183&lt;=0),"Trage einen Betrag größer als null ein.","Geprüft"))))</f>
      </c>
    </row>
    <row r="184">
      <c r="A184" s="83"/>
      <c r="B184" s="57"/>
      <c r="C184" s="57"/>
      <c r="D184" s="85"/>
      <c r="E184" s="57"/>
      <c r="F184" s="81" t="str">
        <f>IF(COUNTIF($A184:$E184,"&lt;&gt;")=0,"",IF(OR($B184="",$C184=""),"Wähle aus, wer gezahlt und wer das Geld erhalten hat.",IF($B184=$C184,"Wähle zwei unterschiedliche Personen aus.",IF(OR($D184="",$D184&lt;=0),"Trage einen Betrag größer als null ein.","Geprüft"))))</f>
      </c>
    </row>
    <row r="185">
      <c r="A185" s="83"/>
      <c r="B185" s="57"/>
      <c r="C185" s="57"/>
      <c r="D185" s="85"/>
      <c r="E185" s="57"/>
      <c r="F185" s="81" t="str">
        <f>IF(COUNTIF($A185:$E185,"&lt;&gt;")=0,"",IF(OR($B185="",$C185=""),"Wähle aus, wer gezahlt und wer das Geld erhalten hat.",IF($B185=$C185,"Wähle zwei unterschiedliche Personen aus.",IF(OR($D185="",$D185&lt;=0),"Trage einen Betrag größer als null ein.","Geprüft"))))</f>
      </c>
    </row>
    <row r="186">
      <c r="A186" s="83"/>
      <c r="B186" s="57"/>
      <c r="C186" s="57"/>
      <c r="D186" s="85"/>
      <c r="E186" s="57"/>
      <c r="F186" s="81" t="str">
        <f>IF(COUNTIF($A186:$E186,"&lt;&gt;")=0,"",IF(OR($B186="",$C186=""),"Wähle aus, wer gezahlt und wer das Geld erhalten hat.",IF($B186=$C186,"Wähle zwei unterschiedliche Personen aus.",IF(OR($D186="",$D186&lt;=0),"Trage einen Betrag größer als null ein.","Geprüft"))))</f>
      </c>
    </row>
    <row r="187">
      <c r="A187" s="83"/>
      <c r="B187" s="57"/>
      <c r="C187" s="57"/>
      <c r="D187" s="85"/>
      <c r="E187" s="57"/>
      <c r="F187" s="81" t="str">
        <f>IF(COUNTIF($A187:$E187,"&lt;&gt;")=0,"",IF(OR($B187="",$C187=""),"Wähle aus, wer gezahlt und wer das Geld erhalten hat.",IF($B187=$C187,"Wähle zwei unterschiedliche Personen aus.",IF(OR($D187="",$D187&lt;=0),"Trage einen Betrag größer als null ein.","Geprüft"))))</f>
      </c>
    </row>
    <row r="188">
      <c r="A188" s="83"/>
      <c r="B188" s="57"/>
      <c r="C188" s="57"/>
      <c r="D188" s="85"/>
      <c r="E188" s="57"/>
      <c r="F188" s="81" t="str">
        <f>IF(COUNTIF($A188:$E188,"&lt;&gt;")=0,"",IF(OR($B188="",$C188=""),"Wähle aus, wer gezahlt und wer das Geld erhalten hat.",IF($B188=$C188,"Wähle zwei unterschiedliche Personen aus.",IF(OR($D188="",$D188&lt;=0),"Trage einen Betrag größer als null ein.","Geprüft"))))</f>
      </c>
    </row>
    <row r="189">
      <c r="A189" s="83"/>
      <c r="B189" s="57"/>
      <c r="C189" s="57"/>
      <c r="D189" s="85"/>
      <c r="E189" s="57"/>
      <c r="F189" s="81" t="str">
        <f>IF(COUNTIF($A189:$E189,"&lt;&gt;")=0,"",IF(OR($B189="",$C189=""),"Wähle aus, wer gezahlt und wer das Geld erhalten hat.",IF($B189=$C189,"Wähle zwei unterschiedliche Personen aus.",IF(OR($D189="",$D189&lt;=0),"Trage einen Betrag größer als null ein.","Geprüft"))))</f>
      </c>
    </row>
    <row r="190">
      <c r="A190" s="83"/>
      <c r="B190" s="57"/>
      <c r="C190" s="57"/>
      <c r="D190" s="85"/>
      <c r="E190" s="57"/>
      <c r="F190" s="81" t="str">
        <f>IF(COUNTIF($A190:$E190,"&lt;&gt;")=0,"",IF(OR($B190="",$C190=""),"Wähle aus, wer gezahlt und wer das Geld erhalten hat.",IF($B190=$C190,"Wähle zwei unterschiedliche Personen aus.",IF(OR($D190="",$D190&lt;=0),"Trage einen Betrag größer als null ein.","Geprüft"))))</f>
      </c>
    </row>
    <row r="191">
      <c r="A191" s="83"/>
      <c r="B191" s="57"/>
      <c r="C191" s="57"/>
      <c r="D191" s="85"/>
      <c r="E191" s="57"/>
      <c r="F191" s="81" t="str">
        <f>IF(COUNTIF($A191:$E191,"&lt;&gt;")=0,"",IF(OR($B191="",$C191=""),"Wähle aus, wer gezahlt und wer das Geld erhalten hat.",IF($B191=$C191,"Wähle zwei unterschiedliche Personen aus.",IF(OR($D191="",$D191&lt;=0),"Trage einen Betrag größer als null ein.","Geprüft"))))</f>
      </c>
    </row>
    <row r="192">
      <c r="A192" s="83"/>
      <c r="B192" s="57"/>
      <c r="C192" s="57"/>
      <c r="D192" s="85"/>
      <c r="E192" s="57"/>
      <c r="F192" s="81" t="str">
        <f>IF(COUNTIF($A192:$E192,"&lt;&gt;")=0,"",IF(OR($B192="",$C192=""),"Wähle aus, wer gezahlt und wer das Geld erhalten hat.",IF($B192=$C192,"Wähle zwei unterschiedliche Personen aus.",IF(OR($D192="",$D192&lt;=0),"Trage einen Betrag größer als null ein.","Geprüft"))))</f>
      </c>
    </row>
    <row r="193">
      <c r="A193" s="83"/>
      <c r="B193" s="57"/>
      <c r="C193" s="57"/>
      <c r="D193" s="85"/>
      <c r="E193" s="57"/>
      <c r="F193" s="81" t="str">
        <f>IF(COUNTIF($A193:$E193,"&lt;&gt;")=0,"",IF(OR($B193="",$C193=""),"Wähle aus, wer gezahlt und wer das Geld erhalten hat.",IF($B193=$C193,"Wähle zwei unterschiedliche Personen aus.",IF(OR($D193="",$D193&lt;=0),"Trage einen Betrag größer als null ein.","Geprüft"))))</f>
      </c>
    </row>
    <row r="194">
      <c r="A194" s="83"/>
      <c r="B194" s="57"/>
      <c r="C194" s="57"/>
      <c r="D194" s="85"/>
      <c r="E194" s="57"/>
      <c r="F194" s="81" t="str">
        <f>IF(COUNTIF($A194:$E194,"&lt;&gt;")=0,"",IF(OR($B194="",$C194=""),"Wähle aus, wer gezahlt und wer das Geld erhalten hat.",IF($B194=$C194,"Wähle zwei unterschiedliche Personen aus.",IF(OR($D194="",$D194&lt;=0),"Trage einen Betrag größer als null ein.","Geprüft"))))</f>
      </c>
    </row>
    <row r="195">
      <c r="A195" s="83"/>
      <c r="B195" s="57"/>
      <c r="C195" s="57"/>
      <c r="D195" s="85"/>
      <c r="E195" s="57"/>
      <c r="F195" s="81" t="str">
        <f>IF(COUNTIF($A195:$E195,"&lt;&gt;")=0,"",IF(OR($B195="",$C195=""),"Wähle aus, wer gezahlt und wer das Geld erhalten hat.",IF($B195=$C195,"Wähle zwei unterschiedliche Personen aus.",IF(OR($D195="",$D195&lt;=0),"Trage einen Betrag größer als null ein.","Geprüft"))))</f>
      </c>
    </row>
    <row r="196">
      <c r="A196" s="83"/>
      <c r="B196" s="57"/>
      <c r="C196" s="57"/>
      <c r="D196" s="85"/>
      <c r="E196" s="57"/>
      <c r="F196" s="81" t="str">
        <f>IF(COUNTIF($A196:$E196,"&lt;&gt;")=0,"",IF(OR($B196="",$C196=""),"Wähle aus, wer gezahlt und wer das Geld erhalten hat.",IF($B196=$C196,"Wähle zwei unterschiedliche Personen aus.",IF(OR($D196="",$D196&lt;=0),"Trage einen Betrag größer als null ein.","Geprüft"))))</f>
      </c>
    </row>
    <row r="197">
      <c r="A197" s="83"/>
      <c r="B197" s="57"/>
      <c r="C197" s="57"/>
      <c r="D197" s="85"/>
      <c r="E197" s="57"/>
      <c r="F197" s="81" t="str">
        <f>IF(COUNTIF($A197:$E197,"&lt;&gt;")=0,"",IF(OR($B197="",$C197=""),"Wähle aus, wer gezahlt und wer das Geld erhalten hat.",IF($B197=$C197,"Wähle zwei unterschiedliche Personen aus.",IF(OR($D197="",$D197&lt;=0),"Trage einen Betrag größer als null ein.","Geprüft"))))</f>
      </c>
    </row>
    <row r="198">
      <c r="A198" s="83"/>
      <c r="B198" s="57"/>
      <c r="C198" s="57"/>
      <c r="D198" s="85"/>
      <c r="E198" s="57"/>
      <c r="F198" s="81" t="str">
        <f>IF(COUNTIF($A198:$E198,"&lt;&gt;")=0,"",IF(OR($B198="",$C198=""),"Wähle aus, wer gezahlt und wer das Geld erhalten hat.",IF($B198=$C198,"Wähle zwei unterschiedliche Personen aus.",IF(OR($D198="",$D198&lt;=0),"Trage einen Betrag größer als null ein.","Geprüft"))))</f>
      </c>
    </row>
    <row r="199">
      <c r="A199" s="83"/>
      <c r="B199" s="57"/>
      <c r="C199" s="57"/>
      <c r="D199" s="85"/>
      <c r="E199" s="57"/>
      <c r="F199" s="81" t="str">
        <f>IF(COUNTIF($A199:$E199,"&lt;&gt;")=0,"",IF(OR($B199="",$C199=""),"Wähle aus, wer gezahlt und wer das Geld erhalten hat.",IF($B199=$C199,"Wähle zwei unterschiedliche Personen aus.",IF(OR($D199="",$D199&lt;=0),"Trage einen Betrag größer als null ein.","Geprüft"))))</f>
      </c>
    </row>
    <row r="200">
      <c r="A200" s="83"/>
      <c r="B200" s="57"/>
      <c r="C200" s="57"/>
      <c r="D200" s="85"/>
      <c r="E200" s="57"/>
      <c r="F200" s="81" t="str">
        <f>IF(COUNTIF($A200:$E200,"&lt;&gt;")=0,"",IF(OR($B200="",$C200=""),"Wähle aus, wer gezahlt und wer das Geld erhalten hat.",IF($B200=$C200,"Wähle zwei unterschiedliche Personen aus.",IF(OR($D200="",$D200&lt;=0),"Trage einen Betrag größer als null ein.","Geprüft"))))</f>
      </c>
    </row>
    <row r="201">
      <c r="A201" s="83"/>
      <c r="B201" s="57"/>
      <c r="C201" s="57"/>
      <c r="D201" s="85"/>
      <c r="E201" s="57"/>
      <c r="F201" s="81" t="str">
        <f>IF(COUNTIF($A201:$E201,"&lt;&gt;")=0,"",IF(OR($B201="",$C201=""),"Wähle aus, wer gezahlt und wer das Geld erhalten hat.",IF($B201=$C201,"Wähle zwei unterschiedliche Personen aus.",IF(OR($D201="",$D201&lt;=0),"Trage einen Betrag größer als null ein.","Geprüft"))))</f>
      </c>
    </row>
    <row r="202">
      <c r="A202" s="83"/>
      <c r="B202" s="57"/>
      <c r="C202" s="57"/>
      <c r="D202" s="85"/>
      <c r="E202" s="57"/>
      <c r="F202" s="81" t="str">
        <f>IF(COUNTIF($A202:$E202,"&lt;&gt;")=0,"",IF(OR($B202="",$C202=""),"Wähle aus, wer gezahlt und wer das Geld erhalten hat.",IF($B202=$C202,"Wähle zwei unterschiedliche Personen aus.",IF(OR($D202="",$D202&lt;=0),"Trage einen Betrag größer als null ein.","Geprüft"))))</f>
      </c>
    </row>
    <row r="203">
      <c r="A203" s="83"/>
      <c r="B203" s="57"/>
      <c r="C203" s="57"/>
      <c r="D203" s="85"/>
      <c r="E203" s="57"/>
      <c r="F203" s="81" t="str">
        <f>IF(COUNTIF($A203:$E203,"&lt;&gt;")=0,"",IF(OR($B203="",$C203=""),"Wähle aus, wer gezahlt und wer das Geld erhalten hat.",IF($B203=$C203,"Wähle zwei unterschiedliche Personen aus.",IF(OR($D203="",$D203&lt;=0),"Trage einen Betrag größer als null ein.","Geprüft"))))</f>
      </c>
    </row>
    <row r="204">
      <c r="A204" s="83"/>
      <c r="B204" s="57"/>
      <c r="C204" s="57"/>
      <c r="D204" s="85"/>
      <c r="E204" s="57"/>
      <c r="F204" s="81" t="str">
        <f>IF(COUNTIF($A204:$E204,"&lt;&gt;")=0,"",IF(OR($B204="",$C204=""),"Wähle aus, wer gezahlt und wer das Geld erhalten hat.",IF($B204=$C204,"Wähle zwei unterschiedliche Personen aus.",IF(OR($D204="",$D204&lt;=0),"Trage einen Betrag größer als null ein.","Geprüft"))))</f>
      </c>
    </row>
  </sheetData>
  <mergeCells>
    <mergeCell ref="A1:F1"/>
    <mergeCell ref="A2:F2"/>
  </mergeCells>
  <conditionalFormatting sqref="F5:F204">
    <cfRule type="containsText" dxfId="4" priority="1" operator="containsText" text="Geprüft"/>
    <cfRule type="notContainsText" dxfId="5" priority="2" text="Geprüft"/>
  </conditionalFormatting>
  <dataValidations count="2">
    <dataValidation type="list" sqref="B5:C204">
      <formula1>RoommateNames</formula1>
    </dataValidation>
    <dataValidation type="decimal" operator="greaterThan" sqref="D5:D204">
      <formula1>0</formula1>
    </dataValidation>
  </dataValidations>
  <pageMargins left="0.7" right="0.7" top="0.75" bottom="0.75" header="0.3" footer="0.3"/>
  <tableParts count="1">
    <tablePart ns1:id="Rad9776edcefc4dd9"/>
  </tableParts>
</worksheet>
</file>

<file path=xl/worksheets/sheet5.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23" hidden="0" customWidth="1"/>
    <col min="2" max="2" width="20" hidden="0" customWidth="1"/>
    <col min="3" max="3" width="22" hidden="0" customWidth="1"/>
    <col min="4" max="4" width="24" hidden="0" customWidth="1"/>
    <col min="5" max="5" width="20" hidden="0" customWidth="1"/>
    <col min="6" max="6" width="22" hidden="0" customWidth="1"/>
    <col min="7" max="7" width="20" hidden="0" customWidth="1"/>
    <col min="8" max="8" width="28" hidden="0" customWidth="1"/>
    <col min="9" max="9" width="4" hidden="0" customWidth="1"/>
    <col min="10" max="10" width="9" hidden="1" customWidth="1"/>
    <col min="11" max="11" width="20" hidden="1" customWidth="1"/>
    <col min="12" max="12" width="20" hidden="1" customWidth="1"/>
    <col min="13" max="13" width="16" hidden="1" customWidth="1"/>
    <col min="14" max="14" width="15" hidden="1" customWidth="1"/>
    <col min="15" max="15" width="15" hidden="1" customWidth="1"/>
    <col min="16" max="16" width="15" hidden="1" customWidth="1"/>
    <col min="17" max="17" width="15" hidden="1" customWidth="1"/>
    <col min="18" max="18" width="15" hidden="1" customWidth="1"/>
    <col min="19" max="19" width="15" hidden="1" customWidth="1"/>
  </cols>
  <sheetData>
    <row r="1" ht="34" customHeight="1">
      <c r="A1" s="4" t="str">
        <v>Abrechnung der WG-Kasse</v>
      </c>
      <c r="B1" s="4" t="str">
        <v>Abrechnung der WG-Kasse</v>
      </c>
      <c r="C1" s="4" t="str">
        <v>Abrechnung der WG-Kasse</v>
      </c>
      <c r="D1" s="4" t="str">
        <v>Abrechnung der WG-Kasse</v>
      </c>
      <c r="E1" s="4" t="str">
        <v>Abrechnung der WG-Kasse</v>
      </c>
      <c r="F1" s="4" t="str">
        <v>Abrechnung der WG-Kasse</v>
      </c>
      <c r="G1" s="4" t="str">
        <v>Abrechnung der WG-Kasse</v>
      </c>
      <c r="H1" s="4" t="str">
        <v>Abrechnung der WG-Kasse</v>
      </c>
      <c r="I1" s="4" t="str">
        <v>Abrechnung der WG-Kasse</v>
      </c>
      <c r="J1" s="4" t="str">
        <v>Abrechnung der WG-Kasse</v>
      </c>
      <c r="K1" s="4" t="str">
        <v>Abrechnung der WG-Kasse</v>
      </c>
      <c r="L1" s="4" t="str">
        <v>Abrechnung der WG-Kasse</v>
      </c>
      <c r="M1" s="4" t="str">
        <v>Abrechnung der WG-Kasse</v>
      </c>
      <c r="N1" s="4" t="str">
        <v>Abrechnung der WG-Kasse</v>
      </c>
      <c r="O1" s="4" t="str">
        <v>Abrechnung der WG-Kasse</v>
      </c>
      <c r="P1" s="4" t="str">
        <v>Abrechnung der WG-Kasse</v>
      </c>
      <c r="Q1" s="4" t="str">
        <v>Abrechnung der WG-Kasse</v>
      </c>
      <c r="R1" s="4" t="str">
        <v>Abrechnung der WG-Kasse</v>
      </c>
      <c r="S1" s="4" t="str">
        <v>Abrechnung der WG-Kasse</v>
      </c>
    </row>
    <row r="2" ht="30" customHeight="1">
      <c r="A2" s="8" t="str">
        <v>Positiv: bekommt Geld zurück. Negativ: muss noch zahlen. Klärt alle Hinweise, bevor ihr eine vorgeschlagene Zahlung ausführt.</v>
      </c>
      <c r="B2" s="8" t="str">
        <v>Positiv: bekommt Geld zurück. Negativ: muss noch zahlen. Klärt alle Hinweise, bevor ihr eine vorgeschlagene Zahlung ausführt.</v>
      </c>
      <c r="C2" s="8" t="str">
        <v>Positiv: bekommt Geld zurück. Negativ: muss noch zahlen. Klärt alle Hinweise, bevor ihr eine vorgeschlagene Zahlung ausführt.</v>
      </c>
      <c r="D2" s="8" t="str">
        <v>Positiv: bekommt Geld zurück. Negativ: muss noch zahlen. Klärt alle Hinweise, bevor ihr eine vorgeschlagene Zahlung ausführt.</v>
      </c>
      <c r="E2" s="8" t="str">
        <v>Positiv: bekommt Geld zurück. Negativ: muss noch zahlen. Klärt alle Hinweise, bevor ihr eine vorgeschlagene Zahlung ausführt.</v>
      </c>
      <c r="F2" s="8" t="str">
        <v>Positiv: bekommt Geld zurück. Negativ: muss noch zahlen. Klärt alle Hinweise, bevor ihr eine vorgeschlagene Zahlung ausführt.</v>
      </c>
      <c r="G2" s="8" t="str">
        <v>Positiv: bekommt Geld zurück. Negativ: muss noch zahlen. Klärt alle Hinweise, bevor ihr eine vorgeschlagene Zahlung ausführt.</v>
      </c>
      <c r="H2" s="8" t="str">
        <v>Positiv: bekommt Geld zurück. Negativ: muss noch zahlen. Klärt alle Hinweise, bevor ihr eine vorgeschlagene Zahlung ausführt.</v>
      </c>
      <c r="I2" s="8" t="str">
        <v>Positiv: bekommt Geld zurück. Negativ: muss noch zahlen. Klärt alle Hinweise, bevor ihr eine vorgeschlagene Zahlung ausführt.</v>
      </c>
      <c r="J2" s="8" t="str">
        <v>Positiv: bekommt Geld zurück. Negativ: muss noch zahlen. Klärt alle Hinweise, bevor ihr eine vorgeschlagene Zahlung ausführt.</v>
      </c>
      <c r="K2" s="8" t="str">
        <v>Positiv: bekommt Geld zurück. Negativ: muss noch zahlen. Klärt alle Hinweise, bevor ihr eine vorgeschlagene Zahlung ausführt.</v>
      </c>
      <c r="L2" s="8" t="str">
        <v>Positiv: bekommt Geld zurück. Negativ: muss noch zahlen. Klärt alle Hinweise, bevor ihr eine vorgeschlagene Zahlung ausführt.</v>
      </c>
      <c r="M2" s="8" t="str">
        <v>Positiv: bekommt Geld zurück. Negativ: muss noch zahlen. Klärt alle Hinweise, bevor ihr eine vorgeschlagene Zahlung ausführt.</v>
      </c>
      <c r="N2" s="8" t="str">
        <v>Positiv: bekommt Geld zurück. Negativ: muss noch zahlen. Klärt alle Hinweise, bevor ihr eine vorgeschlagene Zahlung ausführt.</v>
      </c>
      <c r="O2" s="8" t="str">
        <v>Positiv: bekommt Geld zurück. Negativ: muss noch zahlen. Klärt alle Hinweise, bevor ihr eine vorgeschlagene Zahlung ausführt.</v>
      </c>
      <c r="P2" s="8" t="str">
        <v>Positiv: bekommt Geld zurück. Negativ: muss noch zahlen. Klärt alle Hinweise, bevor ihr eine vorgeschlagene Zahlung ausführt.</v>
      </c>
      <c r="Q2" s="8" t="str">
        <v>Positiv: bekommt Geld zurück. Negativ: muss noch zahlen. Klärt alle Hinweise, bevor ihr eine vorgeschlagene Zahlung ausführt.</v>
      </c>
      <c r="R2" s="8" t="str">
        <v>Positiv: bekommt Geld zurück. Negativ: muss noch zahlen. Klärt alle Hinweise, bevor ihr eine vorgeschlagene Zahlung ausführt.</v>
      </c>
      <c r="S2" s="8" t="str">
        <v>Positiv: bekommt Geld zurück. Negativ: muss noch zahlen. Klärt alle Hinweise, bevor ihr eine vorgeschlagene Zahlung ausführt.</v>
      </c>
    </row>
    <row r="4" ht="34" customHeight="1">
      <c r="A4" s="51" t="str">
        <v>Person</v>
      </c>
      <c r="B4" s="51" t="str">
        <v>Anfangssaldo</v>
      </c>
      <c r="C4" s="51" t="str">
        <v>Ausgaben bezahlt</v>
      </c>
      <c r="D4" s="51" t="str">
        <v>Eigener Kostenanteil</v>
      </c>
      <c r="E4" s="51" t="str">
        <v>Zahlungen gesendet</v>
      </c>
      <c r="F4" s="51" t="str">
        <v>Zahlungen erhalten</v>
      </c>
      <c r="G4" s="51" t="str">
        <v>Aktueller Saldo</v>
      </c>
      <c r="H4" s="51" t="str">
        <v>Status</v>
      </c>
    </row>
    <row r="5">
      <c r="A5" s="56" t="str">
        <f>IF('Einrichtung'!B9="","",'Einrichtung'!B9)</f>
      </c>
      <c r="B5" s="84" t="str">
        <f>IF(A5="","",'Einrichtung'!C9)</f>
      </c>
      <c r="C5" s="84" t="str">
        <f>IF(A5="","",SUMIFS('Ausgaben'!$D$5:$D$204,'Ausgaben'!$E$5:$E$204,A5,'Ausgaben'!$Z$5:$Z$204,"Geprüft"))</f>
      </c>
      <c r="D5" s="84" t="str">
        <f>IF(A5="","",SUM('Ausgaben'!$T$5:$T$204))</f>
      </c>
      <c r="E5" s="84" t="str">
        <f>IF(A5="","",SUMIFS('Zahlungen'!$D$5:$D$204,'Zahlungen'!$B$5:$B$204,A5,'Zahlungen'!$F$5:$F$204,"Geprüft"))</f>
      </c>
      <c r="F5" s="84" t="str">
        <f>IF(A5="","",SUMIFS('Zahlungen'!$D$5:$D$204,'Zahlungen'!$C$5:$C$204,A5,'Zahlungen'!$F$5:$F$204,"Geprüft"))</f>
      </c>
      <c r="G5" s="84" t="str">
        <f>IF(A5="","",B5+C5-D5+E5-F5)</f>
      </c>
      <c r="H5" s="56" t="str">
        <f>IF(A5="","",IF(ABS(G5)&lt;=0.01,"Ausgeglichen",IF(G5&gt;0,"Bekommt zurück: "&amp;ROUND(G5,2),"Muss zahlen: "&amp;ROUND(-G5,2))))</f>
      </c>
    </row>
    <row r="6">
      <c r="A6" s="57" t="str">
        <f>IF('Einrichtung'!B10="","",'Einrichtung'!B10)</f>
      </c>
      <c r="B6" s="85" t="str">
        <f>IF(A6="","",'Einrichtung'!C10)</f>
      </c>
      <c r="C6" s="85" t="str">
        <f>IF(A6="","",SUMIFS('Ausgaben'!$D$5:$D$204,'Ausgaben'!$E$5:$E$204,A6,'Ausgaben'!$Z$5:$Z$204,"Geprüft"))</f>
      </c>
      <c r="D6" s="85" t="str">
        <f>IF(A6="","",SUM('Ausgaben'!$U$5:$U$204))</f>
      </c>
      <c r="E6" s="85" t="str">
        <f>IF(A6="","",SUMIFS('Zahlungen'!$D$5:$D$204,'Zahlungen'!$B$5:$B$204,A6,'Zahlungen'!$F$5:$F$204,"Geprüft"))</f>
      </c>
      <c r="F6" s="85" t="str">
        <f>IF(A6="","",SUMIFS('Zahlungen'!$D$5:$D$204,'Zahlungen'!$C$5:$C$204,A6,'Zahlungen'!$F$5:$F$204,"Geprüft"))</f>
      </c>
      <c r="G6" s="85" t="str">
        <f>IF(A6="","",B6+C6-D6+E6-F6)</f>
      </c>
      <c r="H6" s="57" t="str">
        <f>IF(A6="","",IF(ABS(G6)&lt;=0.01,"Ausgeglichen",IF(G6&gt;0,"Bekommt zurück: "&amp;ROUND(G6,2),"Muss zahlen: "&amp;ROUND(-G6,2))))</f>
      </c>
    </row>
    <row r="7">
      <c r="A7" s="57" t="str">
        <f>IF('Einrichtung'!B11="","",'Einrichtung'!B11)</f>
      </c>
      <c r="B7" s="85" t="str">
        <f>IF(A7="","",'Einrichtung'!C11)</f>
      </c>
      <c r="C7" s="85" t="str">
        <f>IF(A7="","",SUMIFS('Ausgaben'!$D$5:$D$204,'Ausgaben'!$E$5:$E$204,A7,'Ausgaben'!$Z$5:$Z$204,"Geprüft"))</f>
      </c>
      <c r="D7" s="85" t="str">
        <f>IF(A7="","",SUM('Ausgaben'!$V$5:$V$204))</f>
      </c>
      <c r="E7" s="85" t="str">
        <f>IF(A7="","",SUMIFS('Zahlungen'!$D$5:$D$204,'Zahlungen'!$B$5:$B$204,A7,'Zahlungen'!$F$5:$F$204,"Geprüft"))</f>
      </c>
      <c r="F7" s="85" t="str">
        <f>IF(A7="","",SUMIFS('Zahlungen'!$D$5:$D$204,'Zahlungen'!$C$5:$C$204,A7,'Zahlungen'!$F$5:$F$204,"Geprüft"))</f>
      </c>
      <c r="G7" s="85" t="str">
        <f>IF(A7="","",B7+C7-D7+E7-F7)</f>
      </c>
      <c r="H7" s="57" t="str">
        <f>IF(A7="","",IF(ABS(G7)&lt;=0.01,"Ausgeglichen",IF(G7&gt;0,"Bekommt zurück: "&amp;ROUND(G7,2),"Muss zahlen: "&amp;ROUND(-G7,2))))</f>
      </c>
    </row>
    <row r="8">
      <c r="A8" s="57" t="str">
        <f>IF('Einrichtung'!B12="","",'Einrichtung'!B12)</f>
      </c>
      <c r="B8" s="85" t="str">
        <f>IF(A8="","",'Einrichtung'!C12)</f>
      </c>
      <c r="C8" s="85" t="str">
        <f>IF(A8="","",SUMIFS('Ausgaben'!$D$5:$D$204,'Ausgaben'!$E$5:$E$204,A8,'Ausgaben'!$Z$5:$Z$204,"Geprüft"))</f>
      </c>
      <c r="D8" s="85" t="str">
        <f>IF(A8="","",SUM('Ausgaben'!$W$5:$W$204))</f>
      </c>
      <c r="E8" s="85" t="str">
        <f>IF(A8="","",SUMIFS('Zahlungen'!$D$5:$D$204,'Zahlungen'!$B$5:$B$204,A8,'Zahlungen'!$F$5:$F$204,"Geprüft"))</f>
      </c>
      <c r="F8" s="85" t="str">
        <f>IF(A8="","",SUMIFS('Zahlungen'!$D$5:$D$204,'Zahlungen'!$C$5:$C$204,A8,'Zahlungen'!$F$5:$F$204,"Geprüft"))</f>
      </c>
      <c r="G8" s="85" t="str">
        <f>IF(A8="","",B8+C8-D8+E8-F8)</f>
      </c>
      <c r="H8" s="57" t="str">
        <f>IF(A8="","",IF(ABS(G8)&lt;=0.01,"Ausgeglichen",IF(G8&gt;0,"Bekommt zurück: "&amp;ROUND(G8,2),"Muss zahlen: "&amp;ROUND(-G8,2))))</f>
      </c>
    </row>
    <row r="9">
      <c r="A9" s="57" t="str">
        <f>IF('Einrichtung'!B13="","",'Einrichtung'!B13)</f>
      </c>
      <c r="B9" s="85" t="str">
        <f>IF(A9="","",'Einrichtung'!C13)</f>
      </c>
      <c r="C9" s="85" t="str">
        <f>IF(A9="","",SUMIFS('Ausgaben'!$D$5:$D$204,'Ausgaben'!$E$5:$E$204,A9,'Ausgaben'!$Z$5:$Z$204,"Geprüft"))</f>
      </c>
      <c r="D9" s="85" t="str">
        <f>IF(A9="","",SUM('Ausgaben'!$X$5:$X$204))</f>
      </c>
      <c r="E9" s="85" t="str">
        <f>IF(A9="","",SUMIFS('Zahlungen'!$D$5:$D$204,'Zahlungen'!$B$5:$B$204,A9,'Zahlungen'!$F$5:$F$204,"Geprüft"))</f>
      </c>
      <c r="F9" s="85" t="str">
        <f>IF(A9="","",SUMIFS('Zahlungen'!$D$5:$D$204,'Zahlungen'!$C$5:$C$204,A9,'Zahlungen'!$F$5:$F$204,"Geprüft"))</f>
      </c>
      <c r="G9" s="85" t="str">
        <f>IF(A9="","",B9+C9-D9+E9-F9)</f>
      </c>
      <c r="H9" s="57" t="str">
        <f>IF(A9="","",IF(ABS(G9)&lt;=0.01,"Ausgeglichen",IF(G9&gt;0,"Bekommt zurück: "&amp;ROUND(G9,2),"Muss zahlen: "&amp;ROUND(-G9,2))))</f>
      </c>
    </row>
    <row r="10">
      <c r="A10" s="57" t="str">
        <f>IF('Einrichtung'!B14="","",'Einrichtung'!B14)</f>
      </c>
      <c r="B10" s="85" t="str">
        <f>IF(A10="","",'Einrichtung'!C14)</f>
      </c>
      <c r="C10" s="85" t="str">
        <f>IF(A10="","",SUMIFS('Ausgaben'!$D$5:$D$204,'Ausgaben'!$E$5:$E$204,A10,'Ausgaben'!$Z$5:$Z$204,"Geprüft"))</f>
      </c>
      <c r="D10" s="85" t="str">
        <f>IF(A10="","",SUM('Ausgaben'!$Y$5:$Y$204))</f>
      </c>
      <c r="E10" s="85" t="str">
        <f>IF(A10="","",SUMIFS('Zahlungen'!$D$5:$D$204,'Zahlungen'!$B$5:$B$204,A10,'Zahlungen'!$F$5:$F$204,"Geprüft"))</f>
      </c>
      <c r="F10" s="85" t="str">
        <f>IF(A10="","",SUMIFS('Zahlungen'!$D$5:$D$204,'Zahlungen'!$C$5:$C$204,A10,'Zahlungen'!$F$5:$F$204,"Geprüft"))</f>
      </c>
      <c r="G10" s="85" t="str">
        <f>IF(A10="","",B10+C10-D10+E10-F10)</f>
      </c>
      <c r="H10" s="57" t="str">
        <f>IF(A10="","",IF(ABS(G10)&lt;=0.01,"Ausgeglichen",IF(G10&gt;0,"Bekommt zurück: "&amp;ROUND(G10,2),"Muss zahlen: "&amp;ROUND(-G10,2))))</f>
      </c>
    </row>
    <row r="12">
      <c r="A12" s="11" t="str">
        <v>Summen und Prüfung</v>
      </c>
      <c r="B12" s="11" t="str">
        <v>Summen und Prüfung</v>
      </c>
      <c r="C12" s="11" t="str">
        <v>Summen und Prüfung</v>
      </c>
      <c r="D12" s="11" t="str">
        <v>Summen und Prüfung</v>
      </c>
      <c r="E12" s="11" t="str">
        <v>Summen und Prüfung</v>
      </c>
      <c r="F12" s="11" t="str">
        <v>Summen und Prüfung</v>
      </c>
      <c r="G12" s="11" t="str">
        <v>Summen und Prüfung</v>
      </c>
      <c r="H12" s="11" t="str">
        <v>Summen und Prüfung</v>
      </c>
    </row>
    <row r="13">
      <c r="A13" s="88" t="str">
        <v>Ausgaben gesamt</v>
      </c>
      <c r="B13" s="92" t="n">
        <f>SUMIF('Ausgaben'!$Z$5:$Z$204,"Geprüft",'Ausgaben'!$D$5:$D$204)</f>
        <v>0</v>
      </c>
    </row>
    <row r="14">
      <c r="A14" s="88" t="str">
        <v>Verteilte Kosten gesamt</v>
      </c>
      <c r="B14" s="92" t="n">
        <f>SUM(D5:D10)</f>
        <v>0</v>
      </c>
    </row>
    <row r="15">
      <c r="A15" s="88" t="str">
        <v>Zahlungen gesamt</v>
      </c>
      <c r="B15" s="92" t="n">
        <f>SUMIF('Zahlungen'!$F$5:$F$204,"Geprüft",'Zahlungen'!$D$5:$D$204)</f>
        <v>0</v>
      </c>
    </row>
    <row r="16">
      <c r="A16" s="88" t="str">
        <v>Summe der Salden</v>
      </c>
      <c r="B16" s="92" t="n">
        <f>SUM(G5:G10)</f>
        <v>0</v>
      </c>
    </row>
    <row r="17">
      <c r="A17" s="88" t="str">
        <v>Einträge prüfen</v>
      </c>
      <c r="B17" s="96" t="str">
        <f>IF('Einrichtung'!A17&lt;&gt;"Geprüft: Die Anfangssalden ergeben zusammen 0,00.","Klärt die Hinweise unter Einrichtung, Ausgaben und Zahlungen, bevor ihr die offenen Beträge ausgleicht.",IF(COUNTIFS('Ausgaben'!$Z$5:$Z$204,"&lt;&gt;",'Ausgaben'!$Z$5:$Z$204,"&lt;&gt;Geprüft")+COUNTIFS('Zahlungen'!$F$5:$F$204,"&lt;&gt;",'Zahlungen'!$F$5:$F$204,"&lt;&gt;Geprüft")&gt;0,"Klärt die Hinweise unter Einrichtung, Ausgaben und Zahlungen, bevor ihr die offenen Beträge ausgleicht.",IF(ABS(B16)&gt;0.01,"Die aktuellen Salden ergeben zusammen nicht 0,00. Prüfe die Anfangssalden und die Kostenanteile.","Geprüft: Die aktuellen Salden ergeben zusammen 0,00.")))</f>
        <v>Klärt die Hinweise unter Einrichtung, Ausgaben und Zahlungen, bevor ihr die offenen Beträge ausgleicht.</v>
      </c>
      <c r="C17" s="75"/>
      <c r="D17" s="75"/>
      <c r="E17" s="75"/>
      <c r="F17" s="75"/>
      <c r="G17" s="75"/>
      <c r="H17" s="75"/>
    </row>
    <row r="18">
      <c r="B18" s="75"/>
      <c r="C18" s="75"/>
      <c r="D18" s="75"/>
      <c r="E18" s="75"/>
      <c r="F18" s="75"/>
      <c r="G18" s="75"/>
      <c r="H18" s="75"/>
    </row>
    <row r="20" ht="34" customHeight="1">
      <c r="A20" s="11" t="str">
        <v>Vorgeschlagene Ausgleichszahlungen</v>
      </c>
      <c r="B20" s="11" t="str">
        <v>Vorgeschlagene Ausgleichszahlungen</v>
      </c>
      <c r="C20" s="11" t="str">
        <v>Vorgeschlagene Ausgleichszahlungen</v>
      </c>
      <c r="D20" s="11" t="str">
        <v>Vorgeschlagene Ausgleichszahlungen</v>
      </c>
      <c r="E20" s="11" t="str">
        <v>Vorgeschlagene Ausgleichszahlungen</v>
      </c>
      <c r="F20" s="11" t="str">
        <v>Vorgeschlagene Ausgleichszahlungen</v>
      </c>
      <c r="G20" s="11" t="str">
        <v>Vorgeschlagene Ausgleichszahlungen</v>
      </c>
      <c r="H20" s="11" t="str">
        <v>Vorgeschlagene Ausgleichszahlungen</v>
      </c>
      <c r="J20" s="51" t="str">
        <v>Schritt</v>
      </c>
      <c r="K20" s="51" t="str">
        <v>Von</v>
      </c>
      <c r="L20" s="51" t="str">
        <v>An</v>
      </c>
      <c r="M20" s="51" t="str">
        <v>Betrag</v>
      </c>
      <c r="N20" s="51" t="str">
        <v>Saldo 1</v>
      </c>
      <c r="O20" s="51" t="str">
        <v>Saldo 2</v>
      </c>
      <c r="P20" s="51" t="str">
        <v>Saldo 3</v>
      </c>
      <c r="Q20" s="51" t="str">
        <v>Saldo 4</v>
      </c>
      <c r="R20" s="51" t="str">
        <v>Saldo 5</v>
      </c>
      <c r="S20" s="51" t="str">
        <v>Saldo 6</v>
      </c>
    </row>
    <row r="21">
      <c r="A21" s="77" t="str">
        <v>Diese Zahlungen gleichen die offenen Salden aus. Prüft die zugrunde liegenden Einträge, bevor ihr Geld überweist.</v>
      </c>
      <c r="B21" s="77" t="str">
        <v>Diese Zahlungen gleichen die offenen Salden aus. Prüft die zugrunde liegenden Einträge, bevor ihr Geld überweist.</v>
      </c>
      <c r="C21" s="77" t="str">
        <v>Diese Zahlungen gleichen die offenen Salden aus. Prüft die zugrunde liegenden Einträge, bevor ihr Geld überweist.</v>
      </c>
      <c r="D21" s="77" t="str">
        <v>Diese Zahlungen gleichen die offenen Salden aus. Prüft die zugrunde liegenden Einträge, bevor ihr Geld überweist.</v>
      </c>
      <c r="E21" s="77" t="str">
        <v>Diese Zahlungen gleichen die offenen Salden aus. Prüft die zugrunde liegenden Einträge, bevor ihr Geld überweist.</v>
      </c>
      <c r="F21" s="77" t="str">
        <v>Diese Zahlungen gleichen die offenen Salden aus. Prüft die zugrunde liegenden Einträge, bevor ihr Geld überweist.</v>
      </c>
      <c r="G21" s="77" t="str">
        <v>Diese Zahlungen gleichen die offenen Salden aus. Prüft die zugrunde liegenden Einträge, bevor ihr Geld überweist.</v>
      </c>
      <c r="H21" s="77" t="str">
        <v>Diese Zahlungen gleichen die offenen Salden aus. Prüft die zugrunde liegenden Einträge, bevor ihr Geld überweist.</v>
      </c>
      <c r="J21" s="56" t="n">
        <v>0</v>
      </c>
      <c r="K21" s="56"/>
      <c r="L21" s="56"/>
      <c r="M21" s="84"/>
      <c r="N21" s="84" t="str">
        <f>IF($B$17="Geprüft: Die aktuellen Salden ergeben zusammen 0,00.",$G5,"")</f>
      </c>
      <c r="O21" s="84" t="str">
        <f>IF($B$17="Geprüft: Die aktuellen Salden ergeben zusammen 0,00.",$G6,"")</f>
      </c>
      <c r="P21" s="84" t="str">
        <f>IF($B$17="Geprüft: Die aktuellen Salden ergeben zusammen 0,00.",$G7,"")</f>
      </c>
      <c r="Q21" s="84" t="str">
        <f>IF($B$17="Geprüft: Die aktuellen Salden ergeben zusammen 0,00.",$G8,"")</f>
      </c>
      <c r="R21" s="84" t="str">
        <f>IF($B$17="Geprüft: Die aktuellen Salden ergeben zusammen 0,00.",$G9,"")</f>
      </c>
      <c r="S21" s="84" t="str">
        <f>IF($B$17="Geprüft: Die aktuellen Salden ergeben zusammen 0,00.",$G10,"")</f>
      </c>
    </row>
    <row r="22" ht="34" customHeight="1">
      <c r="A22" s="51" t="str">
        <v>Von</v>
      </c>
      <c r="B22" s="51" t="str">
        <v>An</v>
      </c>
      <c r="C22" s="51" t="str">
        <v>Betrag</v>
      </c>
      <c r="J22" s="57" t="n">
        <v>1</v>
      </c>
      <c r="K22" s="57" t="str">
        <f>IF($B$17&lt;&gt;"Geprüft: Die aktuellen Salden ergeben zusammen 0,00.","",IF(N21&lt;-0.01,$A5,IF(O21&lt;-0.01,$A6,IF(P21&lt;-0.01,$A7,IF(Q21&lt;-0.01,$A8,IF(R21&lt;-0.01,$A9,IF(S21&lt;-0.01,$A10,"")))))))</f>
      </c>
      <c r="L22" s="57" t="str">
        <f>IF($B$17&lt;&gt;"Geprüft: Die aktuellen Salden ergeben zusammen 0,00.","",IF(N21&gt;0.01,$A5,IF(O21&gt;0.01,$A6,IF(P21&gt;0.01,$A7,IF(Q21&gt;0.01,$A8,IF(R21&gt;0.01,$A9,IF(S21&gt;0.01,$A10,"")))))))</f>
      </c>
      <c r="M22" s="85" t="str">
        <f>IF(OR(K22="",L22=""),"",MIN(IF($K22=$A5,-N21,IF($K22=$A6,-O21,IF($K22=$A7,-P21,IF($K22=$A8,-Q21,IF($K22=$A9,-R21,IF($K22=$A10,-S21,0)))))),IF($L22=$A5,N21,IF($L22=$A6,O21,IF($L22=$A7,P21,IF($L22=$A8,Q21,IF($L22=$A9,R21,IF($L22=$A10,S21,0))))))))</f>
      </c>
      <c r="N22" s="85" t="str">
        <f>IF(N21="","",N21+IF($A5=$K22,$M22,0)-IF($A5=$L22,$M22,0))</f>
      </c>
      <c r="O22" s="85" t="str">
        <f>IF(O21="","",O21+IF($A6=$K22,$M22,0)-IF($A6=$L22,$M22,0))</f>
      </c>
      <c r="P22" s="85" t="str">
        <f>IF(P21="","",P21+IF($A7=$K22,$M22,0)-IF($A7=$L22,$M22,0))</f>
      </c>
      <c r="Q22" s="85" t="str">
        <f>IF(Q21="","",Q21+IF($A8=$K22,$M22,0)-IF($A8=$L22,$M22,0))</f>
      </c>
      <c r="R22" s="85" t="str">
        <f>IF(R21="","",R21+IF($A9=$K22,$M22,0)-IF($A9=$L22,$M22,0))</f>
      </c>
      <c r="S22" s="85" t="str">
        <f>IF(S21="","",S21+IF($A10=$K22,$M22,0)-IF($A10=$L22,$M22,0))</f>
      </c>
    </row>
    <row r="23">
      <c r="A23" s="56" t="str">
        <f>IF($B$17&lt;&gt;"Geprüft: Die aktuellen Salden ergeben zusammen 0,00.","",K22)</f>
      </c>
      <c r="B23" s="56" t="str">
        <f>IF($B$17&lt;&gt;"Geprüft: Die aktuellen Salden ergeben zusammen 0,00.","",L22)</f>
      </c>
      <c r="C23" s="84" t="str">
        <f>IF($B$17&lt;&gt;"Geprüft: Die aktuellen Salden ergeben zusammen 0,00.","",M22)</f>
      </c>
      <c r="J23" s="57" t="n">
        <v>2</v>
      </c>
      <c r="K23" s="57" t="str">
        <f>IF($B$17&lt;&gt;"Geprüft: Die aktuellen Salden ergeben zusammen 0,00.","",IF(N22&lt;-0.01,$A5,IF(O22&lt;-0.01,$A6,IF(P22&lt;-0.01,$A7,IF(Q22&lt;-0.01,$A8,IF(R22&lt;-0.01,$A9,IF(S22&lt;-0.01,$A10,"")))))))</f>
      </c>
      <c r="L23" s="57" t="str">
        <f>IF($B$17&lt;&gt;"Geprüft: Die aktuellen Salden ergeben zusammen 0,00.","",IF(N22&gt;0.01,$A5,IF(O22&gt;0.01,$A6,IF(P22&gt;0.01,$A7,IF(Q22&gt;0.01,$A8,IF(R22&gt;0.01,$A9,IF(S22&gt;0.01,$A10,"")))))))</f>
      </c>
      <c r="M23" s="85" t="str">
        <f>IF(OR(K23="",L23=""),"",MIN(IF($K23=$A5,-N22,IF($K23=$A6,-O22,IF($K23=$A7,-P22,IF($K23=$A8,-Q22,IF($K23=$A9,-R22,IF($K23=$A10,-S22,0)))))),IF($L23=$A5,N22,IF($L23=$A6,O22,IF($L23=$A7,P22,IF($L23=$A8,Q22,IF($L23=$A9,R22,IF($L23=$A10,S22,0))))))))</f>
      </c>
      <c r="N23" s="85" t="str">
        <f>IF(N22="","",N22+IF($A5=$K23,$M23,0)-IF($A5=$L23,$M23,0))</f>
      </c>
      <c r="O23" s="85" t="str">
        <f>IF(O22="","",O22+IF($A6=$K23,$M23,0)-IF($A6=$L23,$M23,0))</f>
      </c>
      <c r="P23" s="85" t="str">
        <f>IF(P22="","",P22+IF($A7=$K23,$M23,0)-IF($A7=$L23,$M23,0))</f>
      </c>
      <c r="Q23" s="85" t="str">
        <f>IF(Q22="","",Q22+IF($A8=$K23,$M23,0)-IF($A8=$L23,$M23,0))</f>
      </c>
      <c r="R23" s="85" t="str">
        <f>IF(R22="","",R22+IF($A9=$K23,$M23,0)-IF($A9=$L23,$M23,0))</f>
      </c>
      <c r="S23" s="85" t="str">
        <f>IF(S22="","",S22+IF($A10=$K23,$M23,0)-IF($A10=$L23,$M23,0))</f>
      </c>
    </row>
    <row r="24">
      <c r="A24" s="57" t="str">
        <f>IF($B$17&lt;&gt;"Geprüft: Die aktuellen Salden ergeben zusammen 0,00.","",K23)</f>
      </c>
      <c r="B24" s="57" t="str">
        <f>IF($B$17&lt;&gt;"Geprüft: Die aktuellen Salden ergeben zusammen 0,00.","",L23)</f>
      </c>
      <c r="C24" s="85" t="str">
        <f>IF($B$17&lt;&gt;"Geprüft: Die aktuellen Salden ergeben zusammen 0,00.","",M23)</f>
      </c>
      <c r="J24" s="57" t="n">
        <v>3</v>
      </c>
      <c r="K24" s="57" t="str">
        <f>IF($B$17&lt;&gt;"Geprüft: Die aktuellen Salden ergeben zusammen 0,00.","",IF(N23&lt;-0.01,$A5,IF(O23&lt;-0.01,$A6,IF(P23&lt;-0.01,$A7,IF(Q23&lt;-0.01,$A8,IF(R23&lt;-0.01,$A9,IF(S23&lt;-0.01,$A10,"")))))))</f>
      </c>
      <c r="L24" s="57" t="str">
        <f>IF($B$17&lt;&gt;"Geprüft: Die aktuellen Salden ergeben zusammen 0,00.","",IF(N23&gt;0.01,$A5,IF(O23&gt;0.01,$A6,IF(P23&gt;0.01,$A7,IF(Q23&gt;0.01,$A8,IF(R23&gt;0.01,$A9,IF(S23&gt;0.01,$A10,"")))))))</f>
      </c>
      <c r="M24" s="85" t="str">
        <f>IF(OR(K24="",L24=""),"",MIN(IF($K24=$A5,-N23,IF($K24=$A6,-O23,IF($K24=$A7,-P23,IF($K24=$A8,-Q23,IF($K24=$A9,-R23,IF($K24=$A10,-S23,0)))))),IF($L24=$A5,N23,IF($L24=$A6,O23,IF($L24=$A7,P23,IF($L24=$A8,Q23,IF($L24=$A9,R23,IF($L24=$A10,S23,0))))))))</f>
      </c>
      <c r="N24" s="85" t="str">
        <f>IF(N23="","",N23+IF($A5=$K24,$M24,0)-IF($A5=$L24,$M24,0))</f>
      </c>
      <c r="O24" s="85" t="str">
        <f>IF(O23="","",O23+IF($A6=$K24,$M24,0)-IF($A6=$L24,$M24,0))</f>
      </c>
      <c r="P24" s="85" t="str">
        <f>IF(P23="","",P23+IF($A7=$K24,$M24,0)-IF($A7=$L24,$M24,0))</f>
      </c>
      <c r="Q24" s="85" t="str">
        <f>IF(Q23="","",Q23+IF($A8=$K24,$M24,0)-IF($A8=$L24,$M24,0))</f>
      </c>
      <c r="R24" s="85" t="str">
        <f>IF(R23="","",R23+IF($A9=$K24,$M24,0)-IF($A9=$L24,$M24,0))</f>
      </c>
      <c r="S24" s="85" t="str">
        <f>IF(S23="","",S23+IF($A10=$K24,$M24,0)-IF($A10=$L24,$M24,0))</f>
      </c>
    </row>
    <row r="25">
      <c r="A25" s="57" t="str">
        <f>IF($B$17&lt;&gt;"Geprüft: Die aktuellen Salden ergeben zusammen 0,00.","",K24)</f>
      </c>
      <c r="B25" s="57" t="str">
        <f>IF($B$17&lt;&gt;"Geprüft: Die aktuellen Salden ergeben zusammen 0,00.","",L24)</f>
      </c>
      <c r="C25" s="85" t="str">
        <f>IF($B$17&lt;&gt;"Geprüft: Die aktuellen Salden ergeben zusammen 0,00.","",M24)</f>
      </c>
      <c r="J25" s="57" t="n">
        <v>4</v>
      </c>
      <c r="K25" s="57" t="str">
        <f>IF($B$17&lt;&gt;"Geprüft: Die aktuellen Salden ergeben zusammen 0,00.","",IF(N24&lt;-0.01,$A5,IF(O24&lt;-0.01,$A6,IF(P24&lt;-0.01,$A7,IF(Q24&lt;-0.01,$A8,IF(R24&lt;-0.01,$A9,IF(S24&lt;-0.01,$A10,"")))))))</f>
      </c>
      <c r="L25" s="57" t="str">
        <f>IF($B$17&lt;&gt;"Geprüft: Die aktuellen Salden ergeben zusammen 0,00.","",IF(N24&gt;0.01,$A5,IF(O24&gt;0.01,$A6,IF(P24&gt;0.01,$A7,IF(Q24&gt;0.01,$A8,IF(R24&gt;0.01,$A9,IF(S24&gt;0.01,$A10,"")))))))</f>
      </c>
      <c r="M25" s="85" t="str">
        <f>IF(OR(K25="",L25=""),"",MIN(IF($K25=$A5,-N24,IF($K25=$A6,-O24,IF($K25=$A7,-P24,IF($K25=$A8,-Q24,IF($K25=$A9,-R24,IF($K25=$A10,-S24,0)))))),IF($L25=$A5,N24,IF($L25=$A6,O24,IF($L25=$A7,P24,IF($L25=$A8,Q24,IF($L25=$A9,R24,IF($L25=$A10,S24,0))))))))</f>
      </c>
      <c r="N25" s="85" t="str">
        <f>IF(N24="","",N24+IF($A5=$K25,$M25,0)-IF($A5=$L25,$M25,0))</f>
      </c>
      <c r="O25" s="85" t="str">
        <f>IF(O24="","",O24+IF($A6=$K25,$M25,0)-IF($A6=$L25,$M25,0))</f>
      </c>
      <c r="P25" s="85" t="str">
        <f>IF(P24="","",P24+IF($A7=$K25,$M25,0)-IF($A7=$L25,$M25,0))</f>
      </c>
      <c r="Q25" s="85" t="str">
        <f>IF(Q24="","",Q24+IF($A8=$K25,$M25,0)-IF($A8=$L25,$M25,0))</f>
      </c>
      <c r="R25" s="85" t="str">
        <f>IF(R24="","",R24+IF($A9=$K25,$M25,0)-IF($A9=$L25,$M25,0))</f>
      </c>
      <c r="S25" s="85" t="str">
        <f>IF(S24="","",S24+IF($A10=$K25,$M25,0)-IF($A10=$L25,$M25,0))</f>
      </c>
    </row>
    <row r="26">
      <c r="A26" s="57" t="str">
        <f>IF($B$17&lt;&gt;"Geprüft: Die aktuellen Salden ergeben zusammen 0,00.","",K25)</f>
      </c>
      <c r="B26" s="57" t="str">
        <f>IF($B$17&lt;&gt;"Geprüft: Die aktuellen Salden ergeben zusammen 0,00.","",L25)</f>
      </c>
      <c r="C26" s="85" t="str">
        <f>IF($B$17&lt;&gt;"Geprüft: Die aktuellen Salden ergeben zusammen 0,00.","",M25)</f>
      </c>
      <c r="J26" s="57" t="n">
        <v>5</v>
      </c>
      <c r="K26" s="57" t="str">
        <f>IF($B$17&lt;&gt;"Geprüft: Die aktuellen Salden ergeben zusammen 0,00.","",IF(N25&lt;-0.01,$A5,IF(O25&lt;-0.01,$A6,IF(P25&lt;-0.01,$A7,IF(Q25&lt;-0.01,$A8,IF(R25&lt;-0.01,$A9,IF(S25&lt;-0.01,$A10,"")))))))</f>
      </c>
      <c r="L26" s="57" t="str">
        <f>IF($B$17&lt;&gt;"Geprüft: Die aktuellen Salden ergeben zusammen 0,00.","",IF(N25&gt;0.01,$A5,IF(O25&gt;0.01,$A6,IF(P25&gt;0.01,$A7,IF(Q25&gt;0.01,$A8,IF(R25&gt;0.01,$A9,IF(S25&gt;0.01,$A10,"")))))))</f>
      </c>
      <c r="M26" s="85" t="str">
        <f>IF(OR(K26="",L26=""),"",MIN(IF($K26=$A5,-N25,IF($K26=$A6,-O25,IF($K26=$A7,-P25,IF($K26=$A8,-Q25,IF($K26=$A9,-R25,IF($K26=$A10,-S25,0)))))),IF($L26=$A5,N25,IF($L26=$A6,O25,IF($L26=$A7,P25,IF($L26=$A8,Q25,IF($L26=$A9,R25,IF($L26=$A10,S25,0))))))))</f>
      </c>
      <c r="N26" s="85" t="str">
        <f>IF(N25="","",N25+IF($A5=$K26,$M26,0)-IF($A5=$L26,$M26,0))</f>
      </c>
      <c r="O26" s="85" t="str">
        <f>IF(O25="","",O25+IF($A6=$K26,$M26,0)-IF($A6=$L26,$M26,0))</f>
      </c>
      <c r="P26" s="85" t="str">
        <f>IF(P25="","",P25+IF($A7=$K26,$M26,0)-IF($A7=$L26,$M26,0))</f>
      </c>
      <c r="Q26" s="85" t="str">
        <f>IF(Q25="","",Q25+IF($A8=$K26,$M26,0)-IF($A8=$L26,$M26,0))</f>
      </c>
      <c r="R26" s="85" t="str">
        <f>IF(R25="","",R25+IF($A9=$K26,$M26,0)-IF($A9=$L26,$M26,0))</f>
      </c>
      <c r="S26" s="85" t="str">
        <f>IF(S25="","",S25+IF($A10=$K26,$M26,0)-IF($A10=$L26,$M26,0))</f>
      </c>
    </row>
    <row r="27">
      <c r="A27" s="57" t="str">
        <f>IF($B$17&lt;&gt;"Geprüft: Die aktuellen Salden ergeben zusammen 0,00.","",K26)</f>
      </c>
      <c r="B27" s="57" t="str">
        <f>IF($B$17&lt;&gt;"Geprüft: Die aktuellen Salden ergeben zusammen 0,00.","",L26)</f>
      </c>
      <c r="C27" s="85" t="str">
        <f>IF($B$17&lt;&gt;"Geprüft: Die aktuellen Salden ergeben zusammen 0,00.","",M26)</f>
      </c>
    </row>
    <row r="29">
      <c r="A29" s="98" t="str">
        <f>IF($B$17&lt;&gt;"Geprüft: Die aktuellen Salden ergeben zusammen 0,00.","Zahlungsvorschläge sind erst verfügbar, wenn die aktuellen Salden zusammen 0,00 ergeben.",IF(COUNTIF($G$5:$G$10,"&lt;-0.01")=0,"Es sind keine Ausgleichszahlungen nötig.",""))</f>
        <v>Zahlungsvorschläge sind erst verfügbar, wenn die aktuellen Salden zusammen 0,00 ergeben.</v>
      </c>
      <c r="B29" s="98"/>
      <c r="C29" s="98"/>
      <c r="D29" s="98"/>
      <c r="E29" s="98"/>
      <c r="F29" s="98"/>
      <c r="G29" s="98"/>
      <c r="H29" s="98"/>
    </row>
    <row r="30">
      <c r="A30" s="98"/>
      <c r="B30" s="98"/>
      <c r="C30" s="98"/>
      <c r="D30" s="98"/>
      <c r="E30" s="98"/>
      <c r="F30" s="98"/>
      <c r="G30" s="98"/>
      <c r="H30" s="98"/>
    </row>
  </sheetData>
  <mergeCells>
    <mergeCell ref="A1:S1"/>
    <mergeCell ref="A2:S2"/>
    <mergeCell ref="A12:H12"/>
    <mergeCell ref="B17:H18"/>
    <mergeCell ref="A20:H20"/>
    <mergeCell ref="A21:H21"/>
    <mergeCell ref="A29:H30"/>
  </mergeCells>
  <conditionalFormatting sqref="G5:G10">
    <cfRule type="cellIs" dxfId="6" priority="1" operator="greaterThan">
      <formula>0.01</formula>
    </cfRule>
    <cfRule type="cellIs" dxfId="7" priority="2" operator="lessThan">
      <formula>-0.01</formula>
    </cfRule>
  </conditionalFormatting>
  <conditionalFormatting sqref="B17:H18">
    <cfRule type="containsText" dxfId="8" priority="3" operator="containsText" text="Geprüft"/>
    <cfRule type="notContainsText" dxfId="9" priority="4" text="Geprüft"/>
  </conditionalFormatting>
  <pageMargins left="0.7" right="0.7" top="0.75" bottom="0.75" header="0.3" footer="0.3"/>
</worksheet>
</file>

<file path=xl/worksheets/sheet6.xml><?xml version="1.0" encoding="utf-8"?>
<worksheet xmlns="http://schemas.openxmlformats.org/spreadsheetml/2006/main">
  <sheetViews>
    <sheetView showGridLines="0" workbookViewId="0">
      <pane ySplit="5" topLeftCell="A6" activePane="bottomLeft" state="frozen"/>
    </sheetView>
  </sheetViews>
  <sheetFormatPr defaultRowHeight="15"/>
  <cols>
    <col min="1" max="1" width="28" hidden="0" customWidth="1"/>
    <col min="2" max="2" width="28" hidden="0" customWidth="1"/>
    <col min="3" max="3" width="22" hidden="0" customWidth="1"/>
    <col min="4" max="4" width="20" hidden="0" customWidth="1"/>
    <col min="5" max="5" width="24" hidden="0" customWidth="1"/>
    <col min="6" max="6" width="24" hidden="0" customWidth="1"/>
    <col min="7" max="7" width="21" hidden="0" customWidth="1"/>
  </cols>
  <sheetData>
    <row r="1" ht="34" customHeight="1">
      <c r="A1" s="4" t="str">
        <v>Vollständiges Beispiel: Mia, Jonas und Lea</v>
      </c>
      <c r="B1" s="4" t="str">
        <v>Vollständiges Beispiel: Mia, Jonas und Lea</v>
      </c>
      <c r="C1" s="4" t="str">
        <v>Vollständiges Beispiel: Mia, Jonas und Lea</v>
      </c>
      <c r="D1" s="4" t="str">
        <v>Vollständiges Beispiel: Mia, Jonas und Lea</v>
      </c>
      <c r="E1" s="4" t="str">
        <v>Vollständiges Beispiel: Mia, Jonas und Lea</v>
      </c>
      <c r="F1" s="4" t="str">
        <v>Vollständiges Beispiel: Mia, Jonas und Lea</v>
      </c>
      <c r="G1" s="4" t="str">
        <v>Vollständiges Beispiel: Mia, Jonas und Lea</v>
      </c>
    </row>
    <row r="2" ht="30" customHeight="1">
      <c r="A2" s="8" t="str">
        <v>Drei gleichmäßig aufgeteilte Ausgaben und eine Teilzahlung vor der Abrechnung. Fiktives Beispiel in Euro.</v>
      </c>
      <c r="B2" s="8" t="str">
        <v>Drei gleichmäßig aufgeteilte Ausgaben und eine Teilzahlung vor der Abrechnung. Fiktives Beispiel in Euro.</v>
      </c>
      <c r="C2" s="8" t="str">
        <v>Drei gleichmäßig aufgeteilte Ausgaben und eine Teilzahlung vor der Abrechnung. Fiktives Beispiel in Euro.</v>
      </c>
      <c r="D2" s="8" t="str">
        <v>Drei gleichmäßig aufgeteilte Ausgaben und eine Teilzahlung vor der Abrechnung. Fiktives Beispiel in Euro.</v>
      </c>
      <c r="E2" s="8" t="str">
        <v>Drei gleichmäßig aufgeteilte Ausgaben und eine Teilzahlung vor der Abrechnung. Fiktives Beispiel in Euro.</v>
      </c>
      <c r="F2" s="8" t="str">
        <v>Drei gleichmäßig aufgeteilte Ausgaben und eine Teilzahlung vor der Abrechnung. Fiktives Beispiel in Euro.</v>
      </c>
      <c r="G2" s="8" t="str">
        <v>Drei gleichmäßig aufgeteilte Ausgaben und eine Teilzahlung vor der Abrechnung. Fiktives Beispiel in Euro.</v>
      </c>
    </row>
    <row r="4">
      <c r="A4" s="11" t="str">
        <v>Ausgaben</v>
      </c>
      <c r="B4" s="11" t="str">
        <v>Ausgaben</v>
      </c>
      <c r="C4" s="11" t="str">
        <v>Ausgaben</v>
      </c>
      <c r="D4" s="11" t="str">
        <v>Ausgaben</v>
      </c>
      <c r="E4" s="11" t="str">
        <v>Ausgaben</v>
      </c>
      <c r="F4" s="11" t="str">
        <v>Ausgaben</v>
      </c>
      <c r="G4" s="11" t="str">
        <v>Ausgaben</v>
      </c>
    </row>
    <row r="5" ht="34" customHeight="1">
      <c r="A5" s="51" t="str">
        <v>Datum</v>
      </c>
      <c r="B5" s="51" t="str">
        <v>Ausgabe</v>
      </c>
      <c r="C5" s="51" t="str">
        <v>Kategorie</v>
      </c>
      <c r="D5" s="51" t="str">
        <v>Betrag</v>
      </c>
      <c r="E5" s="51" t="str">
        <v>Bezahlt von</v>
      </c>
      <c r="F5" s="51" t="str">
        <v>Beteiligte Personen</v>
      </c>
      <c r="G5" s="51" t="str">
        <v>Vereinbarter Anteil</v>
      </c>
    </row>
    <row r="6">
      <c r="A6" s="99" t="d">
        <v>2026-05-01T00:00:00.000Z</v>
      </c>
      <c r="B6" s="56" t="str">
        <v>Miete</v>
      </c>
      <c r="C6" s="56" t="str">
        <v>Miete</v>
      </c>
      <c r="D6" s="101" t="n">
        <v>1800</v>
      </c>
      <c r="E6" s="56" t="str">
        <v>Mia</v>
      </c>
      <c r="F6" s="56" t="str">
        <v>Mia, Jonas, Lea</v>
      </c>
      <c r="G6" s="56" t="str">
        <v>600 € pro Person</v>
      </c>
    </row>
    <row r="7">
      <c r="A7" s="100" t="d">
        <v>2026-05-05T00:00:00.000Z</v>
      </c>
      <c r="B7" s="57" t="str">
        <v>Internet</v>
      </c>
      <c r="C7" s="57" t="str">
        <v>Internet</v>
      </c>
      <c r="D7" s="102" t="n">
        <v>60</v>
      </c>
      <c r="E7" s="57" t="str">
        <v>Jonas</v>
      </c>
      <c r="F7" s="57" t="str">
        <v>Mia, Jonas, Lea</v>
      </c>
      <c r="G7" s="57" t="str">
        <v>20 € pro Person</v>
      </c>
    </row>
    <row r="8">
      <c r="A8" s="100" t="d">
        <v>2026-05-12T00:00:00.000Z</v>
      </c>
      <c r="B8" s="57" t="str">
        <v>Lebensmittel</v>
      </c>
      <c r="C8" s="57" t="str">
        <v>Lebensmittel</v>
      </c>
      <c r="D8" s="102" t="n">
        <v>120</v>
      </c>
      <c r="E8" s="57" t="str">
        <v>Lea</v>
      </c>
      <c r="F8" s="57" t="str">
        <v>Mia, Jonas, Lea</v>
      </c>
      <c r="G8" s="57" t="str">
        <v>40 € pro Person</v>
      </c>
    </row>
    <row r="10">
      <c r="A10" s="11" t="str">
        <v>Zahlung separat erfasst</v>
      </c>
      <c r="B10" s="11" t="str">
        <v>Zahlung separat erfasst</v>
      </c>
      <c r="C10" s="11" t="str">
        <v>Zahlung separat erfasst</v>
      </c>
      <c r="D10" s="11" t="str">
        <v>Zahlung separat erfasst</v>
      </c>
      <c r="E10" s="11" t="str">
        <v>Zahlung separat erfasst</v>
      </c>
      <c r="F10" s="11" t="str">
        <v>Zahlung separat erfasst</v>
      </c>
      <c r="G10" s="11" t="str">
        <v>Zahlung separat erfasst</v>
      </c>
    </row>
    <row r="11" ht="34" customHeight="1">
      <c r="A11" s="51" t="str">
        <v>Datum</v>
      </c>
      <c r="B11" s="51" t="str">
        <v>Von</v>
      </c>
      <c r="C11" s="51" t="str">
        <v>An</v>
      </c>
      <c r="D11" s="51" t="str">
        <v>Betrag</v>
      </c>
      <c r="E11" s="51" t="str">
        <v>Notiz</v>
      </c>
    </row>
    <row r="12">
      <c r="A12" s="99" t="d">
        <v>2026-05-20T00:00:00.000Z</v>
      </c>
      <c r="B12" s="56" t="str">
        <v>Jonas</v>
      </c>
      <c r="C12" s="56" t="str">
        <v>Mia</v>
      </c>
      <c r="D12" s="101" t="n">
        <v>200</v>
      </c>
      <c r="E12" s="56" t="str">
        <v>Teilzahlung vor der Monatsabrechnung</v>
      </c>
    </row>
    <row r="14">
      <c r="A14" s="11" t="str">
        <v>Übersicht nach der Zahlung von 200 €</v>
      </c>
      <c r="B14" s="11" t="str">
        <v>Übersicht nach der Zahlung von 200 €</v>
      </c>
      <c r="C14" s="11" t="str">
        <v>Übersicht nach der Zahlung von 200 €</v>
      </c>
      <c r="D14" s="11" t="str">
        <v>Übersicht nach der Zahlung von 200 €</v>
      </c>
      <c r="E14" s="11" t="str">
        <v>Übersicht nach der Zahlung von 200 €</v>
      </c>
      <c r="F14" s="11" t="str">
        <v>Übersicht nach der Zahlung von 200 €</v>
      </c>
      <c r="G14" s="11" t="str">
        <v>Übersicht nach der Zahlung von 200 €</v>
      </c>
    </row>
    <row r="15" ht="34" customHeight="1">
      <c r="A15" s="51" t="str">
        <v>Person</v>
      </c>
      <c r="B15" s="51" t="str">
        <v>Ausgaben bezahlt</v>
      </c>
      <c r="C15" s="51" t="str">
        <v>Eigener Anteil</v>
      </c>
      <c r="D15" s="51" t="str">
        <v>Zahlungen gesendet</v>
      </c>
      <c r="E15" s="51" t="str">
        <v>Zahlungen erhalten</v>
      </c>
      <c r="F15" s="51" t="str">
        <v>Aktueller Saldo</v>
      </c>
    </row>
    <row r="16">
      <c r="A16" s="56" t="str">
        <v>Mia</v>
      </c>
      <c r="B16" s="84" t="n">
        <f>SUMIF($E$6:$E$8,A16,$D$6:$D$8)</f>
        <v>1800</v>
      </c>
      <c r="C16" s="84" t="n">
        <f>SUM($D$6:$D$8)/3</f>
        <v>660</v>
      </c>
      <c r="D16" s="84" t="n">
        <f>SUMIF($B$12:$B$12,A16,$D$12:$D$12)</f>
        <v>0</v>
      </c>
      <c r="E16" s="84" t="n">
        <f>SUMIF($C$12:$C$12,A16,$D$12:$D$12)</f>
        <v>200</v>
      </c>
      <c r="F16" s="103" t="n">
        <f>B16-C16+D16-E16</f>
        <v>940</v>
      </c>
    </row>
    <row r="17">
      <c r="A17" s="57" t="str">
        <v>Jonas</v>
      </c>
      <c r="B17" s="85" t="n">
        <f>SUMIF($E$6:$E$8,A17,$D$6:$D$8)</f>
        <v>60</v>
      </c>
      <c r="C17" s="85" t="n">
        <f>SUM($D$6:$D$8)/3</f>
        <v>660</v>
      </c>
      <c r="D17" s="85" t="n">
        <f>SUMIF($B$12:$B$12,A17,$D$12:$D$12)</f>
        <v>200</v>
      </c>
      <c r="E17" s="85" t="n">
        <f>SUMIF($C$12:$C$12,A17,$D$12:$D$12)</f>
        <v>0</v>
      </c>
      <c r="F17" s="104" t="n">
        <f>B17-C17+D17-E17</f>
        <v>-400</v>
      </c>
    </row>
    <row r="18">
      <c r="A18" s="57" t="str">
        <v>Lea</v>
      </c>
      <c r="B18" s="85" t="n">
        <f>SUMIF($E$6:$E$8,A18,$D$6:$D$8)</f>
        <v>120</v>
      </c>
      <c r="C18" s="85" t="n">
        <f>SUM($D$6:$D$8)/3</f>
        <v>660</v>
      </c>
      <c r="D18" s="85" t="n">
        <f>SUMIF($B$12:$B$12,A18,$D$12:$D$12)</f>
        <v>0</v>
      </c>
      <c r="E18" s="85" t="n">
        <f>SUMIF($C$12:$C$12,A18,$D$12:$D$12)</f>
        <v>0</v>
      </c>
      <c r="F18" s="104" t="n">
        <f>B18-C18+D18-E18</f>
        <v>-540</v>
      </c>
    </row>
    <row r="20">
      <c r="A20" s="88" t="str">
        <v>Gemeinsame Ausgaben gesamt</v>
      </c>
      <c r="B20" s="89" t="n">
        <f>SUM($D$6:$D$8)</f>
        <v>1980</v>
      </c>
    </row>
    <row r="21">
      <c r="A21" s="88" t="str">
        <v>Anteil pro Person</v>
      </c>
      <c r="B21" s="89" t="n">
        <f>B20/3</f>
        <v>660</v>
      </c>
    </row>
    <row r="23">
      <c r="A23" s="11" t="str">
        <v>Vorgeschlagene Ausgleichszahlungen</v>
      </c>
      <c r="B23" s="11" t="str">
        <v>Vorgeschlagene Ausgleichszahlungen</v>
      </c>
      <c r="C23" s="11" t="str">
        <v>Vorgeschlagene Ausgleichszahlungen</v>
      </c>
      <c r="D23" s="11" t="str">
        <v>Vorgeschlagene Ausgleichszahlungen</v>
      </c>
      <c r="E23" s="11" t="str">
        <v>Vorgeschlagene Ausgleichszahlungen</v>
      </c>
      <c r="F23" s="11" t="str">
        <v>Vorgeschlagene Ausgleichszahlungen</v>
      </c>
      <c r="G23" s="11" t="str">
        <v>Vorgeschlagene Ausgleichszahlungen</v>
      </c>
    </row>
    <row r="24" ht="34" customHeight="1">
      <c r="A24" s="51" t="str">
        <v>Von</v>
      </c>
      <c r="B24" s="51" t="str">
        <v>An</v>
      </c>
      <c r="C24" s="51" t="str">
        <v>Betrag</v>
      </c>
      <c r="E24" s="107" t="str">
        <v>Endsumme</v>
      </c>
      <c r="F24" s="108" t="n">
        <f>SUM(F16:F18)</f>
        <v>0</v>
      </c>
    </row>
    <row r="25">
      <c r="A25" s="56" t="str">
        <v>Jonas</v>
      </c>
      <c r="B25" s="56" t="str">
        <v>Mia</v>
      </c>
      <c r="C25" s="84" t="n">
        <f>-F17</f>
        <v>400</v>
      </c>
    </row>
    <row r="26">
      <c r="A26" s="57" t="str">
        <v>Lea</v>
      </c>
      <c r="B26" s="57" t="str">
        <v>Mia</v>
      </c>
      <c r="C26" s="85" t="n">
        <f>-F18</f>
        <v>540</v>
      </c>
    </row>
  </sheetData>
  <mergeCells>
    <mergeCell ref="A1:G1"/>
    <mergeCell ref="A2:G2"/>
    <mergeCell ref="A4:G4"/>
    <mergeCell ref="A10:G10"/>
    <mergeCell ref="A14:G14"/>
    <mergeCell ref="A23:G23"/>
  </mergeCells>
  <pageMargins left="0.7" right="0.7" top="0.75" bottom="0.75" header="0.3" footer="0.3"/>
</worksheet>
</file>

<file path=xl/worksheets/sheet7.xml><?xml version="1.0" encoding="utf-8"?>
<worksheet xmlns="http://schemas.openxmlformats.org/spreadsheetml/2006/main">
  <sheetViews>
    <sheetView showGridLines="0" workbookViewId="0">
      <pane ySplit="4" topLeftCell="A5" activePane="bottomLeft" state="frozen"/>
    </sheetView>
  </sheetViews>
  <sheetFormatPr defaultRowHeight="15"/>
  <cols>
    <col min="1" max="1" width="26" hidden="0" customWidth="1"/>
    <col min="2" max="2" width="34" hidden="0" customWidth="1"/>
    <col min="3" max="3" width="16" hidden="0" customWidth="1"/>
    <col min="4" max="4" width="16" hidden="0" customWidth="1"/>
  </cols>
  <sheetData>
    <row r="1" ht="34" customHeight="1">
      <c r="A1" s="4" t="str">
        <v>Listen der Vorlage</v>
      </c>
      <c r="B1" s="4" t="str">
        <v>Listen der Vorlage</v>
      </c>
      <c r="C1" s="4" t="str">
        <v>Listen der Vorlage</v>
      </c>
      <c r="D1" s="4" t="str">
        <v>Listen der Vorlage</v>
      </c>
    </row>
    <row r="2" ht="30" customHeight="1">
      <c r="A2" s="8" t="str">
        <v>Diese Listen liefern die Auswahlmöglichkeiten für die Dropdown-Menüs. Ändere sie nur, wenn du weißt, wie sie mit den Datenprüfungen der Vorlage verknüpft sind.</v>
      </c>
      <c r="B2" s="8" t="str">
        <v>Diese Listen liefern die Auswahlmöglichkeiten für die Dropdown-Menüs. Ändere sie nur, wenn du weißt, wie sie mit den Datenprüfungen der Vorlage verknüpft sind.</v>
      </c>
      <c r="C2" s="8" t="str">
        <v>Diese Listen liefern die Auswahlmöglichkeiten für die Dropdown-Menüs. Ändere sie nur, wenn du weißt, wie sie mit den Datenprüfungen der Vorlage verknüpft sind.</v>
      </c>
      <c r="D2" s="8" t="str">
        <v>Diese Listen liefern die Auswahlmöglichkeiten für die Dropdown-Menüs. Ändere sie nur, wenn du weißt, wie sie mit den Datenprüfungen der Vorlage verknüpft sind.</v>
      </c>
    </row>
    <row r="4" ht="34" customHeight="1">
      <c r="A4" s="51" t="str">
        <v>Kategorien</v>
      </c>
      <c r="B4" s="51" t="str">
        <v>Aufteilungen</v>
      </c>
      <c r="C4" s="51" t="str">
        <v>Ja oder nein</v>
      </c>
      <c r="D4" s="51" t="str">
        <v>Währungen</v>
      </c>
    </row>
    <row r="5">
      <c r="A5" s="56" t="str">
        <v>Miete</v>
      </c>
      <c r="B5" s="56" t="str">
        <v>Gleichmäßig unter Beteiligten</v>
      </c>
      <c r="C5" s="56" t="str">
        <v>Ja</v>
      </c>
      <c r="D5" s="56" t="str">
        <v>USD</v>
      </c>
    </row>
    <row r="6">
      <c r="A6" s="57" t="str">
        <v>Nebenkosten</v>
      </c>
      <c r="B6" s="57" t="str">
        <v>Vereinbarte Beträge</v>
      </c>
      <c r="C6" s="57" t="str">
        <v>Nein</v>
      </c>
      <c r="D6" s="57" t="str">
        <v>EUR</v>
      </c>
    </row>
    <row r="7">
      <c r="A7" s="57" t="str">
        <v>Internet</v>
      </c>
      <c r="B7" s="57"/>
      <c r="C7" s="57"/>
      <c r="D7" s="57" t="str">
        <v>GBP</v>
      </c>
    </row>
    <row r="8">
      <c r="A8" s="57" t="str">
        <v>Lebensmittel</v>
      </c>
      <c r="B8" s="57"/>
      <c r="C8" s="57"/>
      <c r="D8" s="57" t="str">
        <v>CAD</v>
      </c>
    </row>
    <row r="9">
      <c r="A9" s="57" t="str">
        <v>Haushaltsbedarf</v>
      </c>
      <c r="B9" s="57"/>
      <c r="C9" s="57"/>
      <c r="D9" s="57" t="str">
        <v>AUD</v>
      </c>
    </row>
    <row r="10">
      <c r="A10" s="57" t="str">
        <v>Abonnement</v>
      </c>
      <c r="B10" s="57"/>
      <c r="C10" s="57"/>
      <c r="D10" s="57" t="str">
        <v>NZD</v>
      </c>
    </row>
    <row r="11">
      <c r="A11" s="57" t="str">
        <v>Reparatur oder Wartung</v>
      </c>
      <c r="B11" s="57"/>
      <c r="C11" s="57"/>
      <c r="D11" s="57" t="str">
        <v>JPY</v>
      </c>
    </row>
    <row r="12">
      <c r="A12" s="57" t="str">
        <v>Sonstiges</v>
      </c>
      <c r="B12" s="57"/>
      <c r="C12" s="57"/>
      <c r="D12" s="57" t="str">
        <v>CHF</v>
      </c>
    </row>
    <row r="13">
      <c r="A13" s="57"/>
      <c r="B13" s="57"/>
      <c r="C13" s="57"/>
      <c r="D13" s="57" t="str">
        <v>SGD</v>
      </c>
    </row>
    <row r="14">
      <c r="A14" s="57"/>
      <c r="B14" s="57"/>
      <c r="C14" s="57"/>
      <c r="D14" s="57" t="str">
        <v>THB</v>
      </c>
    </row>
    <row r="15">
      <c r="A15" s="57"/>
      <c r="B15" s="57"/>
      <c r="C15" s="57"/>
      <c r="D15" s="57" t="str">
        <v>Andere</v>
      </c>
    </row>
  </sheetData>
  <mergeCells>
    <mergeCell ref="A1:D1"/>
    <mergeCell ref="A2:D2"/>
  </mergeCells>
  <pageMargins left="0.7" right="0.7" top="0.75" bottom="0.75" header="0.3" footer="0.3"/>
</worksheet>
</file>