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b925bbd690449d" /></Relationships>
</file>

<file path=xl/workbook.xml><?xml version="1.0" encoding="utf-8"?>
<workbook xmlns="http://schemas.openxmlformats.org/spreadsheetml/2006/main" xmlns:ns1="http://schemas.openxmlformats.org/officeDocument/2006/relationships">
  <sheets>
    <sheet name="ابدأ هنا" sheetId="1" ns1:id="R98216d010a4d4b47"/>
    <sheet name="الإعداد" sheetId="2" ns1:id="Redc00bd4fd484615"/>
    <sheet name="المصاريف" sheetId="3" ns1:id="R828fdcdb0d7241e5"/>
    <sheet name="الدفعات" sheetId="4" ns1:id="Refb3c20224344453"/>
    <sheet name="الملخص" sheetId="5" ns1:id="R36b146ba8869495b"/>
    <sheet name="مثال" sheetId="6" ns1:id="Rc04b4db4cb59406b"/>
    <sheet name="القوائم" sheetId="7" ns1:id="Rd9adeac54b144eb9"/>
  </sheets>
  <definedNames>
    <definedName name="CategoriesList">'القوائم'!$A$5:$A$12</definedName>
    <definedName name="SplitMethodsList">'القوائم'!$B$5:$B$6</definedName>
    <definedName name="YesNoList">'القوائم'!$C$5:$C$6</definedName>
    <definedName name="CurrenciesList">'القوائم'!$D$5:$D$16</definedName>
    <definedName name="RoommateNames">'الإعداد'!$B$9:$B$14</definedName>
  </definedNames>
</workbook>
</file>

<file path=xl/sharedStrings.xml><?xml version="1.0" encoding="utf-8"?>
<x:sst xmlns:x="http://schemas.openxmlformats.org/spreadsheetml/2006/main"/>
</file>

<file path=xl/styles.xml><?xml version="1.0" encoding="utf-8"?>
<styleSheet xmlns="http://schemas.openxmlformats.org/spreadsheetml/2006/main">
  <numFmts count="2">
    <numFmt numFmtId="200" formatCode="#,##0.00;[Red]-#,##0.00;0.00"/>
    <numFmt numFmtId="201" formatCode="dd/mm/yyyy"/>
  </numFmts>
  <fonts count="7">
    <font>
      <sz val="11"/>
      <name val="Carlito"/>
    </font>
    <font>
      <b/>
      <sz val="20"/>
      <color rgb="FF18212B"/>
      <name val="Carlito"/>
    </font>
    <font>
      <sz val="11"/>
      <color rgb="FF344054"/>
      <name val="Carlito"/>
    </font>
    <font>
      <b/>
      <sz val="12"/>
      <color rgb="FF18212B"/>
      <name val="Carlito"/>
    </font>
    <font>
      <b/>
      <sz val="11"/>
      <color rgb="FF355428"/>
      <name val="Carlito"/>
    </font>
    <font>
      <b/>
      <sz val="11"/>
      <color rgb="FF18212B"/>
      <name val="Carlito"/>
    </font>
    <font>
      <i/>
      <sz val="11"/>
      <color rgb="FF344054"/>
      <name val="Carlito"/>
    </font>
  </fonts>
  <fills count="8">
    <fill>
      <patternFill patternType="none"/>
    </fill>
    <fill>
      <patternFill patternType="gray125"/>
    </fill>
    <fill>
      <patternFill patternType="solid">
        <fgColor rgb="FFAFE67E"/>
      </patternFill>
    </fill>
    <fill>
      <patternFill patternType="solid">
        <fgColor rgb="FFF8FAFC"/>
      </patternFill>
    </fill>
    <fill>
      <patternFill patternType="solid">
        <fgColor rgb="FFDFEAF4"/>
      </patternFill>
    </fill>
    <fill>
      <patternFill patternType="solid">
        <fgColor rgb="FFEAF7DF"/>
      </patternFill>
    </fill>
    <fill>
      <patternFill patternType="solid">
        <fgColor rgb="FFFFFFFF"/>
      </patternFill>
    </fill>
    <fill>
      <patternFill patternType="solid">
        <fgColor rgb="FFFFF4C2"/>
      </patternFill>
    </fill>
  </fills>
  <borders count="15">
    <border>
      <left/>
      <right/>
      <top/>
      <bottom/>
      <diagonal/>
    </border>
    <border>
      <left/>
      <right style="thin">
        <color rgb="FFD8E2E8"/>
      </right>
      <top/>
      <bottom style="thin">
        <color rgb="FFD8E2E8"/>
      </bottom>
      <diagonal/>
    </border>
    <border>
      <left style="thin">
        <color rgb="FFD8E2E8"/>
      </left>
      <right style="thin">
        <color rgb="FFD8E2E8"/>
      </right>
      <top/>
      <bottom style="thin">
        <color rgb="FFD8E2E8"/>
      </bottom>
      <diagonal/>
    </border>
    <border>
      <left style="thin">
        <color rgb="FFD8E2E8"/>
      </left>
      <right/>
      <top/>
      <bottom style="thin">
        <color rgb="FFD8E2E8"/>
      </bottom>
      <diagonal/>
    </border>
    <border>
      <left/>
      <right style="thin">
        <color rgb="FFD8E2E8"/>
      </right>
      <top style="thin">
        <color rgb="FFD8E2E8"/>
      </top>
      <bottom style="thin">
        <color rgb="FFD8E2E8"/>
      </bottom>
      <diagonal/>
    </border>
    <border>
      <left style="thin">
        <color rgb="FFD8E2E8"/>
      </left>
      <right style="thin">
        <color rgb="FFD8E2E8"/>
      </right>
      <top style="thin">
        <color rgb="FFD8E2E8"/>
      </top>
      <bottom style="thin">
        <color rgb="FFD8E2E8"/>
      </bottom>
      <diagonal/>
    </border>
    <border>
      <left style="thin">
        <color rgb="FFD8E2E8"/>
      </left>
      <right/>
      <top style="thin">
        <color rgb="FFD8E2E8"/>
      </top>
      <bottom style="thin">
        <color rgb="FFD8E2E8"/>
      </bottom>
      <diagonal/>
    </border>
    <border>
      <left/>
      <right style="thin">
        <color rgb="FFD8E2E8"/>
      </right>
      <top style="thin">
        <color rgb="FFD8E2E8"/>
      </top>
      <bottom/>
      <diagonal/>
    </border>
    <border>
      <left style="thin">
        <color rgb="FFD8E2E8"/>
      </left>
      <right style="thin">
        <color rgb="FFD8E2E8"/>
      </right>
      <top style="thin">
        <color rgb="FFD8E2E8"/>
      </top>
      <bottom/>
      <diagonal/>
    </border>
    <border>
      <left style="thin">
        <color rgb="FFD8E2E8"/>
      </left>
      <right/>
      <top style="thin">
        <color rgb="FFD8E2E8"/>
      </top>
      <bottom/>
      <diagonal/>
    </border>
    <border>
      <left/>
      <right/>
      <top/>
      <bottom style="thin">
        <color rgb="FFD8E2E8"/>
      </bottom>
      <diagonal/>
    </border>
    <border>
      <left/>
      <right/>
      <top style="thin">
        <color rgb="FFD8E2E8"/>
      </top>
      <bottom style="thin">
        <color rgb="FFD8E2E8"/>
      </bottom>
      <diagonal/>
    </border>
    <border>
      <left/>
      <right/>
      <top style="thin">
        <color rgb="FFD8E2E8"/>
      </top>
      <bottom/>
      <diagonal/>
    </border>
    <border>
      <left style="thin">
        <color rgb="FFD8E2E8"/>
      </left>
      <right/>
      <top/>
      <bottom/>
      <diagonal/>
    </border>
    <border>
      <left/>
      <right style="thin">
        <color rgb="FFD8E2E8"/>
      </right>
      <top/>
      <bottom/>
      <diagonal/>
    </border>
  </borders>
  <cellStyleXfs count="1">
    <xf numFmtId="0" fontId="0" fillId="0" borderId="0"/>
  </cellStyleXfs>
  <cellXfs count="170">
    <xf numFmtId="0" fontId="0" fillId="0" borderId="0" xfId="0"/>
    <xf numFmtId="0" fontId="0" fillId="2" borderId="0" xfId="0" applyNumberFormat="1" applyFont="1" applyFill="1" applyBorder="1"/>
    <xf numFmtId="0" fontId="1" fillId="2" borderId="0" xfId="0" applyNumberFormat="1" applyFont="1" applyFill="1" applyBorder="1"/>
    <xf numFmtId="0" fontId="1" fillId="2" borderId="0" xfId="0" applyNumberFormat="1" applyFont="1" applyFill="1" applyBorder="1" applyAlignment="1">
      <alignment wrapText="1"/>
    </xf>
    <xf numFmtId="0" fontId="1" fillId="2" borderId="0" xfId="0" applyNumberFormat="1" applyFont="1" applyFill="1" applyBorder="1" applyAlignment="1">
      <alignment vertical="center" wrapText="1"/>
    </xf>
    <xf numFmtId="0" fontId="0" fillId="3" borderId="0" xfId="0" applyNumberFormat="1" applyFont="1" applyFill="1" applyBorder="1"/>
    <xf numFmtId="0" fontId="2" fillId="3" borderId="0" xfId="0" applyNumberFormat="1" applyFont="1" applyFill="1" applyBorder="1"/>
    <xf numFmtId="0" fontId="2" fillId="3" borderId="0" xfId="0" applyNumberFormat="1" applyFont="1" applyFill="1" applyBorder="1" applyAlignment="1">
      <alignment wrapText="1"/>
    </xf>
    <xf numFmtId="0" fontId="2" fillId="3" borderId="0" xfId="0" applyNumberFormat="1" applyFont="1" applyFill="1" applyBorder="1" applyAlignment="1">
      <alignment vertical="center" wrapText="1"/>
    </xf>
    <xf numFmtId="0" fontId="0" fillId="4" borderId="0" xfId="0" applyNumberFormat="1" applyFont="1" applyFill="1" applyBorder="1"/>
    <xf numFmtId="0" fontId="3" fillId="4" borderId="0" xfId="0" applyNumberFormat="1" applyFont="1" applyFill="1" applyBorder="1"/>
    <xf numFmtId="0" fontId="3" fillId="4" borderId="0" xfId="0" applyNumberFormat="1" applyFont="1" applyFill="1" applyBorder="1" applyAlignment="1">
      <alignment vertical="center"/>
    </xf>
    <xf numFmtId="0" fontId="0" fillId="5" borderId="0" xfId="0" applyNumberFormat="1" applyFont="1" applyFill="1" applyBorder="1"/>
    <xf numFmtId="0" fontId="4" fillId="5" borderId="0" xfId="0" applyNumberFormat="1" applyFont="1" applyFill="1" applyBorder="1"/>
    <xf numFmtId="0" fontId="4" fillId="5" borderId="0" xfId="0" applyNumberFormat="1" applyFont="1" applyFill="1" applyBorder="1" applyAlignment="1">
      <alignment horizontal="center"/>
    </xf>
    <xf numFmtId="0" fontId="4" fillId="5" borderId="0" xfId="0" applyNumberFormat="1" applyFont="1" applyFill="1" applyBorder="1" applyAlignment="1">
      <alignment horizontal="center" vertical="center"/>
    </xf>
    <xf numFmtId="0" fontId="0" fillId="6" borderId="0" xfId="0" applyNumberFormat="1" applyFont="1" applyFill="1" applyBorder="1"/>
    <xf numFmtId="0" fontId="2" fillId="6" borderId="0" xfId="0" applyNumberFormat="1" applyFont="1" applyFill="1" applyBorder="1"/>
    <xf numFmtId="0" fontId="2" fillId="6" borderId="1" xfId="0" applyNumberFormat="1" applyFont="1" applyFill="1" applyBorder="1"/>
    <xf numFmtId="0" fontId="2" fillId="6" borderId="2" xfId="0" applyNumberFormat="1" applyFont="1" applyFill="1" applyBorder="1"/>
    <xf numFmtId="0" fontId="2" fillId="6" borderId="3" xfId="0" applyNumberFormat="1" applyFont="1" applyFill="1" applyBorder="1"/>
    <xf numFmtId="0" fontId="2" fillId="6" borderId="4" xfId="0" applyNumberFormat="1" applyFont="1" applyFill="1" applyBorder="1"/>
    <xf numFmtId="0" fontId="2" fillId="6" borderId="5" xfId="0" applyNumberFormat="1" applyFont="1" applyFill="1" applyBorder="1"/>
    <xf numFmtId="0" fontId="2" fillId="6" borderId="6" xfId="0" applyNumberFormat="1" applyFont="1" applyFill="1" applyBorder="1"/>
    <xf numFmtId="0" fontId="2" fillId="6" borderId="7" xfId="0" applyNumberFormat="1" applyFont="1" applyFill="1" applyBorder="1"/>
    <xf numFmtId="0" fontId="2" fillId="6" borderId="8" xfId="0" applyNumberFormat="1" applyFont="1" applyFill="1" applyBorder="1"/>
    <xf numFmtId="0" fontId="2" fillId="6" borderId="9" xfId="0" applyNumberFormat="1" applyFont="1" applyFill="1" applyBorder="1"/>
    <xf numFmtId="0" fontId="2" fillId="6" borderId="1" xfId="0" applyNumberFormat="1" applyFont="1" applyFill="1" applyBorder="1" applyAlignment="1">
      <alignment wrapText="1"/>
    </xf>
    <xf numFmtId="0" fontId="2" fillId="6" borderId="2" xfId="0" applyNumberFormat="1" applyFont="1" applyFill="1" applyBorder="1" applyAlignment="1">
      <alignment wrapText="1"/>
    </xf>
    <xf numFmtId="0" fontId="2" fillId="6" borderId="3" xfId="0" applyNumberFormat="1" applyFont="1" applyFill="1" applyBorder="1" applyAlignment="1">
      <alignment wrapText="1"/>
    </xf>
    <xf numFmtId="0" fontId="2" fillId="6" borderId="4" xfId="0" applyNumberFormat="1" applyFont="1" applyFill="1" applyBorder="1" applyAlignment="1">
      <alignment wrapText="1"/>
    </xf>
    <xf numFmtId="0" fontId="2" fillId="6" borderId="5" xfId="0" applyNumberFormat="1" applyFont="1" applyFill="1" applyBorder="1" applyAlignment="1">
      <alignment wrapText="1"/>
    </xf>
    <xf numFmtId="0" fontId="2" fillId="6" borderId="6" xfId="0" applyNumberFormat="1" applyFont="1" applyFill="1" applyBorder="1" applyAlignment="1">
      <alignment wrapText="1"/>
    </xf>
    <xf numFmtId="0" fontId="2" fillId="6" borderId="7" xfId="0" applyNumberFormat="1" applyFont="1" applyFill="1" applyBorder="1" applyAlignment="1">
      <alignment wrapText="1"/>
    </xf>
    <xf numFmtId="0" fontId="2" fillId="6" borderId="8" xfId="0" applyNumberFormat="1" applyFont="1" applyFill="1" applyBorder="1" applyAlignment="1">
      <alignment wrapText="1"/>
    </xf>
    <xf numFmtId="0" fontId="2" fillId="6" borderId="9" xfId="0" applyNumberFormat="1" applyFont="1" applyFill="1" applyBorder="1" applyAlignment="1">
      <alignment wrapText="1"/>
    </xf>
    <xf numFmtId="0" fontId="2" fillId="6" borderId="1" xfId="0" applyNumberFormat="1" applyFont="1" applyFill="1" applyBorder="1" applyAlignment="1">
      <alignment vertical="center" wrapText="1"/>
    </xf>
    <xf numFmtId="0" fontId="2" fillId="6" borderId="2" xfId="0" applyNumberFormat="1" applyFont="1" applyFill="1" applyBorder="1" applyAlignment="1">
      <alignment vertical="center" wrapText="1"/>
    </xf>
    <xf numFmtId="0" fontId="2" fillId="6" borderId="3" xfId="0" applyNumberFormat="1" applyFont="1" applyFill="1" applyBorder="1" applyAlignment="1">
      <alignment vertical="center" wrapText="1"/>
    </xf>
    <xf numFmtId="0" fontId="2" fillId="6" borderId="4" xfId="0" applyNumberFormat="1" applyFont="1" applyFill="1" applyBorder="1" applyAlignment="1">
      <alignment vertical="center" wrapText="1"/>
    </xf>
    <xf numFmtId="0" fontId="2" fillId="6" borderId="5" xfId="0" applyNumberFormat="1" applyFont="1" applyFill="1" applyBorder="1" applyAlignment="1">
      <alignment vertical="center" wrapText="1"/>
    </xf>
    <xf numFmtId="0" fontId="2" fillId="6" borderId="6" xfId="0" applyNumberFormat="1" applyFont="1" applyFill="1" applyBorder="1" applyAlignment="1">
      <alignment vertical="center" wrapText="1"/>
    </xf>
    <xf numFmtId="0" fontId="2" fillId="6" borderId="7" xfId="0" applyNumberFormat="1" applyFont="1" applyFill="1" applyBorder="1" applyAlignment="1">
      <alignment vertical="center" wrapText="1"/>
    </xf>
    <xf numFmtId="0" fontId="2" fillId="6" borderId="8" xfId="0" applyNumberFormat="1" applyFont="1" applyFill="1" applyBorder="1" applyAlignment="1">
      <alignment vertical="center" wrapText="1"/>
    </xf>
    <xf numFmtId="0" fontId="2" fillId="6" borderId="9" xfId="0" applyNumberFormat="1" applyFont="1" applyFill="1" applyBorder="1" applyAlignment="1">
      <alignment vertical="center" wrapText="1"/>
    </xf>
    <xf numFmtId="0" fontId="2" fillId="6" borderId="0" xfId="0" applyNumberFormat="1" applyFont="1" applyFill="1" applyBorder="1" applyAlignment="1">
      <alignment wrapText="1"/>
    </xf>
    <xf numFmtId="0" fontId="2" fillId="6" borderId="0" xfId="0" applyNumberFormat="1" applyFont="1" applyFill="1" applyBorder="1" applyAlignment="1">
      <alignment vertical="center" wrapText="1"/>
    </xf>
    <xf numFmtId="0" fontId="5" fillId="2" borderId="0" xfId="0" applyNumberFormat="1" applyFont="1" applyFill="1" applyBorder="1"/>
    <xf numFmtId="0" fontId="5" fillId="2" borderId="5" xfId="0" applyNumberFormat="1" applyFont="1" applyFill="1" applyBorder="1"/>
    <xf numFmtId="0" fontId="5" fillId="2" borderId="5" xfId="0" applyNumberFormat="1" applyFont="1" applyFill="1" applyBorder="1" applyAlignment="1">
      <alignment wrapText="1"/>
    </xf>
    <xf numFmtId="0" fontId="5" fillId="2" borderId="5" xfId="0" applyNumberFormat="1" applyFont="1" applyFill="1" applyBorder="1" applyAlignment="1">
      <alignment horizontal="center" wrapText="1"/>
    </xf>
    <xf numFmtId="0" fontId="5" fillId="2" borderId="5" xfId="0" applyNumberFormat="1" applyFont="1" applyFill="1" applyBorder="1" applyAlignment="1">
      <alignment horizontal="center" vertical="center" wrapText="1"/>
    </xf>
    <xf numFmtId="0" fontId="2" fillId="6" borderId="10" xfId="0" applyNumberFormat="1" applyFont="1" applyFill="1" applyBorder="1"/>
    <xf numFmtId="0" fontId="2" fillId="6" borderId="11" xfId="0" applyNumberFormat="1" applyFont="1" applyFill="1" applyBorder="1"/>
    <xf numFmtId="0" fontId="2" fillId="6" borderId="10" xfId="0" applyNumberFormat="1" applyFont="1" applyFill="1" applyBorder="1" applyAlignment="1">
      <alignment wrapText="1"/>
    </xf>
    <xf numFmtId="0" fontId="2" fillId="6" borderId="11" xfId="0" applyNumberFormat="1" applyFont="1" applyFill="1" applyBorder="1" applyAlignment="1">
      <alignment wrapText="1"/>
    </xf>
    <xf numFmtId="0" fontId="2" fillId="6" borderId="10" xfId="0" applyNumberFormat="1" applyFont="1" applyFill="1" applyBorder="1" applyAlignment="1">
      <alignment vertical="top" wrapText="1"/>
    </xf>
    <xf numFmtId="0" fontId="2" fillId="6" borderId="11" xfId="0" applyNumberFormat="1" applyFont="1" applyFill="1" applyBorder="1" applyAlignment="1">
      <alignment vertical="top" wrapText="1"/>
    </xf>
    <xf numFmtId="0" fontId="5" fillId="4" borderId="0" xfId="0" applyNumberFormat="1" applyFont="1" applyFill="1" applyBorder="1"/>
    <xf numFmtId="0" fontId="0" fillId="6" borderId="9" xfId="0" applyNumberFormat="1" applyFont="1" applyFill="1" applyBorder="1"/>
    <xf numFmtId="0" fontId="0" fillId="6" borderId="12" xfId="0" applyNumberFormat="1" applyFont="1" applyFill="1" applyBorder="1"/>
    <xf numFmtId="0" fontId="0" fillId="6" borderId="7" xfId="0" applyNumberFormat="1" applyFont="1" applyFill="1" applyBorder="1"/>
    <xf numFmtId="0" fontId="0" fillId="6" borderId="13" xfId="0" applyNumberFormat="1" applyFont="1" applyFill="1" applyBorder="1"/>
    <xf numFmtId="0" fontId="0" fillId="6" borderId="14" xfId="0" applyNumberFormat="1" applyFont="1" applyFill="1" applyBorder="1"/>
    <xf numFmtId="0" fontId="0" fillId="6" borderId="3" xfId="0" applyNumberFormat="1" applyFont="1" applyFill="1" applyBorder="1"/>
    <xf numFmtId="0" fontId="0" fillId="6" borderId="10" xfId="0" applyNumberFormat="1" applyFont="1" applyFill="1" applyBorder="1"/>
    <xf numFmtId="0" fontId="0" fillId="6" borderId="1" xfId="0" applyNumberFormat="1" applyFont="1" applyFill="1" applyBorder="1"/>
    <xf numFmtId="0" fontId="2" fillId="7" borderId="10" xfId="0" applyNumberFormat="1" applyFont="1" applyFill="1" applyBorder="1" applyAlignment="1">
      <alignment vertical="top" wrapText="1"/>
    </xf>
    <xf numFmtId="0" fontId="2" fillId="7" borderId="11" xfId="0" applyNumberFormat="1" applyFont="1" applyFill="1" applyBorder="1" applyAlignment="1">
      <alignment vertical="top" wrapText="1"/>
    </xf>
    <xf numFmtId="200" fontId="2" fillId="7" borderId="10" xfId="0" applyNumberFormat="1" applyFont="1" applyFill="1" applyBorder="1" applyAlignment="1">
      <alignment vertical="top" wrapText="1"/>
    </xf>
    <xf numFmtId="200" fontId="2" fillId="7" borderId="11" xfId="0" applyNumberFormat="1" applyFont="1" applyFill="1" applyBorder="1" applyAlignment="1">
      <alignment vertical="top" wrapText="1"/>
    </xf>
    <xf numFmtId="200" fontId="0" fillId="0" borderId="0" xfId="0" applyNumberFormat="1" applyFont="1" applyFill="1" applyBorder="1"/>
    <xf numFmtId="0" fontId="0" fillId="7" borderId="0" xfId="0" applyNumberFormat="1" applyFont="1" applyFill="1" applyBorder="1"/>
    <xf numFmtId="0" fontId="5" fillId="7" borderId="0" xfId="0" applyNumberFormat="1" applyFont="1" applyFill="1" applyBorder="1"/>
    <xf numFmtId="0" fontId="5" fillId="7" borderId="0" xfId="0" applyNumberFormat="1" applyFont="1" applyFill="1" applyBorder="1" applyAlignment="1">
      <alignment wrapText="1"/>
    </xf>
    <xf numFmtId="0" fontId="5" fillId="7" borderId="0" xfId="0" applyNumberFormat="1" applyFont="1" applyFill="1" applyBorder="1" applyAlignment="1">
      <alignment vertical="center" wrapText="1"/>
    </xf>
    <xf numFmtId="0" fontId="6" fillId="3" borderId="0" xfId="0" applyNumberFormat="1" applyFont="1" applyFill="1" applyBorder="1"/>
    <xf numFmtId="0" fontId="6" fillId="3" borderId="0" xfId="0" applyNumberFormat="1" applyFont="1" applyFill="1" applyBorder="1" applyAlignment="1">
      <alignment wrapText="1"/>
    </xf>
    <xf numFmtId="0" fontId="5" fillId="4" borderId="0" xfId="0" applyNumberFormat="1" applyFont="1" applyFill="1" applyBorder="1" applyAlignment="1">
      <alignment horizontal="center"/>
    </xf>
    <xf numFmtId="0" fontId="5" fillId="4" borderId="0" xfId="0" applyNumberFormat="1" applyFont="1" applyFill="1" applyBorder="1" applyAlignment="1">
      <alignment horizontal="center" vertical="center"/>
    </xf>
    <xf numFmtId="0" fontId="2" fillId="3" borderId="10" xfId="0" applyNumberFormat="1" applyFont="1" applyFill="1" applyBorder="1" applyAlignment="1">
      <alignment vertical="top" wrapText="1"/>
    </xf>
    <xf numFmtId="0" fontId="2" fillId="3" borderId="11" xfId="0" applyNumberFormat="1" applyFont="1" applyFill="1" applyBorder="1" applyAlignment="1">
      <alignment vertical="top" wrapText="1"/>
    </xf>
    <xf numFmtId="201" fontId="2" fillId="6" borderId="10" xfId="0" applyNumberFormat="1" applyFont="1" applyFill="1" applyBorder="1" applyAlignment="1">
      <alignment vertical="top" wrapText="1"/>
    </xf>
    <xf numFmtId="201" fontId="2" fillId="6" borderId="11" xfId="0" applyNumberFormat="1" applyFont="1" applyFill="1" applyBorder="1" applyAlignment="1">
      <alignment vertical="top" wrapText="1"/>
    </xf>
    <xf numFmtId="200" fontId="2" fillId="6" borderId="10" xfId="0" applyNumberFormat="1" applyFont="1" applyFill="1" applyBorder="1" applyAlignment="1">
      <alignment vertical="top" wrapText="1"/>
    </xf>
    <xf numFmtId="200" fontId="2" fillId="6" borderId="11" xfId="0" applyNumberFormat="1" applyFont="1" applyFill="1" applyBorder="1" applyAlignment="1">
      <alignment vertical="top" wrapText="1"/>
    </xf>
    <xf numFmtId="200" fontId="2" fillId="3" borderId="10" xfId="0" applyNumberFormat="1" applyFont="1" applyFill="1" applyBorder="1" applyAlignment="1">
      <alignment vertical="top" wrapText="1"/>
    </xf>
    <xf numFmtId="200" fontId="2" fillId="3" borderId="11" xfId="0" applyNumberFormat="1" applyFont="1" applyFill="1" applyBorder="1" applyAlignment="1">
      <alignment vertical="top" wrapText="1"/>
    </xf>
    <xf numFmtId="0" fontId="5" fillId="3" borderId="0" xfId="0" applyNumberFormat="1" applyFont="1" applyFill="1" applyBorder="1"/>
    <xf numFmtId="200" fontId="0" fillId="6" borderId="0" xfId="0" applyNumberFormat="1" applyFont="1" applyFill="1" applyBorder="1"/>
    <xf numFmtId="200" fontId="0" fillId="6" borderId="5" xfId="0" applyNumberFormat="1" applyFont="1" applyFill="1" applyBorder="1"/>
    <xf numFmtId="0" fontId="0" fillId="6" borderId="5" xfId="0" applyNumberFormat="1" applyFont="1" applyFill="1" applyBorder="1"/>
    <xf numFmtId="200" fontId="0" fillId="6" borderId="5" xfId="0" applyNumberFormat="1" applyFont="1" applyFill="1" applyBorder="1" applyAlignment="1">
      <alignment wrapText="1"/>
    </xf>
    <xf numFmtId="0" fontId="0" fillId="6" borderId="5" xfId="0" applyNumberFormat="1" applyFont="1" applyFill="1" applyBorder="1" applyAlignment="1">
      <alignment wrapText="1"/>
    </xf>
    <xf numFmtId="0" fontId="0" fillId="7" borderId="5" xfId="0" applyNumberFormat="1" applyFont="1" applyFill="1" applyBorder="1" applyAlignment="1">
      <alignment wrapText="1"/>
    </xf>
    <xf numFmtId="0" fontId="5" fillId="7" borderId="5" xfId="0" applyNumberFormat="1" applyFont="1" applyFill="1" applyBorder="1" applyAlignment="1">
      <alignment wrapText="1"/>
    </xf>
    <xf numFmtId="0" fontId="5" fillId="7" borderId="5" xfId="0" applyNumberFormat="1" applyFont="1" applyFill="1" applyBorder="1" applyAlignment="1">
      <alignment vertical="center" wrapText="1"/>
    </xf>
    <xf numFmtId="0" fontId="5" fillId="4" borderId="0" xfId="0" applyNumberFormat="1" applyFont="1" applyFill="1" applyBorder="1" applyAlignment="1">
      <alignment wrapText="1"/>
    </xf>
    <xf numFmtId="0" fontId="5" fillId="4" borderId="0" xfId="0" applyNumberFormat="1" applyFont="1" applyFill="1" applyBorder="1" applyAlignment="1">
      <alignment vertical="center" wrapText="1"/>
    </xf>
    <xf numFmtId="201" fontId="2" fillId="6" borderId="10" xfId="0" applyNumberFormat="1" applyFont="1" applyFill="1" applyBorder="1" applyAlignment="1">
      <alignment horizontal="center" vertical="top" wrapText="1"/>
    </xf>
    <xf numFmtId="201" fontId="2" fillId="6" borderId="11" xfId="0" applyNumberFormat="1" applyFont="1" applyFill="1" applyBorder="1" applyAlignment="1">
      <alignment horizontal="center" vertical="top" wrapText="1"/>
    </xf>
    <xf numFmtId="200" fontId="2" fillId="6" borderId="10" xfId="0" applyNumberFormat="1" applyFont="1" applyFill="1" applyBorder="1" applyAlignment="1">
      <alignment horizontal="center" vertical="top" wrapText="1"/>
    </xf>
    <xf numFmtId="200" fontId="2" fillId="6" borderId="11" xfId="0" applyNumberFormat="1" applyFont="1" applyFill="1" applyBorder="1" applyAlignment="1">
      <alignment horizontal="center" vertical="top" wrapText="1"/>
    </xf>
    <xf numFmtId="200" fontId="5" fillId="6" borderId="10" xfId="0" applyNumberFormat="1" applyFont="1" applyFill="1" applyBorder="1" applyAlignment="1">
      <alignment vertical="top" wrapText="1"/>
    </xf>
    <xf numFmtId="200" fontId="5" fillId="6" borderId="11" xfId="0" applyNumberFormat="1" applyFont="1" applyFill="1" applyBorder="1" applyAlignment="1">
      <alignment vertical="top" wrapText="1"/>
    </xf>
    <xf numFmtId="200" fontId="0" fillId="5" borderId="0" xfId="0" applyNumberFormat="1" applyFont="1" applyFill="1" applyBorder="1"/>
    <xf numFmtId="200" fontId="4" fillId="5" borderId="0" xfId="0" applyNumberFormat="1" applyFont="1" applyFill="1" applyBorder="1"/>
    <xf numFmtId="0" fontId="4" fillId="5" borderId="5" xfId="0" applyNumberFormat="1" applyFont="1" applyFill="1" applyBorder="1"/>
    <xf numFmtId="200" fontId="4" fillId="5" borderId="5" xfId="0" applyNumberFormat="1" applyFont="1" applyFill="1" applyBorder="1"/>
    <xf numFmtId="0" fontId="1" fillId="2" borderId="0" xfId="0" applyNumberFormat="1" applyFont="1" applyFill="1" applyBorder="1" applyAlignment="1">
      <alignment horizontal="right" vertical="center" wrapText="1"/>
    </xf>
    <xf numFmtId="0" fontId="2" fillId="3" borderId="0" xfId="0" applyNumberFormat="1" applyFont="1" applyFill="1" applyBorder="1" applyAlignment="1">
      <alignment horizontal="right" vertical="center" wrapText="1"/>
    </xf>
    <xf numFmtId="0" fontId="0" fillId="0" borderId="0" xfId="0" applyNumberFormat="1" applyFont="1" applyFill="1" applyBorder="1" applyAlignment="1">
      <alignment horizontal="right"/>
    </xf>
    <xf numFmtId="0" fontId="3" fillId="4" borderId="0" xfId="0" applyNumberFormat="1" applyFont="1" applyFill="1" applyBorder="1" applyAlignment="1">
      <alignment horizontal="right" vertical="center"/>
    </xf>
    <xf numFmtId="0" fontId="4" fillId="5" borderId="0" xfId="0" applyNumberFormat="1" applyFont="1" applyFill="1" applyBorder="1" applyAlignment="1">
      <alignment horizontal="right" vertical="center"/>
    </xf>
    <xf numFmtId="0" fontId="2" fillId="6" borderId="1" xfId="0" applyNumberFormat="1" applyFont="1" applyFill="1" applyBorder="1" applyAlignment="1">
      <alignment horizontal="right" vertical="center" wrapText="1"/>
    </xf>
    <xf numFmtId="0" fontId="2" fillId="6" borderId="2" xfId="0" applyNumberFormat="1" applyFont="1" applyFill="1" applyBorder="1" applyAlignment="1">
      <alignment horizontal="right" vertical="center" wrapText="1"/>
    </xf>
    <xf numFmtId="0" fontId="2" fillId="6" borderId="3" xfId="0" applyNumberFormat="1" applyFont="1" applyFill="1" applyBorder="1" applyAlignment="1">
      <alignment horizontal="right" vertical="center" wrapText="1"/>
    </xf>
    <xf numFmtId="0" fontId="2" fillId="6" borderId="4" xfId="0" applyNumberFormat="1" applyFont="1" applyFill="1" applyBorder="1" applyAlignment="1">
      <alignment horizontal="right" vertical="center" wrapText="1"/>
    </xf>
    <xf numFmtId="0" fontId="2" fillId="6" borderId="5" xfId="0" applyNumberFormat="1" applyFont="1" applyFill="1" applyBorder="1" applyAlignment="1">
      <alignment horizontal="right" vertical="center" wrapText="1"/>
    </xf>
    <xf numFmtId="0" fontId="2" fillId="6" borderId="6" xfId="0" applyNumberFormat="1" applyFont="1" applyFill="1" applyBorder="1" applyAlignment="1">
      <alignment horizontal="right" vertical="center" wrapText="1"/>
    </xf>
    <xf numFmtId="0" fontId="2" fillId="6" borderId="7" xfId="0" applyNumberFormat="1" applyFont="1" applyFill="1" applyBorder="1" applyAlignment="1">
      <alignment horizontal="right" vertical="center" wrapText="1"/>
    </xf>
    <xf numFmtId="0" fontId="2" fillId="6" borderId="8" xfId="0" applyNumberFormat="1" applyFont="1" applyFill="1" applyBorder="1" applyAlignment="1">
      <alignment horizontal="right" vertical="center" wrapText="1"/>
    </xf>
    <xf numFmtId="0" fontId="2" fillId="6" borderId="9" xfId="0" applyNumberFormat="1" applyFont="1" applyFill="1" applyBorder="1" applyAlignment="1">
      <alignment horizontal="right" vertical="center" wrapText="1"/>
    </xf>
    <xf numFmtId="0" fontId="2" fillId="6" borderId="0" xfId="0" applyNumberFormat="1" applyFont="1" applyFill="1" applyBorder="1" applyAlignment="1">
      <alignment horizontal="right" vertical="center" wrapText="1"/>
    </xf>
    <xf numFmtId="0" fontId="5" fillId="4" borderId="0" xfId="0" applyNumberFormat="1" applyFont="1" applyFill="1" applyBorder="1" applyAlignment="1">
      <alignment horizontal="right"/>
    </xf>
    <xf numFmtId="0" fontId="0" fillId="6" borderId="9" xfId="0" applyNumberFormat="1" applyFont="1" applyFill="1" applyBorder="1" applyAlignment="1">
      <alignment horizontal="right"/>
    </xf>
    <xf numFmtId="0" fontId="0" fillId="6" borderId="12" xfId="0" applyNumberFormat="1" applyFont="1" applyFill="1" applyBorder="1" applyAlignment="1">
      <alignment horizontal="right"/>
    </xf>
    <xf numFmtId="0" fontId="0" fillId="6" borderId="7" xfId="0" applyNumberFormat="1" applyFont="1" applyFill="1" applyBorder="1" applyAlignment="1">
      <alignment horizontal="right"/>
    </xf>
    <xf numFmtId="0" fontId="0" fillId="6" borderId="13" xfId="0" applyNumberFormat="1" applyFont="1" applyFill="1" applyBorder="1" applyAlignment="1">
      <alignment horizontal="right"/>
    </xf>
    <xf numFmtId="0" fontId="0" fillId="6" borderId="0" xfId="0" applyNumberFormat="1" applyFont="1" applyFill="1" applyBorder="1" applyAlignment="1">
      <alignment horizontal="right"/>
    </xf>
    <xf numFmtId="0" fontId="0" fillId="6" borderId="14" xfId="0" applyNumberFormat="1" applyFont="1" applyFill="1" applyBorder="1" applyAlignment="1">
      <alignment horizontal="right"/>
    </xf>
    <xf numFmtId="0" fontId="0" fillId="6" borderId="3" xfId="0" applyNumberFormat="1" applyFont="1" applyFill="1" applyBorder="1" applyAlignment="1">
      <alignment horizontal="right"/>
    </xf>
    <xf numFmtId="0" fontId="0" fillId="6" borderId="10" xfId="0" applyNumberFormat="1" applyFont="1" applyFill="1" applyBorder="1" applyAlignment="1">
      <alignment horizontal="right"/>
    </xf>
    <xf numFmtId="0" fontId="0" fillId="6" borderId="1" xfId="0" applyNumberFormat="1" applyFont="1" applyFill="1" applyBorder="1" applyAlignment="1">
      <alignment horizontal="right"/>
    </xf>
    <xf numFmtId="0" fontId="5" fillId="2" borderId="5" xfId="0" applyNumberFormat="1" applyFont="1" applyFill="1" applyBorder="1" applyAlignment="1">
      <alignment horizontal="right" vertical="center" wrapText="1"/>
    </xf>
    <xf numFmtId="0" fontId="2" fillId="6" borderId="10" xfId="0" applyNumberFormat="1" applyFont="1" applyFill="1" applyBorder="1" applyAlignment="1">
      <alignment horizontal="right" vertical="top" wrapText="1"/>
    </xf>
    <xf numFmtId="0" fontId="2" fillId="7" borderId="10" xfId="0" applyNumberFormat="1" applyFont="1" applyFill="1" applyBorder="1" applyAlignment="1">
      <alignment horizontal="right" vertical="top" wrapText="1"/>
    </xf>
    <xf numFmtId="200" fontId="2" fillId="7" borderId="10" xfId="0" applyNumberFormat="1" applyFont="1" applyFill="1" applyBorder="1" applyAlignment="1">
      <alignment horizontal="right" vertical="top" wrapText="1"/>
    </xf>
    <xf numFmtId="0" fontId="2" fillId="6" borderId="11" xfId="0" applyNumberFormat="1" applyFont="1" applyFill="1" applyBorder="1" applyAlignment="1">
      <alignment horizontal="right" vertical="top" wrapText="1"/>
    </xf>
    <xf numFmtId="0" fontId="2" fillId="7" borderId="11" xfId="0" applyNumberFormat="1" applyFont="1" applyFill="1" applyBorder="1" applyAlignment="1">
      <alignment horizontal="right" vertical="top" wrapText="1"/>
    </xf>
    <xf numFmtId="200" fontId="2" fillId="7" borderId="11" xfId="0" applyNumberFormat="1" applyFont="1" applyFill="1" applyBorder="1" applyAlignment="1">
      <alignment horizontal="right" vertical="top" wrapText="1"/>
    </xf>
    <xf numFmtId="200" fontId="0" fillId="0" borderId="0" xfId="0" applyNumberFormat="1" applyFont="1" applyFill="1" applyBorder="1" applyAlignment="1">
      <alignment horizontal="right"/>
    </xf>
    <xf numFmtId="0" fontId="5" fillId="7" borderId="0" xfId="0" applyNumberFormat="1" applyFont="1" applyFill="1" applyBorder="1" applyAlignment="1">
      <alignment horizontal="right" vertical="center" wrapText="1"/>
    </xf>
    <xf numFmtId="0" fontId="6" fillId="3" borderId="0" xfId="0" applyNumberFormat="1" applyFont="1" applyFill="1" applyBorder="1" applyAlignment="1">
      <alignment horizontal="right" wrapText="1"/>
    </xf>
    <xf numFmtId="0" fontId="5" fillId="4" borderId="0" xfId="0" applyNumberFormat="1" applyFont="1" applyFill="1" applyBorder="1" applyAlignment="1">
      <alignment horizontal="right" vertical="center"/>
    </xf>
    <xf numFmtId="201" fontId="2" fillId="6" borderId="10" xfId="0" applyNumberFormat="1" applyFont="1" applyFill="1" applyBorder="1" applyAlignment="1">
      <alignment horizontal="right" vertical="top" wrapText="1"/>
    </xf>
    <xf numFmtId="200" fontId="2" fillId="6" borderId="10" xfId="0" applyNumberFormat="1" applyFont="1" applyFill="1" applyBorder="1" applyAlignment="1">
      <alignment horizontal="right" vertical="top" wrapText="1"/>
    </xf>
    <xf numFmtId="200" fontId="2" fillId="3" borderId="10" xfId="0" applyNumberFormat="1" applyFont="1" applyFill="1" applyBorder="1" applyAlignment="1">
      <alignment horizontal="right" vertical="top" wrapText="1"/>
    </xf>
    <xf numFmtId="0" fontId="2" fillId="3" borderId="10" xfId="0" applyNumberFormat="1" applyFont="1" applyFill="1" applyBorder="1" applyAlignment="1">
      <alignment horizontal="right" vertical="top" wrapText="1"/>
    </xf>
    <xf numFmtId="201" fontId="2" fillId="6" borderId="11" xfId="0" applyNumberFormat="1" applyFont="1" applyFill="1" applyBorder="1" applyAlignment="1">
      <alignment horizontal="right" vertical="top" wrapText="1"/>
    </xf>
    <xf numFmtId="200" fontId="2" fillId="6" borderId="11" xfId="0" applyNumberFormat="1" applyFont="1" applyFill="1" applyBorder="1" applyAlignment="1">
      <alignment horizontal="right" vertical="top" wrapText="1"/>
    </xf>
    <xf numFmtId="200" fontId="2" fillId="3" borderId="11" xfId="0" applyNumberFormat="1" applyFont="1" applyFill="1" applyBorder="1" applyAlignment="1">
      <alignment horizontal="right" vertical="top" wrapText="1"/>
    </xf>
    <xf numFmtId="0" fontId="2" fillId="3" borderId="11" xfId="0" applyNumberFormat="1" applyFont="1" applyFill="1" applyBorder="1" applyAlignment="1">
      <alignment horizontal="right" vertical="top" wrapText="1"/>
    </xf>
    <xf numFmtId="0" fontId="5" fillId="3" borderId="0" xfId="0" applyNumberFormat="1" applyFont="1" applyFill="1" applyBorder="1" applyAlignment="1">
      <alignment horizontal="right"/>
    </xf>
    <xf numFmtId="200" fontId="0" fillId="6" borderId="5" xfId="0" applyNumberFormat="1" applyFont="1" applyFill="1" applyBorder="1" applyAlignment="1">
      <alignment horizontal="right" wrapText="1"/>
    </xf>
    <xf numFmtId="0" fontId="5" fillId="7" borderId="5" xfId="0" applyNumberFormat="1" applyFont="1" applyFill="1" applyBorder="1" applyAlignment="1">
      <alignment horizontal="right" vertical="center" wrapText="1"/>
    </xf>
    <xf numFmtId="0" fontId="5" fillId="4" borderId="0" xfId="0" applyNumberFormat="1" applyFont="1" applyFill="1" applyBorder="1" applyAlignment="1">
      <alignment horizontal="right" vertical="center" wrapText="1"/>
    </xf>
    <xf numFmtId="200" fontId="5" fillId="6" borderId="10" xfId="0" applyNumberFormat="1" applyFont="1" applyFill="1" applyBorder="1" applyAlignment="1">
      <alignment horizontal="right" vertical="top" wrapText="1"/>
    </xf>
    <xf numFmtId="200" fontId="5" fillId="6" borderId="11" xfId="0" applyNumberFormat="1" applyFont="1" applyFill="1" applyBorder="1" applyAlignment="1">
      <alignment horizontal="right" vertical="top" wrapText="1"/>
    </xf>
    <xf numFmtId="200" fontId="0" fillId="6" borderId="0" xfId="0" applyNumberFormat="1" applyFont="1" applyFill="1" applyBorder="1" applyAlignment="1">
      <alignment horizontal="right"/>
    </xf>
    <xf numFmtId="0" fontId="4" fillId="5" borderId="5" xfId="0" applyNumberFormat="1" applyFont="1" applyFill="1" applyBorder="1" applyAlignment="1">
      <alignment horizontal="right"/>
    </xf>
    <xf numFmtId="200" fontId="4" fillId="5" borderId="5" xfId="0" applyNumberFormat="1" applyFont="1" applyFill="1" applyBorder="1" applyAlignment="1">
      <alignment horizontal="right"/>
    </xf>
    <xf numFmtId="0" fontId="5" fillId="7" borderId="0" xfId="0" applyNumberFormat="1" applyFont="1" applyFill="1" applyBorder="1" applyAlignment="1">
      <alignment horizontal="right" vertical="center" wrapText="1" readingOrder="2"/>
    </xf>
    <xf numFmtId="0" fontId="5" fillId="2" borderId="5" xfId="0" applyNumberFormat="1" applyFont="1" applyFill="1" applyBorder="1" applyAlignment="1">
      <alignment horizontal="right" vertical="center" wrapText="1" readingOrder="2"/>
    </xf>
    <xf numFmtId="0" fontId="2" fillId="3" borderId="10" xfId="0" applyNumberFormat="1" applyFont="1" applyFill="1" applyBorder="1" applyAlignment="1">
      <alignment horizontal="right" vertical="top" wrapText="1" readingOrder="2"/>
    </xf>
    <xf numFmtId="0" fontId="2" fillId="3" borderId="11" xfId="0" applyNumberFormat="1" applyFont="1" applyFill="1" applyBorder="1" applyAlignment="1">
      <alignment horizontal="right" vertical="top" wrapText="1" readingOrder="2"/>
    </xf>
    <xf numFmtId="0" fontId="2" fillId="6" borderId="10" xfId="0" applyNumberFormat="1" applyFont="1" applyFill="1" applyBorder="1" applyAlignment="1">
      <alignment horizontal="right" vertical="top" wrapText="1" readingOrder="2"/>
    </xf>
    <xf numFmtId="0" fontId="2" fillId="6" borderId="11" xfId="0" applyNumberFormat="1" applyFont="1" applyFill="1" applyBorder="1" applyAlignment="1">
      <alignment horizontal="right" vertical="top" wrapText="1" readingOrder="2"/>
    </xf>
    <xf numFmtId="0" fontId="5" fillId="7" borderId="5" xfId="0" applyNumberFormat="1" applyFont="1" applyFill="1" applyBorder="1" applyAlignment="1">
      <alignment horizontal="right" vertical="center" wrapText="1" readingOrder="2"/>
    </xf>
    <xf numFmtId="0" fontId="5" fillId="4" borderId="0" xfId="0" applyNumberFormat="1" applyFont="1" applyFill="1" applyBorder="1" applyAlignment="1">
      <alignment horizontal="right" vertical="center" wrapText="1" readingOrder="2"/>
    </xf>
  </cellXfs>
  <cellStyles count="1">
    <cellStyle name="Normal" xfId="0"/>
  </cellStyles>
  <dxfs count="10">
    <dxf>
      <font>
        <b/>
        <color rgb="FF355428"/>
      </font>
      <fill>
        <patternFill patternType="solid">
          <bgColor rgb="FFEAF7DF"/>
        </patternFill>
      </fill>
    </dxf>
    <dxf>
      <font>
        <color rgb="FF18212B"/>
      </font>
      <fill>
        <patternFill patternType="solid">
          <bgColor rgb="FFFFF4C2"/>
        </patternFill>
      </fill>
    </dxf>
    <dxf>
      <font>
        <b/>
        <color rgb="FF355428"/>
      </font>
      <fill>
        <patternFill patternType="solid">
          <bgColor rgb="FFEAF7DF"/>
        </patternFill>
      </fill>
    </dxf>
    <dxf>
      <font>
        <color rgb="FF18212B"/>
      </font>
      <fill>
        <patternFill patternType="solid">
          <bgColor rgb="FFFFF4C2"/>
        </patternFill>
      </fill>
    </dxf>
    <dxf>
      <font>
        <b/>
        <color rgb="FF355428"/>
      </font>
      <fill>
        <patternFill patternType="solid">
          <bgColor rgb="FFEAF7DF"/>
        </patternFill>
      </fill>
    </dxf>
    <dxf>
      <font>
        <color rgb="FF18212B"/>
      </font>
      <fill>
        <patternFill patternType="solid">
          <bgColor rgb="FFFFF4C2"/>
        </patternFill>
      </fill>
    </dxf>
    <dxf>
      <font>
        <b/>
        <color rgb="FF355428"/>
      </font>
      <fill>
        <patternFill patternType="solid">
          <bgColor rgb="FFEAF7DF"/>
        </patternFill>
      </fill>
    </dxf>
    <dxf>
      <font>
        <b/>
        <color rgb="FF18212B"/>
      </font>
      <fill>
        <patternFill patternType="solid">
          <bgColor rgb="FFFFF4C2"/>
        </patternFill>
      </fill>
    </dxf>
    <dxf>
      <font>
        <b/>
        <color rgb="FF355428"/>
      </font>
      <fill>
        <patternFill patternType="solid">
          <bgColor rgb="FFEAF7DF"/>
        </patternFill>
      </fill>
    </dxf>
    <dxf>
      <font>
        <color rgb="FF18212B"/>
      </font>
      <fill>
        <patternFill patternType="solid">
          <bgColor rgb="FFFFF4C2"/>
        </patternFill>
      </fill>
    </dxf>
  </dxfs>
</styleSheet>
</file>

<file path=xl/_rels/workbook.xml.rels>&#65279;<?xml version="1.0" encoding="utf-8"?><Relationships xmlns="http://schemas.openxmlformats.org/package/2006/relationships"><Relationship Type="http://schemas.openxmlformats.org/officeDocument/2006/relationships/styles" Target="/xl/styles.xml" Id="Rcd6da4750beb4773" /><Relationship Type="http://schemas.openxmlformats.org/officeDocument/2006/relationships/theme" Target="/xl/theme/theme1.xml" Id="R0900b13be5d345d2" /><Relationship Type="http://schemas.openxmlformats.org/officeDocument/2006/relationships/sharedStrings" Target="/xl/sharedStrings.xml" Id="R5c1088de0b3f43e8" /><Relationship Type="http://schemas.openxmlformats.org/officeDocument/2006/relationships/worksheet" Target="/xl/worksheets/sheet1.xml" Id="R98216d010a4d4b47" /><Relationship Type="http://schemas.openxmlformats.org/officeDocument/2006/relationships/worksheet" Target="/xl/worksheets/sheet2.xml" Id="Redc00bd4fd484615" /><Relationship Type="http://schemas.openxmlformats.org/officeDocument/2006/relationships/worksheet" Target="/xl/worksheets/sheet3.xml" Id="R828fdcdb0d7241e5" /><Relationship Type="http://schemas.openxmlformats.org/officeDocument/2006/relationships/worksheet" Target="/xl/worksheets/sheet4.xml" Id="Refb3c20224344453" /><Relationship Type="http://schemas.openxmlformats.org/officeDocument/2006/relationships/worksheet" Target="/xl/worksheets/sheet5.xml" Id="R36b146ba8869495b" /><Relationship Type="http://schemas.openxmlformats.org/officeDocument/2006/relationships/worksheet" Target="/xl/worksheets/sheet6.xml" Id="Rc04b4db4cb59406b" /><Relationship Type="http://schemas.openxmlformats.org/officeDocument/2006/relationships/worksheet" Target="/xl/worksheets/sheet7.xml" Id="Rd9adeac54b144eb9" /></Relationships>
</file>

<file path=xl/tables/table1.xml><?xml version="1.0" encoding="utf-8"?>
<x:table xmlns:x="http://schemas.openxmlformats.org/spreadsheetml/2006/main" id="1" name="RoommateRepayments" displayName="RoommateRepayments" ref="A4:F204" headerRowCount="1" totalsRowCount="0" totalsRowShown="0">
  <x:tableColumns count="6">
    <x:tableColumn id="1" name="التاريخ"/>
    <x:tableColumn id="2" name="مِن"/>
    <x:tableColumn id="3" name="إلى"/>
    <x:tableColumn id="4" name="المبلغ"/>
    <x:tableColumn id="5" name="ملاحظة"/>
    <x:tableColumn id="6" name="المراجع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78c37600767445c1" /></Relationships>
</file>

<file path=xl/worksheets/sheet1.xml><?xml version="1.0" encoding="utf-8"?>
<worksheet xmlns="http://schemas.openxmlformats.org/spreadsheetml/2006/main">
  <sheetViews>
    <sheetView showGridLines="0" workbookViewId="0" rightToLeft="1">
      <pane ySplit="2" topLeftCell="A3" activePane="bottomLeft" state="frozen"/>
    </sheetView>
  </sheetViews>
  <sheetFormatPr defaultRowHeight="15"/>
  <cols>
    <col min="1" max="1" width="8" hidden="0" customWidth="1"/>
    <col min="2" max="2" width="22" hidden="0" customWidth="1"/>
    <col min="3" max="3" width="14" hidden="0" customWidth="1"/>
    <col min="4" max="4" width="14" hidden="0" customWidth="1"/>
    <col min="5" max="5" width="14" hidden="0" customWidth="1"/>
    <col min="6" max="6" width="14" hidden="0" customWidth="1"/>
    <col min="7" max="7" width="14" hidden="0" customWidth="1"/>
    <col min="8" max="8" width="14" hidden="0" customWidth="1"/>
  </cols>
  <sheetData>
    <row r="1" ht="34" customHeight="1">
      <c r="A1" s="109" t="str">
        <v>سجل مصاريف السكن المشترك</v>
      </c>
      <c r="B1" s="109" t="str">
        <v>سجل مصاريف السكن المشترك</v>
      </c>
      <c r="C1" s="109" t="str">
        <v>سجل مصاريف السكن المشترك</v>
      </c>
      <c r="D1" s="109" t="str">
        <v>سجل مصاريف السكن المشترك</v>
      </c>
      <c r="E1" s="109" t="str">
        <v>سجل مصاريف السكن المشترك</v>
      </c>
      <c r="F1" s="109" t="str">
        <v>سجل مصاريف السكن المشترك</v>
      </c>
      <c r="G1" s="109" t="str">
        <v>سجل مصاريف السكن المشترك</v>
      </c>
      <c r="H1" s="109" t="str">
        <v>سجل مصاريف السكن المشترك</v>
      </c>
    </row>
    <row r="2" ht="30" customHeight="1">
      <c r="A2" s="110" t="str">
        <v>سجل قابل لإعادة الاستخدام للمصاريف المتفق عليها، والدفعات بين شركاء السكن، وأرصدة البداية، وحسابات كل شهر.</v>
      </c>
      <c r="B2" s="110" t="str">
        <v>سجل قابل لإعادة الاستخدام للمصاريف المتفق عليها، والدفعات بين شركاء السكن، وأرصدة البداية، وحسابات كل شهر.</v>
      </c>
      <c r="C2" s="110" t="str">
        <v>سجل قابل لإعادة الاستخدام للمصاريف المتفق عليها، والدفعات بين شركاء السكن، وأرصدة البداية، وحسابات كل شهر.</v>
      </c>
      <c r="D2" s="110" t="str">
        <v>سجل قابل لإعادة الاستخدام للمصاريف المتفق عليها، والدفعات بين شركاء السكن، وأرصدة البداية، وحسابات كل شهر.</v>
      </c>
      <c r="E2" s="110" t="str">
        <v>سجل قابل لإعادة الاستخدام للمصاريف المتفق عليها، والدفعات بين شركاء السكن، وأرصدة البداية، وحسابات كل شهر.</v>
      </c>
      <c r="F2" s="110" t="str">
        <v>سجل قابل لإعادة الاستخدام للمصاريف المتفق عليها، والدفعات بين شركاء السكن، وأرصدة البداية، وحسابات كل شهر.</v>
      </c>
      <c r="G2" s="110" t="str">
        <v>سجل قابل لإعادة الاستخدام للمصاريف المتفق عليها، والدفعات بين شركاء السكن، وأرصدة البداية، وحسابات كل شهر.</v>
      </c>
      <c r="H2" s="110" t="str">
        <v>سجل قابل لإعادة الاستخدام للمصاريف المتفق عليها، والدفعات بين شركاء السكن، وأرصدة البداية، وحسابات كل شهر.</v>
      </c>
    </row>
    <row r="3">
      <c r="A3" s="111"/>
      <c r="B3" s="111"/>
      <c r="C3" s="111"/>
      <c r="D3" s="111"/>
      <c r="E3" s="111"/>
      <c r="F3" s="111"/>
      <c r="G3" s="111"/>
      <c r="H3" s="111"/>
    </row>
    <row r="4">
      <c r="A4" s="112" t="str">
        <v>جهّز نسختك</v>
      </c>
      <c r="B4" s="112" t="str">
        <v>جهّز نسختك</v>
      </c>
      <c r="C4" s="112" t="str">
        <v>جهّز نسختك</v>
      </c>
      <c r="D4" s="112" t="str">
        <v>جهّز نسختك</v>
      </c>
      <c r="E4" s="112" t="str">
        <v>جهّز نسختك</v>
      </c>
      <c r="F4" s="112" t="str">
        <v>جهّز نسختك</v>
      </c>
      <c r="G4" s="112" t="str">
        <v>جهّز نسختك</v>
      </c>
      <c r="H4" s="112" t="str">
        <v>جهّز نسختك</v>
      </c>
    </row>
    <row r="5" ht="34" customHeight="1">
      <c r="A5" s="113" t="n">
        <v>1</v>
      </c>
      <c r="B5" s="114" t="str">
        <v>افتح ورقة الإعداد وأدخل من اسمين إلى ستة أسماء مختلفة، وحدد الفترة وعملة واحدة.</v>
      </c>
      <c r="C5" s="115"/>
      <c r="D5" s="115"/>
      <c r="E5" s="115"/>
      <c r="F5" s="115"/>
      <c r="G5" s="115"/>
      <c r="H5" s="116"/>
    </row>
    <row r="6" ht="34" customHeight="1">
      <c r="A6" s="113" t="n">
        <v>2</v>
      </c>
      <c r="B6" s="117" t="str">
        <v>أدخل أرصدة البداية فقط إذا كانت مأخوذة من حسابات فترة سابقة راجعتموها معًا.</v>
      </c>
      <c r="C6" s="118"/>
      <c r="D6" s="118"/>
      <c r="E6" s="118"/>
      <c r="F6" s="118"/>
      <c r="G6" s="118"/>
      <c r="H6" s="119"/>
    </row>
    <row r="7" ht="34" customHeight="1">
      <c r="A7" s="113" t="n">
        <v>3</v>
      </c>
      <c r="B7" s="117" t="str">
        <v>سجّل كل مصروف مرة واحدة في ورقة المصاريف. حدد مَن دفع، ومَن يشارك في المصروف، وما إذا كان التقسيم بالتساوي أو بمبالغ متفق عليها.</v>
      </c>
      <c r="C7" s="118"/>
      <c r="D7" s="118"/>
      <c r="E7" s="118"/>
      <c r="F7" s="118"/>
      <c r="G7" s="118"/>
      <c r="H7" s="119"/>
    </row>
    <row r="8" ht="34" customHeight="1">
      <c r="A8" s="113" t="n">
        <v>4</v>
      </c>
      <c r="B8" s="117" t="str">
        <v>سجّل الأموال التي تدفعونها لبعضكم في ورقة الدفعات. لا تغيّر المصروف الأصلي لتسجيل دفعة لاحقة.</v>
      </c>
      <c r="C8" s="118"/>
      <c r="D8" s="118"/>
      <c r="E8" s="118"/>
      <c r="F8" s="118"/>
      <c r="G8" s="118"/>
      <c r="H8" s="119"/>
    </row>
    <row r="9" ht="34" customHeight="1">
      <c r="A9" s="113" t="n">
        <v>5</v>
      </c>
      <c r="B9" s="120" t="str">
        <v>افتح ورقة الملخص وعالج جميع التنبيهات قبل تنفيذ الدفعات المقترحة.</v>
      </c>
      <c r="C9" s="121"/>
      <c r="D9" s="121"/>
      <c r="E9" s="121"/>
      <c r="F9" s="121"/>
      <c r="G9" s="121"/>
      <c r="H9" s="122"/>
    </row>
    <row r="10">
      <c r="A10" s="111"/>
      <c r="B10" s="111"/>
      <c r="C10" s="111"/>
      <c r="D10" s="111"/>
      <c r="E10" s="111"/>
      <c r="F10" s="111"/>
      <c r="G10" s="111"/>
      <c r="H10" s="111"/>
    </row>
    <row r="11">
      <c r="A11" s="112" t="str">
        <v>كيف تقرأ الأرصدة؟</v>
      </c>
      <c r="B11" s="112" t="str">
        <v>كيف تقرأ الأرصدة؟</v>
      </c>
      <c r="C11" s="112" t="str">
        <v>كيف تقرأ الأرصدة؟</v>
      </c>
      <c r="D11" s="112" t="str">
        <v>كيف تقرأ الأرصدة؟</v>
      </c>
      <c r="E11" s="112" t="str">
        <v>كيف تقرأ الأرصدة؟</v>
      </c>
      <c r="F11" s="112" t="str">
        <v>كيف تقرأ الأرصدة؟</v>
      </c>
      <c r="G11" s="112" t="str">
        <v>كيف تقرأ الأرصدة؟</v>
      </c>
      <c r="H11" s="112" t="str">
        <v>كيف تقرأ الأرصدة؟</v>
      </c>
    </row>
    <row r="12">
      <c r="A12" s="123" t="str">
        <v>الرصيد الموجب يعني أن للشخص مبلغًا متبقيًا للاستلام. والرصيد السالب يعني أن عليه مبلغًا متبقيًا للدفع. يجب أن يكون مجموع أرصدة الجميع صفرًا.</v>
      </c>
      <c r="B12" s="123" t="str">
        <v>الرصيد الموجب يعني أن للشخص مبلغًا متبقيًا للاستلام. والرصيد السالب يعني أن عليه مبلغًا متبقيًا للدفع. يجب أن يكون مجموع أرصدة الجميع صفرًا.</v>
      </c>
      <c r="C12" s="123" t="str">
        <v>الرصيد الموجب يعني أن للشخص مبلغًا متبقيًا للاستلام. والرصيد السالب يعني أن عليه مبلغًا متبقيًا للدفع. يجب أن يكون مجموع أرصدة الجميع صفرًا.</v>
      </c>
      <c r="D12" s="123" t="str">
        <v>الرصيد الموجب يعني أن للشخص مبلغًا متبقيًا للاستلام. والرصيد السالب يعني أن عليه مبلغًا متبقيًا للدفع. يجب أن يكون مجموع أرصدة الجميع صفرًا.</v>
      </c>
      <c r="E12" s="123" t="str">
        <v>الرصيد الموجب يعني أن للشخص مبلغًا متبقيًا للاستلام. والرصيد السالب يعني أن عليه مبلغًا متبقيًا للدفع. يجب أن يكون مجموع أرصدة الجميع صفرًا.</v>
      </c>
      <c r="F12" s="123" t="str">
        <v>الرصيد الموجب يعني أن للشخص مبلغًا متبقيًا للاستلام. والرصيد السالب يعني أن عليه مبلغًا متبقيًا للدفع. يجب أن يكون مجموع أرصدة الجميع صفرًا.</v>
      </c>
      <c r="G12" s="123" t="str">
        <v>الرصيد الموجب يعني أن للشخص مبلغًا متبقيًا للاستلام. والرصيد السالب يعني أن عليه مبلغًا متبقيًا للدفع. يجب أن يكون مجموع أرصدة الجميع صفرًا.</v>
      </c>
      <c r="H12" s="123" t="str">
        <v>الرصيد الموجب يعني أن للشخص مبلغًا متبقيًا للاستلام. والرصيد السالب يعني أن عليه مبلغًا متبقيًا للدفع. يجب أن يكون مجموع أرصدة الجميع صفرًا.</v>
      </c>
    </row>
    <row r="13">
      <c r="A13" s="123" t="str">
        <v>الرصيد الموجب يعني أن للشخص مبلغًا متبقيًا للاستلام. والرصيد السالب يعني أن عليه مبلغًا متبقيًا للدفع. يجب أن يكون مجموع أرصدة الجميع صفرًا.</v>
      </c>
      <c r="B13" s="123" t="str">
        <v>الرصيد الموجب يعني أن للشخص مبلغًا متبقيًا للاستلام. والرصيد السالب يعني أن عليه مبلغًا متبقيًا للدفع. يجب أن يكون مجموع أرصدة الجميع صفرًا.</v>
      </c>
      <c r="C13" s="123" t="str">
        <v>الرصيد الموجب يعني أن للشخص مبلغًا متبقيًا للاستلام. والرصيد السالب يعني أن عليه مبلغًا متبقيًا للدفع. يجب أن يكون مجموع أرصدة الجميع صفرًا.</v>
      </c>
      <c r="D13" s="123" t="str">
        <v>الرصيد الموجب يعني أن للشخص مبلغًا متبقيًا للاستلام. والرصيد السالب يعني أن عليه مبلغًا متبقيًا للدفع. يجب أن يكون مجموع أرصدة الجميع صفرًا.</v>
      </c>
      <c r="E13" s="123" t="str">
        <v>الرصيد الموجب يعني أن للشخص مبلغًا متبقيًا للاستلام. والرصيد السالب يعني أن عليه مبلغًا متبقيًا للدفع. يجب أن يكون مجموع أرصدة الجميع صفرًا.</v>
      </c>
      <c r="F13" s="123" t="str">
        <v>الرصيد الموجب يعني أن للشخص مبلغًا متبقيًا للاستلام. والرصيد السالب يعني أن عليه مبلغًا متبقيًا للدفع. يجب أن يكون مجموع أرصدة الجميع صفرًا.</v>
      </c>
      <c r="G13" s="123" t="str">
        <v>الرصيد الموجب يعني أن للشخص مبلغًا متبقيًا للاستلام. والرصيد السالب يعني أن عليه مبلغًا متبقيًا للدفع. يجب أن يكون مجموع أرصدة الجميع صفرًا.</v>
      </c>
      <c r="H13" s="123" t="str">
        <v>الرصيد الموجب يعني أن للشخص مبلغًا متبقيًا للاستلام. والرصيد السالب يعني أن عليه مبلغًا متبقيًا للدفع. يجب أن يكون مجموع أرصدة الجميع صفرًا.</v>
      </c>
    </row>
    <row r="14">
      <c r="A14" s="111"/>
      <c r="B14" s="111"/>
      <c r="C14" s="111"/>
      <c r="D14" s="111"/>
      <c r="E14" s="111"/>
      <c r="F14" s="111"/>
      <c r="G14" s="111"/>
      <c r="H14" s="111"/>
    </row>
    <row r="15">
      <c r="A15" s="112" t="str">
        <v>الخصوصية</v>
      </c>
      <c r="B15" s="112" t="str">
        <v>الخصوصية</v>
      </c>
      <c r="C15" s="112" t="str">
        <v>الخصوصية</v>
      </c>
      <c r="D15" s="112" t="str">
        <v>الخصوصية</v>
      </c>
      <c r="E15" s="112" t="str">
        <v>الخصوصية</v>
      </c>
      <c r="F15" s="112" t="str">
        <v>الخصوصية</v>
      </c>
      <c r="G15" s="112" t="str">
        <v>الخصوصية</v>
      </c>
      <c r="H15" s="112" t="str">
        <v>الخصوصية</v>
      </c>
    </row>
    <row r="16">
      <c r="A16" s="123" t="str">
        <v>تبقى البيانات التي تدخلها داخل هذا الملف ما لم ترفعه أو تشاركه مع جهة أخرى.</v>
      </c>
      <c r="B16" s="123" t="str">
        <v>تبقى البيانات التي تدخلها داخل هذا الملف ما لم ترفعه أو تشاركه مع جهة أخرى.</v>
      </c>
      <c r="C16" s="123" t="str">
        <v>تبقى البيانات التي تدخلها داخل هذا الملف ما لم ترفعه أو تشاركه مع جهة أخرى.</v>
      </c>
      <c r="D16" s="123" t="str">
        <v>تبقى البيانات التي تدخلها داخل هذا الملف ما لم ترفعه أو تشاركه مع جهة أخرى.</v>
      </c>
      <c r="E16" s="123" t="str">
        <v>تبقى البيانات التي تدخلها داخل هذا الملف ما لم ترفعه أو تشاركه مع جهة أخرى.</v>
      </c>
      <c r="F16" s="123" t="str">
        <v>تبقى البيانات التي تدخلها داخل هذا الملف ما لم ترفعه أو تشاركه مع جهة أخرى.</v>
      </c>
      <c r="G16" s="123" t="str">
        <v>تبقى البيانات التي تدخلها داخل هذا الملف ما لم ترفعه أو تشاركه مع جهة أخرى.</v>
      </c>
      <c r="H16" s="123" t="str">
        <v>تبقى البيانات التي تدخلها داخل هذا الملف ما لم ترفعه أو تشاركه مع جهة أخرى.</v>
      </c>
    </row>
    <row r="17">
      <c r="A17" s="123" t="str">
        <v>تبقى البيانات التي تدخلها داخل هذا الملف ما لم ترفعه أو تشاركه مع جهة أخرى.</v>
      </c>
      <c r="B17" s="123" t="str">
        <v>تبقى البيانات التي تدخلها داخل هذا الملف ما لم ترفعه أو تشاركه مع جهة أخرى.</v>
      </c>
      <c r="C17" s="123" t="str">
        <v>تبقى البيانات التي تدخلها داخل هذا الملف ما لم ترفعه أو تشاركه مع جهة أخرى.</v>
      </c>
      <c r="D17" s="123" t="str">
        <v>تبقى البيانات التي تدخلها داخل هذا الملف ما لم ترفعه أو تشاركه مع جهة أخرى.</v>
      </c>
      <c r="E17" s="123" t="str">
        <v>تبقى البيانات التي تدخلها داخل هذا الملف ما لم ترفعه أو تشاركه مع جهة أخرى.</v>
      </c>
      <c r="F17" s="123" t="str">
        <v>تبقى البيانات التي تدخلها داخل هذا الملف ما لم ترفعه أو تشاركه مع جهة أخرى.</v>
      </c>
      <c r="G17" s="123" t="str">
        <v>تبقى البيانات التي تدخلها داخل هذا الملف ما لم ترفعه أو تشاركه مع جهة أخرى.</v>
      </c>
      <c r="H17" s="123" t="str">
        <v>تبقى البيانات التي تدخلها داخل هذا الملف ما لم ترفعه أو تشاركه مع جهة أخرى.</v>
      </c>
    </row>
    <row r="18">
      <c r="A18" s="111"/>
      <c r="B18" s="111"/>
      <c r="C18" s="111"/>
      <c r="D18" s="111"/>
      <c r="E18" s="111"/>
      <c r="F18" s="111"/>
      <c r="G18" s="111"/>
      <c r="H18" s="111"/>
    </row>
    <row r="19">
      <c r="A19" s="112" t="str">
        <v>ما الذي يقدمه هذا القالب؟</v>
      </c>
      <c r="B19" s="112" t="str">
        <v>ما الذي يقدمه هذا القالب؟</v>
      </c>
      <c r="C19" s="112" t="str">
        <v>ما الذي يقدمه هذا القالب؟</v>
      </c>
      <c r="D19" s="112" t="str">
        <v>ما الذي يقدمه هذا القالب؟</v>
      </c>
      <c r="E19" s="112" t="str">
        <v>ما الذي يقدمه هذا القالب؟</v>
      </c>
      <c r="F19" s="112" t="str">
        <v>ما الذي يقدمه هذا القالب؟</v>
      </c>
      <c r="G19" s="112" t="str">
        <v>ما الذي يقدمه هذا القالب؟</v>
      </c>
      <c r="H19" s="112" t="str">
        <v>ما الذي يقدمه هذا القالب؟</v>
      </c>
    </row>
    <row r="20">
      <c r="A20"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B20"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C20"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D20"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E20"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F20"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G20"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H20"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row>
    <row r="21">
      <c r="A21"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B21"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C21"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D21"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E21"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F21"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G21"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H21"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row>
    <row r="22">
      <c r="A22"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B22"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C22"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D22"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E22"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F22"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G22"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c r="H22" s="123" t="str">
        <v>يسجّل هذا القالب المصاريف والحصص التي اتفق عليها شركاء السكن وفهموها. لا يحدد الإيجار العادل، ولا ينشئ التزامًا قانونيًا بالدفع أو يثبت وجوده، ولا ينفذ مدفوعات أو يتولى التحصيل. ولا يحل محل عقد إيجار أو اتفاق بين شركاء السكن.</v>
      </c>
    </row>
  </sheetData>
  <mergeCells>
    <mergeCell ref="A1:H1"/>
    <mergeCell ref="A2:H2"/>
    <mergeCell ref="A4:H4"/>
    <mergeCell ref="B5:H5"/>
    <mergeCell ref="B6:H6"/>
    <mergeCell ref="B7:H7"/>
    <mergeCell ref="B8:H8"/>
    <mergeCell ref="B9:H9"/>
    <mergeCell ref="A11:H11"/>
    <mergeCell ref="A12:H13"/>
    <mergeCell ref="A15:H15"/>
    <mergeCell ref="A16:H17"/>
    <mergeCell ref="A19:H19"/>
    <mergeCell ref="A20:H22"/>
  </mergeCells>
  <pageMargins left="0.7" right="0.7" top="0.75" bottom="0.75" header="0.3" footer="0.3"/>
</worksheet>
</file>

<file path=xl/worksheets/sheet2.xml><?xml version="1.0" encoding="utf-8"?>
<worksheet xmlns="http://schemas.openxmlformats.org/spreadsheetml/2006/main">
  <sheetViews>
    <sheetView showGridLines="0" workbookViewId="0" rightToLeft="1">
      <pane ySplit="8" topLeftCell="A9" activePane="bottomLeft" state="frozen"/>
    </sheetView>
  </sheetViews>
  <sheetFormatPr defaultRowHeight="15"/>
  <cols>
    <col min="1" max="1" width="30" hidden="0" customWidth="1"/>
    <col min="2" max="2" width="24" hidden="0" customWidth="1"/>
    <col min="3" max="3" width="20" hidden="0" customWidth="1"/>
    <col min="4" max="4" width="16" hidden="0" customWidth="1"/>
    <col min="5" max="5" width="16" hidden="0" customWidth="1"/>
    <col min="6" max="6" width="16" hidden="0" customWidth="1"/>
  </cols>
  <sheetData>
    <row r="1" ht="34" customHeight="1">
      <c r="A1" s="109" t="str">
        <v>إعداد بيانات السكن</v>
      </c>
      <c r="B1" s="109" t="str">
        <v>إعداد بيانات السكن</v>
      </c>
      <c r="C1" s="109" t="str">
        <v>إعداد بيانات السكن</v>
      </c>
      <c r="D1" s="109" t="str">
        <v>إعداد بيانات السكن</v>
      </c>
      <c r="E1" s="109" t="str">
        <v>إعداد بيانات السكن</v>
      </c>
      <c r="F1" s="109" t="str">
        <v>إعداد بيانات السكن</v>
      </c>
    </row>
    <row r="2" ht="30" customHeight="1">
      <c r="A2" s="110" t="str">
        <v>أدخل من اسمين إلى ستة أسماء مختلفة. استخدم عملة واحدة في الملف كله.</v>
      </c>
      <c r="B2" s="110" t="str">
        <v>أدخل من اسمين إلى ستة أسماء مختلفة. استخدم عملة واحدة في الملف كله.</v>
      </c>
      <c r="C2" s="110" t="str">
        <v>أدخل من اسمين إلى ستة أسماء مختلفة. استخدم عملة واحدة في الملف كله.</v>
      </c>
      <c r="D2" s="110" t="str">
        <v>أدخل من اسمين إلى ستة أسماء مختلفة. استخدم عملة واحدة في الملف كله.</v>
      </c>
      <c r="E2" s="110" t="str">
        <v>أدخل من اسمين إلى ستة أسماء مختلفة. استخدم عملة واحدة في الملف كله.</v>
      </c>
      <c r="F2" s="110" t="str">
        <v>أدخل من اسمين إلى ستة أسماء مختلفة. استخدم عملة واحدة في الملف كله.</v>
      </c>
    </row>
    <row r="3">
      <c r="A3" s="111"/>
      <c r="B3" s="111"/>
      <c r="C3" s="111"/>
      <c r="D3" s="111"/>
      <c r="E3" s="111"/>
      <c r="F3" s="111"/>
    </row>
    <row r="4">
      <c r="A4" s="124" t="str">
        <v>اسم السكن أو المجموعة (اختياري)</v>
      </c>
      <c r="B4" s="125"/>
      <c r="C4" s="126"/>
      <c r="D4" s="127"/>
      <c r="E4" s="111"/>
      <c r="F4" s="111"/>
    </row>
    <row r="5">
      <c r="A5" s="124" t="str">
        <v>الفترة</v>
      </c>
      <c r="B5" s="128"/>
      <c r="C5" s="129"/>
      <c r="D5" s="130"/>
      <c r="E5" s="111"/>
      <c r="F5" s="111"/>
    </row>
    <row r="6">
      <c r="A6" s="124" t="str">
        <v>العملة</v>
      </c>
      <c r="B6" s="131"/>
      <c r="C6" s="132"/>
      <c r="D6" s="133"/>
      <c r="E6" s="111"/>
      <c r="F6" s="111"/>
    </row>
    <row r="7">
      <c r="A7" s="111"/>
      <c r="B7" s="111"/>
      <c r="C7" s="111"/>
      <c r="D7" s="111"/>
      <c r="E7" s="111"/>
      <c r="F7" s="111"/>
    </row>
    <row r="8" ht="34" customHeight="1">
      <c r="A8" s="134" t="str">
        <v>الشخص</v>
      </c>
      <c r="B8" s="134" t="str">
        <v>الاسم</v>
      </c>
      <c r="C8" s="134" t="str">
        <v>رصيد البداية</v>
      </c>
      <c r="D8" s="111"/>
      <c r="E8" s="111"/>
      <c r="F8" s="111"/>
    </row>
    <row r="9">
      <c r="A9" s="135" t="str">
        <v>اسم الشخص 1</v>
      </c>
      <c r="B9" s="136"/>
      <c r="C9" s="137" t="n">
        <v>0</v>
      </c>
      <c r="D9" s="111"/>
      <c r="E9" s="111"/>
      <c r="F9" s="111"/>
    </row>
    <row r="10">
      <c r="A10" s="138" t="str">
        <v>اسم الشخص 2</v>
      </c>
      <c r="B10" s="139"/>
      <c r="C10" s="140" t="n">
        <v>0</v>
      </c>
      <c r="D10" s="111"/>
      <c r="E10" s="111"/>
      <c r="F10" s="111"/>
    </row>
    <row r="11">
      <c r="A11" s="138" t="str">
        <v>اسم الشخص 3</v>
      </c>
      <c r="B11" s="139"/>
      <c r="C11" s="140" t="n">
        <v>0</v>
      </c>
      <c r="D11" s="111"/>
      <c r="E11" s="111"/>
      <c r="F11" s="111"/>
    </row>
    <row r="12">
      <c r="A12" s="138" t="str">
        <v>اسم الشخص 4</v>
      </c>
      <c r="B12" s="139"/>
      <c r="C12" s="140" t="n">
        <v>0</v>
      </c>
      <c r="D12" s="111"/>
      <c r="E12" s="111"/>
      <c r="F12" s="111"/>
    </row>
    <row r="13">
      <c r="A13" s="138" t="str">
        <v>اسم الشخص 5</v>
      </c>
      <c r="B13" s="139"/>
      <c r="C13" s="140" t="n">
        <v>0</v>
      </c>
      <c r="D13" s="111"/>
      <c r="E13" s="111"/>
      <c r="F13" s="111"/>
    </row>
    <row r="14">
      <c r="A14" s="138" t="str">
        <v>اسم الشخص 6</v>
      </c>
      <c r="B14" s="139"/>
      <c r="C14" s="140" t="n">
        <v>0</v>
      </c>
      <c r="D14" s="111"/>
      <c r="E14" s="111"/>
      <c r="F14" s="111"/>
    </row>
    <row r="15">
      <c r="A15" s="111"/>
      <c r="B15" s="111"/>
      <c r="C15" s="111"/>
      <c r="D15" s="111"/>
      <c r="E15" s="111"/>
      <c r="F15" s="111"/>
    </row>
    <row r="16">
      <c r="A16" s="111" t="str">
        <v>مجموع أرصدة البداية</v>
      </c>
      <c r="B16" s="111"/>
      <c r="C16" s="141" t="n">
        <f>SUM(C9:C14)</f>
        <v>0</v>
      </c>
      <c r="D16" s="111"/>
      <c r="E16" s="111"/>
      <c r="F16" s="111"/>
    </row>
    <row r="17">
      <c r="A17" s="162" t="str">
        <f>IF(COUNTIF(B9:B14,"&lt;&gt;")&lt;2,"أدخل اسمين على الأقل.",IF(OR(AND(B9&lt;&gt;"",COUNTIF($B$9:$B$14,B9)&gt;1),AND(B10&lt;&gt;"",COUNTIF($B$9:$B$14,B10)&gt;1),AND(B11&lt;&gt;"",COUNTIF($B$9:$B$14,B11)&gt;1),AND(B12&lt;&gt;"",COUNTIF($B$9:$B$14,B12)&gt;1),AND(B13&lt;&gt;"",COUNTIF($B$9:$B$14,B13)&gt;1),AND(B14&lt;&gt;"",COUNTIF($B$9:$B$14,B14)&gt;1)),"استخدم اسمًا مختلفًا لكل شخص.",IF(ABS(C16)&gt;0.01,"أرصدة البداية غير متوازنة. تأكد من أن مجموعها يساوي صفرًا.","جاهز: مجموع أرصدة البداية يساوي صفرًا.")))</f>
        <v>أدخل اسمين على الأقل.</v>
      </c>
      <c r="B17" s="142"/>
      <c r="C17" s="142"/>
      <c r="D17" s="142"/>
      <c r="E17" s="142"/>
      <c r="F17" s="142"/>
    </row>
    <row r="18">
      <c r="A18" s="142"/>
      <c r="B18" s="142"/>
      <c r="C18" s="142"/>
      <c r="D18" s="142"/>
      <c r="E18" s="142"/>
      <c r="F18" s="142"/>
    </row>
    <row r="19">
      <c r="A19" s="111"/>
      <c r="B19" s="111"/>
      <c r="C19" s="111"/>
      <c r="D19" s="111"/>
      <c r="E19" s="111"/>
      <c r="F19" s="111"/>
    </row>
    <row r="20">
      <c r="A20" s="143" t="str">
        <v>أدخل رصيد بداية موجبًا إذا كان للشخص مبلغ يستلمه، وسالبًا إذا كان عليه مبلغ يدفعه.</v>
      </c>
      <c r="B20" s="143" t="str">
        <v>أدخل رصيد بداية موجبًا إذا كان للشخص مبلغ يستلمه، وسالبًا إذا كان عليه مبلغ يدفعه.</v>
      </c>
      <c r="C20" s="143" t="str">
        <v>أدخل رصيد بداية موجبًا إذا كان للشخص مبلغ يستلمه، وسالبًا إذا كان عليه مبلغ يدفعه.</v>
      </c>
      <c r="D20" s="143" t="str">
        <v>أدخل رصيد بداية موجبًا إذا كان للشخص مبلغ يستلمه، وسالبًا إذا كان عليه مبلغ يدفعه.</v>
      </c>
      <c r="E20" s="143" t="str">
        <v>أدخل رصيد بداية موجبًا إذا كان للشخص مبلغ يستلمه، وسالبًا إذا كان عليه مبلغ يدفعه.</v>
      </c>
      <c r="F20" s="143" t="str">
        <v>أدخل رصيد بداية موجبًا إذا كان للشخص مبلغ يستلمه، وسالبًا إذا كان عليه مبلغ يدفعه.</v>
      </c>
    </row>
    <row r="21">
      <c r="A21" s="143" t="str">
        <v>خذ أرصدة البداية من حسابات فترة سابقة واحدة تمت مراجعتها. يجب أن يكون مجموعها صفرًا.</v>
      </c>
      <c r="B21" s="143" t="str">
        <v>خذ أرصدة البداية من حسابات فترة سابقة واحدة تمت مراجعتها. يجب أن يكون مجموعها صفرًا.</v>
      </c>
      <c r="C21" s="143" t="str">
        <v>خذ أرصدة البداية من حسابات فترة سابقة واحدة تمت مراجعتها. يجب أن يكون مجموعها صفرًا.</v>
      </c>
      <c r="D21" s="143" t="str">
        <v>خذ أرصدة البداية من حسابات فترة سابقة واحدة تمت مراجعتها. يجب أن يكون مجموعها صفرًا.</v>
      </c>
      <c r="E21" s="143" t="str">
        <v>خذ أرصدة البداية من حسابات فترة سابقة واحدة تمت مراجعتها. يجب أن يكون مجموعها صفرًا.</v>
      </c>
      <c r="F21" s="143" t="str">
        <v>خذ أرصدة البداية من حسابات فترة سابقة واحدة تمت مراجعتها. يجب أن يكون مجموعها صفرًا.</v>
      </c>
    </row>
    <row r="22">
      <c r="A22" s="143" t="str">
        <v>خذ أرصدة البداية من حسابات فترة سابقة واحدة تمت مراجعتها. يجب أن يكون مجموعها صفرًا.</v>
      </c>
      <c r="B22" s="143" t="str">
        <v>خذ أرصدة البداية من حسابات فترة سابقة واحدة تمت مراجعتها. يجب أن يكون مجموعها صفرًا.</v>
      </c>
      <c r="C22" s="143" t="str">
        <v>خذ أرصدة البداية من حسابات فترة سابقة واحدة تمت مراجعتها. يجب أن يكون مجموعها صفرًا.</v>
      </c>
      <c r="D22" s="143" t="str">
        <v>خذ أرصدة البداية من حسابات فترة سابقة واحدة تمت مراجعتها. يجب أن يكون مجموعها صفرًا.</v>
      </c>
      <c r="E22" s="143" t="str">
        <v>خذ أرصدة البداية من حسابات فترة سابقة واحدة تمت مراجعتها. يجب أن يكون مجموعها صفرًا.</v>
      </c>
      <c r="F22" s="143" t="str">
        <v>خذ أرصدة البداية من حسابات فترة سابقة واحدة تمت مراجعتها. يجب أن يكون مجموعها صفرًا.</v>
      </c>
    </row>
  </sheetData>
  <mergeCells>
    <mergeCell ref="A1:F1"/>
    <mergeCell ref="A2:F2"/>
    <mergeCell ref="B4:D4"/>
    <mergeCell ref="B5:D5"/>
    <mergeCell ref="B6:D6"/>
    <mergeCell ref="A17:F18"/>
    <mergeCell ref="A20:F20"/>
    <mergeCell ref="A21:F22"/>
  </mergeCells>
  <conditionalFormatting sqref="A17:F18">
    <cfRule type="containsText" dxfId="0" priority="1" operator="containsText" text="جاهز"/>
    <cfRule type="notContainsText" dxfId="1" priority="2" text="جاهز"/>
  </conditionalFormatting>
  <dataValidations count="1">
    <dataValidation type="list" sqref="B6">
      <formula1>CurrenciesList</formula1>
    </dataValidation>
  </dataValidations>
  <pageMargins left="0.7" right="0.7" top="0.75" bottom="0.75" header="0.3" footer="0.3"/>
</worksheet>
</file>

<file path=xl/worksheets/sheet3.xml><?xml version="1.0" encoding="utf-8"?>
<worksheet xmlns="http://schemas.openxmlformats.org/spreadsheetml/2006/main">
  <sheetViews>
    <sheetView showGridLines="0" workbookViewId="0" rightToLeft="1">
      <pane ySplit="4" topLeftCell="A5" activePane="bottomLeft" state="frozen"/>
    </sheetView>
  </sheetViews>
  <sheetFormatPr defaultRowHeight="15"/>
  <cols>
    <col min="1" max="1" width="13" hidden="0" customWidth="1"/>
    <col min="2" max="2" width="24" hidden="0" customWidth="1"/>
    <col min="3" max="3" width="22" hidden="0" customWidth="1"/>
    <col min="4" max="4" width="15" hidden="0" customWidth="1"/>
    <col min="5" max="5" width="19" hidden="0" customWidth="1"/>
    <col min="6" max="6" width="31" hidden="0" customWidth="1"/>
    <col min="7" max="7" width="15" hidden="0" customWidth="1"/>
    <col min="8" max="8" width="15" hidden="0" customWidth="1"/>
    <col min="9" max="9" width="15" hidden="0" customWidth="1"/>
    <col min="10" max="10" width="15" hidden="0" customWidth="1"/>
    <col min="11" max="11" width="15" hidden="0" customWidth="1"/>
    <col min="12" max="12" width="15" hidden="0" customWidth="1"/>
    <col min="13" max="13" width="16" hidden="0" customWidth="1"/>
    <col min="14" max="14" width="16" hidden="0" customWidth="1"/>
    <col min="15" max="15" width="16" hidden="0" customWidth="1"/>
    <col min="16" max="16" width="16" hidden="0" customWidth="1"/>
    <col min="17" max="17" width="16" hidden="0" customWidth="1"/>
    <col min="18" max="18" width="16" hidden="0" customWidth="1"/>
    <col min="19" max="19" width="30" hidden="0" customWidth="1"/>
    <col min="20" max="20" width="16" hidden="0" customWidth="1"/>
    <col min="21" max="21" width="16" hidden="0" customWidth="1"/>
    <col min="22" max="22" width="16" hidden="0" customWidth="1"/>
    <col min="23" max="23" width="16" hidden="0" customWidth="1"/>
    <col min="24" max="24" width="16" hidden="0" customWidth="1"/>
    <col min="25" max="25" width="16" hidden="0" customWidth="1"/>
    <col min="26" max="26" width="43" hidden="0" customWidth="1"/>
  </cols>
  <sheetData>
    <row r="1" ht="34" customHeight="1">
      <c r="A1" s="109" t="str">
        <v>المصاريف المشتركة</v>
      </c>
      <c r="B1" s="109" t="str">
        <v>المصاريف المشتركة</v>
      </c>
      <c r="C1" s="109" t="str">
        <v>المصاريف المشتركة</v>
      </c>
      <c r="D1" s="109" t="str">
        <v>المصاريف المشتركة</v>
      </c>
      <c r="E1" s="109" t="str">
        <v>المصاريف المشتركة</v>
      </c>
      <c r="F1" s="109" t="str">
        <v>المصاريف المشتركة</v>
      </c>
      <c r="G1" s="109" t="str">
        <v>المصاريف المشتركة</v>
      </c>
      <c r="H1" s="109" t="str">
        <v>المصاريف المشتركة</v>
      </c>
      <c r="I1" s="109" t="str">
        <v>المصاريف المشتركة</v>
      </c>
      <c r="J1" s="109" t="str">
        <v>المصاريف المشتركة</v>
      </c>
      <c r="K1" s="109" t="str">
        <v>المصاريف المشتركة</v>
      </c>
      <c r="L1" s="109" t="str">
        <v>المصاريف المشتركة</v>
      </c>
      <c r="M1" s="109" t="str">
        <v>المصاريف المشتركة</v>
      </c>
      <c r="N1" s="109" t="str">
        <v>المصاريف المشتركة</v>
      </c>
      <c r="O1" s="109" t="str">
        <v>المصاريف المشتركة</v>
      </c>
      <c r="P1" s="109" t="str">
        <v>المصاريف المشتركة</v>
      </c>
      <c r="Q1" s="109" t="str">
        <v>المصاريف المشتركة</v>
      </c>
      <c r="R1" s="109" t="str">
        <v>المصاريف المشتركة</v>
      </c>
      <c r="S1" s="109" t="str">
        <v>المصاريف المشتركة</v>
      </c>
      <c r="T1" s="109" t="str">
        <v>المصاريف المشتركة</v>
      </c>
      <c r="U1" s="109" t="str">
        <v>المصاريف المشتركة</v>
      </c>
      <c r="V1" s="109" t="str">
        <v>المصاريف المشتركة</v>
      </c>
      <c r="W1" s="109" t="str">
        <v>المصاريف المشتركة</v>
      </c>
      <c r="X1" s="109" t="str">
        <v>المصاريف المشتركة</v>
      </c>
      <c r="Y1" s="109" t="str">
        <v>المصاريف المشتركة</v>
      </c>
      <c r="Z1" s="109" t="str">
        <v>المصاريف المشتركة</v>
      </c>
    </row>
    <row r="2" ht="30" customHeight="1">
      <c r="A2" s="110" t="str">
        <v>سجّل كل مصروف مرة واحدة. قسّمه بالتساوي بين المشاركين فيه فقط، أو أدخل المبالغ التي اتفقتم عليها مسبقًا.</v>
      </c>
      <c r="B2" s="110" t="str">
        <v>سجّل كل مصروف مرة واحدة. قسّمه بالتساوي بين المشاركين فيه فقط، أو أدخل المبالغ التي اتفقتم عليها مسبقًا.</v>
      </c>
      <c r="C2" s="110" t="str">
        <v>سجّل كل مصروف مرة واحدة. قسّمه بالتساوي بين المشاركين فيه فقط، أو أدخل المبالغ التي اتفقتم عليها مسبقًا.</v>
      </c>
      <c r="D2" s="110" t="str">
        <v>سجّل كل مصروف مرة واحدة. قسّمه بالتساوي بين المشاركين فيه فقط، أو أدخل المبالغ التي اتفقتم عليها مسبقًا.</v>
      </c>
      <c r="E2" s="110" t="str">
        <v>سجّل كل مصروف مرة واحدة. قسّمه بالتساوي بين المشاركين فيه فقط، أو أدخل المبالغ التي اتفقتم عليها مسبقًا.</v>
      </c>
      <c r="F2" s="110" t="str">
        <v>سجّل كل مصروف مرة واحدة. قسّمه بالتساوي بين المشاركين فيه فقط، أو أدخل المبالغ التي اتفقتم عليها مسبقًا.</v>
      </c>
      <c r="G2" s="110" t="str">
        <v>سجّل كل مصروف مرة واحدة. قسّمه بالتساوي بين المشاركين فيه فقط، أو أدخل المبالغ التي اتفقتم عليها مسبقًا.</v>
      </c>
      <c r="H2" s="110" t="str">
        <v>سجّل كل مصروف مرة واحدة. قسّمه بالتساوي بين المشاركين فيه فقط، أو أدخل المبالغ التي اتفقتم عليها مسبقًا.</v>
      </c>
      <c r="I2" s="110" t="str">
        <v>سجّل كل مصروف مرة واحدة. قسّمه بالتساوي بين المشاركين فيه فقط، أو أدخل المبالغ التي اتفقتم عليها مسبقًا.</v>
      </c>
      <c r="J2" s="110" t="str">
        <v>سجّل كل مصروف مرة واحدة. قسّمه بالتساوي بين المشاركين فيه فقط، أو أدخل المبالغ التي اتفقتم عليها مسبقًا.</v>
      </c>
      <c r="K2" s="110" t="str">
        <v>سجّل كل مصروف مرة واحدة. قسّمه بالتساوي بين المشاركين فيه فقط، أو أدخل المبالغ التي اتفقتم عليها مسبقًا.</v>
      </c>
      <c r="L2" s="110" t="str">
        <v>سجّل كل مصروف مرة واحدة. قسّمه بالتساوي بين المشاركين فيه فقط، أو أدخل المبالغ التي اتفقتم عليها مسبقًا.</v>
      </c>
      <c r="M2" s="110" t="str">
        <v>سجّل كل مصروف مرة واحدة. قسّمه بالتساوي بين المشاركين فيه فقط، أو أدخل المبالغ التي اتفقتم عليها مسبقًا.</v>
      </c>
      <c r="N2" s="110" t="str">
        <v>سجّل كل مصروف مرة واحدة. قسّمه بالتساوي بين المشاركين فيه فقط، أو أدخل المبالغ التي اتفقتم عليها مسبقًا.</v>
      </c>
      <c r="O2" s="110" t="str">
        <v>سجّل كل مصروف مرة واحدة. قسّمه بالتساوي بين المشاركين فيه فقط، أو أدخل المبالغ التي اتفقتم عليها مسبقًا.</v>
      </c>
      <c r="P2" s="110" t="str">
        <v>سجّل كل مصروف مرة واحدة. قسّمه بالتساوي بين المشاركين فيه فقط، أو أدخل المبالغ التي اتفقتم عليها مسبقًا.</v>
      </c>
      <c r="Q2" s="110" t="str">
        <v>سجّل كل مصروف مرة واحدة. قسّمه بالتساوي بين المشاركين فيه فقط، أو أدخل المبالغ التي اتفقتم عليها مسبقًا.</v>
      </c>
      <c r="R2" s="110" t="str">
        <v>سجّل كل مصروف مرة واحدة. قسّمه بالتساوي بين المشاركين فيه فقط، أو أدخل المبالغ التي اتفقتم عليها مسبقًا.</v>
      </c>
      <c r="S2" s="110" t="str">
        <v>سجّل كل مصروف مرة واحدة. قسّمه بالتساوي بين المشاركين فيه فقط، أو أدخل المبالغ التي اتفقتم عليها مسبقًا.</v>
      </c>
      <c r="T2" s="110" t="str">
        <v>سجّل كل مصروف مرة واحدة. قسّمه بالتساوي بين المشاركين فيه فقط، أو أدخل المبالغ التي اتفقتم عليها مسبقًا.</v>
      </c>
      <c r="U2" s="110" t="str">
        <v>سجّل كل مصروف مرة واحدة. قسّمه بالتساوي بين المشاركين فيه فقط، أو أدخل المبالغ التي اتفقتم عليها مسبقًا.</v>
      </c>
      <c r="V2" s="110" t="str">
        <v>سجّل كل مصروف مرة واحدة. قسّمه بالتساوي بين المشاركين فيه فقط، أو أدخل المبالغ التي اتفقتم عليها مسبقًا.</v>
      </c>
      <c r="W2" s="110" t="str">
        <v>سجّل كل مصروف مرة واحدة. قسّمه بالتساوي بين المشاركين فيه فقط، أو أدخل المبالغ التي اتفقتم عليها مسبقًا.</v>
      </c>
      <c r="X2" s="110" t="str">
        <v>سجّل كل مصروف مرة واحدة. قسّمه بالتساوي بين المشاركين فيه فقط، أو أدخل المبالغ التي اتفقتم عليها مسبقًا.</v>
      </c>
      <c r="Y2" s="110" t="str">
        <v>سجّل كل مصروف مرة واحدة. قسّمه بالتساوي بين المشاركين فيه فقط، أو أدخل المبالغ التي اتفقتم عليها مسبقًا.</v>
      </c>
      <c r="Z2" s="110" t="str">
        <v>سجّل كل مصروف مرة واحدة. قسّمه بالتساوي بين المشاركين فيه فقط، أو أدخل المبالغ التي اتفقتم عليها مسبقًا.</v>
      </c>
    </row>
    <row r="3">
      <c r="A3" s="144" t="str">
        <v>بيانات المصروف</v>
      </c>
      <c r="B3" s="144"/>
      <c r="C3" s="144"/>
      <c r="D3" s="144"/>
      <c r="E3" s="144"/>
      <c r="F3" s="144"/>
      <c r="G3" s="144" t="str">
        <v>مشارك؟</v>
      </c>
      <c r="H3" s="144"/>
      <c r="I3" s="144"/>
      <c r="J3" s="144"/>
      <c r="K3" s="144"/>
      <c r="L3" s="144"/>
      <c r="M3" s="144" t="str">
        <v>مبالغ متفق عليها</v>
      </c>
      <c r="N3" s="144"/>
      <c r="O3" s="144"/>
      <c r="P3" s="144"/>
      <c r="Q3" s="144"/>
      <c r="R3" s="144"/>
      <c r="S3" s="144" t="str">
        <v>ملاحظات</v>
      </c>
      <c r="T3" s="144" t="str">
        <v>الحصص المحسوبة</v>
      </c>
      <c r="U3" s="144"/>
      <c r="V3" s="144"/>
      <c r="W3" s="144"/>
      <c r="X3" s="144"/>
      <c r="Y3" s="144"/>
      <c r="Z3" s="144" t="str">
        <v>المراجعة</v>
      </c>
    </row>
    <row r="4" ht="34" customHeight="1">
      <c r="A4" s="134" t="str">
        <v>التاريخ</v>
      </c>
      <c r="B4" s="134" t="str">
        <v>المصروف</v>
      </c>
      <c r="C4" s="134" t="str">
        <v>التصنيف</v>
      </c>
      <c r="D4" s="134" t="str">
        <v>المبلغ</v>
      </c>
      <c r="E4" s="134" t="str">
        <v>مَن دفع؟</v>
      </c>
      <c r="F4" s="134" t="str">
        <v>طريقة التقسيم</v>
      </c>
      <c r="G4" s="163" t="str">
        <f>IF('الإعداد'!B9="","الشخص 1",'الإعداد'!B9)</f>
        <v>الشخص 1</v>
      </c>
      <c r="H4" s="163" t="str">
        <f>IF('الإعداد'!B10="","الشخص 2",'الإعداد'!B10)</f>
        <v>الشخص 2</v>
      </c>
      <c r="I4" s="163" t="str">
        <f>IF('الإعداد'!B11="","الشخص 3",'الإعداد'!B11)</f>
        <v>الشخص 3</v>
      </c>
      <c r="J4" s="163" t="str">
        <f>IF('الإعداد'!B12="","الشخص 4",'الإعداد'!B12)</f>
        <v>الشخص 4</v>
      </c>
      <c r="K4" s="163" t="str">
        <f>IF('الإعداد'!B13="","الشخص 5",'الإعداد'!B13)</f>
        <v>الشخص 5</v>
      </c>
      <c r="L4" s="163" t="str">
        <f>IF('الإعداد'!B14="","الشخص 6",'الإعداد'!B14)</f>
        <v>الشخص 6</v>
      </c>
      <c r="M4" s="163" t="str">
        <f>IF('الإعداد'!B9="","الشخص 1",'الإعداد'!B9)</f>
        <v>الشخص 1</v>
      </c>
      <c r="N4" s="163" t="str">
        <f>IF('الإعداد'!B10="","الشخص 2",'الإعداد'!B10)</f>
        <v>الشخص 2</v>
      </c>
      <c r="O4" s="163" t="str">
        <f>IF('الإعداد'!B11="","الشخص 3",'الإعداد'!B11)</f>
        <v>الشخص 3</v>
      </c>
      <c r="P4" s="163" t="str">
        <f>IF('الإعداد'!B12="","الشخص 4",'الإعداد'!B12)</f>
        <v>الشخص 4</v>
      </c>
      <c r="Q4" s="163" t="str">
        <f>IF('الإعداد'!B13="","الشخص 5",'الإعداد'!B13)</f>
        <v>الشخص 5</v>
      </c>
      <c r="R4" s="163" t="str">
        <f>IF('الإعداد'!B14="","الشخص 6",'الإعداد'!B14)</f>
        <v>الشخص 6</v>
      </c>
      <c r="S4" s="134" t="str">
        <v>ملاحظات</v>
      </c>
      <c r="T4" s="163" t="str">
        <f>IF('الإعداد'!B9="","الشخص 1",'الإعداد'!B9)</f>
        <v>الشخص 1</v>
      </c>
      <c r="U4" s="163" t="str">
        <f>IF('الإعداد'!B10="","الشخص 2",'الإعداد'!B10)</f>
        <v>الشخص 2</v>
      </c>
      <c r="V4" s="163" t="str">
        <f>IF('الإعداد'!B11="","الشخص 3",'الإعداد'!B11)</f>
        <v>الشخص 3</v>
      </c>
      <c r="W4" s="163" t="str">
        <f>IF('الإعداد'!B12="","الشخص 4",'الإعداد'!B12)</f>
        <v>الشخص 4</v>
      </c>
      <c r="X4" s="163" t="str">
        <f>IF('الإعداد'!B13="","الشخص 5",'الإعداد'!B13)</f>
        <v>الشخص 5</v>
      </c>
      <c r="Y4" s="163" t="str">
        <f>IF('الإعداد'!B14="","الشخص 6",'الإعداد'!B14)</f>
        <v>الشخص 6</v>
      </c>
      <c r="Z4" s="134" t="str">
        <v>مراجعة التقسيم</v>
      </c>
    </row>
    <row r="5">
      <c r="A5" s="145"/>
      <c r="B5" s="135"/>
      <c r="C5" s="135"/>
      <c r="D5" s="146"/>
      <c r="E5" s="135"/>
      <c r="F5" s="135"/>
      <c r="G5" s="135"/>
      <c r="H5" s="135"/>
      <c r="I5" s="135"/>
      <c r="J5" s="135"/>
      <c r="K5" s="135"/>
      <c r="L5" s="135"/>
      <c r="M5" s="146"/>
      <c r="N5" s="146"/>
      <c r="O5" s="146"/>
      <c r="P5" s="146"/>
      <c r="Q5" s="146"/>
      <c r="R5" s="146"/>
      <c r="S5" s="135"/>
      <c r="T5" s="147" t="str">
        <f>IF(COUNTIF($A5:$S5,"&lt;&gt;")=0,"",IF($F5="بالتساوي بين المشاركين",IF(G5&lt;&gt;"نعم",0,IF(COUNTIF($H5:$L5,"نعم")=0,$D5-0,ROUND($D5/COUNTIF($G5:$L5,"نعم"),2))),IF($F5="مبالغ متفق عليها",IF(G5="نعم",M5,0),"")))</f>
      </c>
      <c r="U5" s="147" t="str">
        <f>IF(COUNTIF($A5:$S5,"&lt;&gt;")=0,"",IF($F5="بالتساوي بين المشاركين",IF(H5&lt;&gt;"نعم",0,IF(COUNTIF($I5:$L5,"نعم")=0,$D5-SUM($T5:T5),ROUND($D5/COUNTIF($G5:$L5,"نعم"),2))),IF($F5="مبالغ متفق عليها",IF(H5="نعم",N5,0),"")))</f>
      </c>
      <c r="V5" s="147" t="str">
        <f>IF(COUNTIF($A5:$S5,"&lt;&gt;")=0,"",IF($F5="بالتساوي بين المشاركين",IF(I5&lt;&gt;"نعم",0,IF(COUNTIF($J5:$L5,"نعم")=0,$D5-SUM($T5:U5),ROUND($D5/COUNTIF($G5:$L5,"نعم"),2))),IF($F5="مبالغ متفق عليها",IF(I5="نعم",O5,0),"")))</f>
      </c>
      <c r="W5" s="147" t="str">
        <f>IF(COUNTIF($A5:$S5,"&lt;&gt;")=0,"",IF($F5="بالتساوي بين المشاركين",IF(J5&lt;&gt;"نعم",0,IF(COUNTIF($K5:$L5,"نعم")=0,$D5-SUM($T5:V5),ROUND($D5/COUNTIF($G5:$L5,"نعم"),2))),IF($F5="مبالغ متفق عليها",IF(J5="نعم",P5,0),"")))</f>
      </c>
      <c r="X5" s="147" t="str">
        <f>IF(COUNTIF($A5:$S5,"&lt;&gt;")=0,"",IF($F5="بالتساوي بين المشاركين",IF(K5&lt;&gt;"نعم",0,IF(COUNTIF($L5:$L5,"نعم")=0,$D5-SUM($T5:W5),ROUND($D5/COUNTIF($G5:$L5,"نعم"),2))),IF($F5="مبالغ متفق عليها",IF(K5="نعم",Q5,0),"")))</f>
      </c>
      <c r="Y5" s="147" t="str">
        <f>IF(COUNTIF($A5:$S5,"&lt;&gt;")=0,"",IF($F5="بالتساوي بين المشاركين",IF(L5&lt;&gt;"نعم",0,IF(0=0,$D5-SUM($T5:X5),ROUND($D5/COUNTIF($G5:$L5,"نعم"),2))),IF($F5="مبالغ متفق عليها",IF(L5="نعم",R5,0),"")))</f>
      </c>
      <c r="Z5" s="164" t="str">
        <f>IF(COUNTIF($A5:$S5,"&lt;&gt;")=0,"",IF(OR($D5="",$D5&lt;=0),"أدخل مبلغًا أكبر من صفر.",IF($E5="","اختر الشخص الذي دفع المبلغ.",IF(COUNTIF($G5:$L5,"نعم")=0,"حدد شخصًا واحدًا على الأقل للمشاركة في المصروف.",IF($F5="بالتساوي بين المشاركين","جاهز",IF($F5="مبالغ متفق عليها",IF(OR(AND(G5="نعم",M5=""),AND(H5="نعم",N5=""),AND(I5="نعم",O5=""),AND(J5="نعم",P5=""),AND(K5="نعم",Q5=""),AND(L5="نعم",R5="")),"أدخل المبالغ المتفق عليها بحيث يساوي مجموعها مبلغ المصروف.",IF(ABS(SUM($M5:$R5))&lt;0.005,"أدخل المبالغ المتفق عليها بحيث يساوي مجموعها مبلغ المصروف.",IF(SUM($M5:$R5)&lt;$D5-0.005,"يتبقى للتوزيع: "&amp;ROUND($D5-SUM($M5:$R5),2)&amp;".",IF(SUM($M5:$R5)&gt;$D5+0.005,"يزيد مجموع الحصص على المصروف بمقدار "&amp;ROUND(SUM($M5:$R5)-$D5,2)&amp;".","جاهز")))),"أدخل المبالغ المتفق عليها بحيث يساوي مجموعها مبلغ المصروف."))))))</f>
      </c>
    </row>
    <row r="6">
      <c r="A6" s="149"/>
      <c r="B6" s="138"/>
      <c r="C6" s="138"/>
      <c r="D6" s="150"/>
      <c r="E6" s="138"/>
      <c r="F6" s="138"/>
      <c r="G6" s="138"/>
      <c r="H6" s="138"/>
      <c r="I6" s="138"/>
      <c r="J6" s="138"/>
      <c r="K6" s="138"/>
      <c r="L6" s="138"/>
      <c r="M6" s="150"/>
      <c r="N6" s="150"/>
      <c r="O6" s="150"/>
      <c r="P6" s="150"/>
      <c r="Q6" s="150"/>
      <c r="R6" s="150"/>
      <c r="S6" s="138"/>
      <c r="T6" s="151" t="str">
        <f>IF(COUNTIF($A6:$S6,"&lt;&gt;")=0,"",IF($F6="بالتساوي بين المشاركين",IF(G6&lt;&gt;"نعم",0,IF(COUNTIF($H6:$L6,"نعم")=0,$D6-0,ROUND($D6/COUNTIF($G6:$L6,"نعم"),2))),IF($F6="مبالغ متفق عليها",IF(G6="نعم",M6,0),"")))</f>
      </c>
      <c r="U6" s="151" t="str">
        <f>IF(COUNTIF($A6:$S6,"&lt;&gt;")=0,"",IF($F6="بالتساوي بين المشاركين",IF(H6&lt;&gt;"نعم",0,IF(COUNTIF($I6:$L6,"نعم")=0,$D6-SUM($T6:T6),ROUND($D6/COUNTIF($G6:$L6,"نعم"),2))),IF($F6="مبالغ متفق عليها",IF(H6="نعم",N6,0),"")))</f>
      </c>
      <c r="V6" s="151" t="str">
        <f>IF(COUNTIF($A6:$S6,"&lt;&gt;")=0,"",IF($F6="بالتساوي بين المشاركين",IF(I6&lt;&gt;"نعم",0,IF(COUNTIF($J6:$L6,"نعم")=0,$D6-SUM($T6:U6),ROUND($D6/COUNTIF($G6:$L6,"نعم"),2))),IF($F6="مبالغ متفق عليها",IF(I6="نعم",O6,0),"")))</f>
      </c>
      <c r="W6" s="151" t="str">
        <f>IF(COUNTIF($A6:$S6,"&lt;&gt;")=0,"",IF($F6="بالتساوي بين المشاركين",IF(J6&lt;&gt;"نعم",0,IF(COUNTIF($K6:$L6,"نعم")=0,$D6-SUM($T6:V6),ROUND($D6/COUNTIF($G6:$L6,"نعم"),2))),IF($F6="مبالغ متفق عليها",IF(J6="نعم",P6,0),"")))</f>
      </c>
      <c r="X6" s="151" t="str">
        <f>IF(COUNTIF($A6:$S6,"&lt;&gt;")=0,"",IF($F6="بالتساوي بين المشاركين",IF(K6&lt;&gt;"نعم",0,IF(COUNTIF($L6:$L6,"نعم")=0,$D6-SUM($T6:W6),ROUND($D6/COUNTIF($G6:$L6,"نعم"),2))),IF($F6="مبالغ متفق عليها",IF(K6="نعم",Q6,0),"")))</f>
      </c>
      <c r="Y6" s="151" t="str">
        <f>IF(COUNTIF($A6:$S6,"&lt;&gt;")=0,"",IF($F6="بالتساوي بين المشاركين",IF(L6&lt;&gt;"نعم",0,IF(0=0,$D6-SUM($T6:X6),ROUND($D6/COUNTIF($G6:$L6,"نعم"),2))),IF($F6="مبالغ متفق عليها",IF(L6="نعم",R6,0),"")))</f>
      </c>
      <c r="Z6" s="165" t="str">
        <f>IF(COUNTIF($A6:$S6,"&lt;&gt;")=0,"",IF(OR($D6="",$D6&lt;=0),"أدخل مبلغًا أكبر من صفر.",IF($E6="","اختر الشخص الذي دفع المبلغ.",IF(COUNTIF($G6:$L6,"نعم")=0,"حدد شخصًا واحدًا على الأقل للمشاركة في المصروف.",IF($F6="بالتساوي بين المشاركين","جاهز",IF($F6="مبالغ متفق عليها",IF(OR(AND(G6="نعم",M6=""),AND(H6="نعم",N6=""),AND(I6="نعم",O6=""),AND(J6="نعم",P6=""),AND(K6="نعم",Q6=""),AND(L6="نعم",R6="")),"أدخل المبالغ المتفق عليها بحيث يساوي مجموعها مبلغ المصروف.",IF(ABS(SUM($M6:$R6))&lt;0.005,"أدخل المبالغ المتفق عليها بحيث يساوي مجموعها مبلغ المصروف.",IF(SUM($M6:$R6)&lt;$D6-0.005,"يتبقى للتوزيع: "&amp;ROUND($D6-SUM($M6:$R6),2)&amp;".",IF(SUM($M6:$R6)&gt;$D6+0.005,"يزيد مجموع الحصص على المصروف بمقدار "&amp;ROUND(SUM($M6:$R6)-$D6,2)&amp;".","جاهز")))),"أدخل المبالغ المتفق عليها بحيث يساوي مجموعها مبلغ المصروف."))))))</f>
      </c>
    </row>
    <row r="7">
      <c r="A7" s="149"/>
      <c r="B7" s="138"/>
      <c r="C7" s="138"/>
      <c r="D7" s="150"/>
      <c r="E7" s="138"/>
      <c r="F7" s="138"/>
      <c r="G7" s="138"/>
      <c r="H7" s="138"/>
      <c r="I7" s="138"/>
      <c r="J7" s="138"/>
      <c r="K7" s="138"/>
      <c r="L7" s="138"/>
      <c r="M7" s="150"/>
      <c r="N7" s="150"/>
      <c r="O7" s="150"/>
      <c r="P7" s="150"/>
      <c r="Q7" s="150"/>
      <c r="R7" s="150"/>
      <c r="S7" s="138"/>
      <c r="T7" s="151" t="str">
        <f>IF(COUNTIF($A7:$S7,"&lt;&gt;")=0,"",IF($F7="بالتساوي بين المشاركين",IF(G7&lt;&gt;"نعم",0,IF(COUNTIF($H7:$L7,"نعم")=0,$D7-0,ROUND($D7/COUNTIF($G7:$L7,"نعم"),2))),IF($F7="مبالغ متفق عليها",IF(G7="نعم",M7,0),"")))</f>
      </c>
      <c r="U7" s="151" t="str">
        <f>IF(COUNTIF($A7:$S7,"&lt;&gt;")=0,"",IF($F7="بالتساوي بين المشاركين",IF(H7&lt;&gt;"نعم",0,IF(COUNTIF($I7:$L7,"نعم")=0,$D7-SUM($T7:T7),ROUND($D7/COUNTIF($G7:$L7,"نعم"),2))),IF($F7="مبالغ متفق عليها",IF(H7="نعم",N7,0),"")))</f>
      </c>
      <c r="V7" s="151" t="str">
        <f>IF(COUNTIF($A7:$S7,"&lt;&gt;")=0,"",IF($F7="بالتساوي بين المشاركين",IF(I7&lt;&gt;"نعم",0,IF(COUNTIF($J7:$L7,"نعم")=0,$D7-SUM($T7:U7),ROUND($D7/COUNTIF($G7:$L7,"نعم"),2))),IF($F7="مبالغ متفق عليها",IF(I7="نعم",O7,0),"")))</f>
      </c>
      <c r="W7" s="151" t="str">
        <f>IF(COUNTIF($A7:$S7,"&lt;&gt;")=0,"",IF($F7="بالتساوي بين المشاركين",IF(J7&lt;&gt;"نعم",0,IF(COUNTIF($K7:$L7,"نعم")=0,$D7-SUM($T7:V7),ROUND($D7/COUNTIF($G7:$L7,"نعم"),2))),IF($F7="مبالغ متفق عليها",IF(J7="نعم",P7,0),"")))</f>
      </c>
      <c r="X7" s="151" t="str">
        <f>IF(COUNTIF($A7:$S7,"&lt;&gt;")=0,"",IF($F7="بالتساوي بين المشاركين",IF(K7&lt;&gt;"نعم",0,IF(COUNTIF($L7:$L7,"نعم")=0,$D7-SUM($T7:W7),ROUND($D7/COUNTIF($G7:$L7,"نعم"),2))),IF($F7="مبالغ متفق عليها",IF(K7="نعم",Q7,0),"")))</f>
      </c>
      <c r="Y7" s="151" t="str">
        <f>IF(COUNTIF($A7:$S7,"&lt;&gt;")=0,"",IF($F7="بالتساوي بين المشاركين",IF(L7&lt;&gt;"نعم",0,IF(0=0,$D7-SUM($T7:X7),ROUND($D7/COUNTIF($G7:$L7,"نعم"),2))),IF($F7="مبالغ متفق عليها",IF(L7="نعم",R7,0),"")))</f>
      </c>
      <c r="Z7" s="165" t="str">
        <f>IF(COUNTIF($A7:$S7,"&lt;&gt;")=0,"",IF(OR($D7="",$D7&lt;=0),"أدخل مبلغًا أكبر من صفر.",IF($E7="","اختر الشخص الذي دفع المبلغ.",IF(COUNTIF($G7:$L7,"نعم")=0,"حدد شخصًا واحدًا على الأقل للمشاركة في المصروف.",IF($F7="بالتساوي بين المشاركين","جاهز",IF($F7="مبالغ متفق عليها",IF(OR(AND(G7="نعم",M7=""),AND(H7="نعم",N7=""),AND(I7="نعم",O7=""),AND(J7="نعم",P7=""),AND(K7="نعم",Q7=""),AND(L7="نعم",R7="")),"أدخل المبالغ المتفق عليها بحيث يساوي مجموعها مبلغ المصروف.",IF(ABS(SUM($M7:$R7))&lt;0.005,"أدخل المبالغ المتفق عليها بحيث يساوي مجموعها مبلغ المصروف.",IF(SUM($M7:$R7)&lt;$D7-0.005,"يتبقى للتوزيع: "&amp;ROUND($D7-SUM($M7:$R7),2)&amp;".",IF(SUM($M7:$R7)&gt;$D7+0.005,"يزيد مجموع الحصص على المصروف بمقدار "&amp;ROUND(SUM($M7:$R7)-$D7,2)&amp;".","جاهز")))),"أدخل المبالغ المتفق عليها بحيث يساوي مجموعها مبلغ المصروف."))))))</f>
      </c>
    </row>
    <row r="8">
      <c r="A8" s="149"/>
      <c r="B8" s="138"/>
      <c r="C8" s="138"/>
      <c r="D8" s="150"/>
      <c r="E8" s="138"/>
      <c r="F8" s="138"/>
      <c r="G8" s="138"/>
      <c r="H8" s="138"/>
      <c r="I8" s="138"/>
      <c r="J8" s="138"/>
      <c r="K8" s="138"/>
      <c r="L8" s="138"/>
      <c r="M8" s="150"/>
      <c r="N8" s="150"/>
      <c r="O8" s="150"/>
      <c r="P8" s="150"/>
      <c r="Q8" s="150"/>
      <c r="R8" s="150"/>
      <c r="S8" s="138"/>
      <c r="T8" s="151" t="str">
        <f>IF(COUNTIF($A8:$S8,"&lt;&gt;")=0,"",IF($F8="بالتساوي بين المشاركين",IF(G8&lt;&gt;"نعم",0,IF(COUNTIF($H8:$L8,"نعم")=0,$D8-0,ROUND($D8/COUNTIF($G8:$L8,"نعم"),2))),IF($F8="مبالغ متفق عليها",IF(G8="نعم",M8,0),"")))</f>
      </c>
      <c r="U8" s="151" t="str">
        <f>IF(COUNTIF($A8:$S8,"&lt;&gt;")=0,"",IF($F8="بالتساوي بين المشاركين",IF(H8&lt;&gt;"نعم",0,IF(COUNTIF($I8:$L8,"نعم")=0,$D8-SUM($T8:T8),ROUND($D8/COUNTIF($G8:$L8,"نعم"),2))),IF($F8="مبالغ متفق عليها",IF(H8="نعم",N8,0),"")))</f>
      </c>
      <c r="V8" s="151" t="str">
        <f>IF(COUNTIF($A8:$S8,"&lt;&gt;")=0,"",IF($F8="بالتساوي بين المشاركين",IF(I8&lt;&gt;"نعم",0,IF(COUNTIF($J8:$L8,"نعم")=0,$D8-SUM($T8:U8),ROUND($D8/COUNTIF($G8:$L8,"نعم"),2))),IF($F8="مبالغ متفق عليها",IF(I8="نعم",O8,0),"")))</f>
      </c>
      <c r="W8" s="151" t="str">
        <f>IF(COUNTIF($A8:$S8,"&lt;&gt;")=0,"",IF($F8="بالتساوي بين المشاركين",IF(J8&lt;&gt;"نعم",0,IF(COUNTIF($K8:$L8,"نعم")=0,$D8-SUM($T8:V8),ROUND($D8/COUNTIF($G8:$L8,"نعم"),2))),IF($F8="مبالغ متفق عليها",IF(J8="نعم",P8,0),"")))</f>
      </c>
      <c r="X8" s="151" t="str">
        <f>IF(COUNTIF($A8:$S8,"&lt;&gt;")=0,"",IF($F8="بالتساوي بين المشاركين",IF(K8&lt;&gt;"نعم",0,IF(COUNTIF($L8:$L8,"نعم")=0,$D8-SUM($T8:W8),ROUND($D8/COUNTIF($G8:$L8,"نعم"),2))),IF($F8="مبالغ متفق عليها",IF(K8="نعم",Q8,0),"")))</f>
      </c>
      <c r="Y8" s="151" t="str">
        <f>IF(COUNTIF($A8:$S8,"&lt;&gt;")=0,"",IF($F8="بالتساوي بين المشاركين",IF(L8&lt;&gt;"نعم",0,IF(0=0,$D8-SUM($T8:X8),ROUND($D8/COUNTIF($G8:$L8,"نعم"),2))),IF($F8="مبالغ متفق عليها",IF(L8="نعم",R8,0),"")))</f>
      </c>
      <c r="Z8" s="165" t="str">
        <f>IF(COUNTIF($A8:$S8,"&lt;&gt;")=0,"",IF(OR($D8="",$D8&lt;=0),"أدخل مبلغًا أكبر من صفر.",IF($E8="","اختر الشخص الذي دفع المبلغ.",IF(COUNTIF($G8:$L8,"نعم")=0,"حدد شخصًا واحدًا على الأقل للمشاركة في المصروف.",IF($F8="بالتساوي بين المشاركين","جاهز",IF($F8="مبالغ متفق عليها",IF(OR(AND(G8="نعم",M8=""),AND(H8="نعم",N8=""),AND(I8="نعم",O8=""),AND(J8="نعم",P8=""),AND(K8="نعم",Q8=""),AND(L8="نعم",R8="")),"أدخل المبالغ المتفق عليها بحيث يساوي مجموعها مبلغ المصروف.",IF(ABS(SUM($M8:$R8))&lt;0.005,"أدخل المبالغ المتفق عليها بحيث يساوي مجموعها مبلغ المصروف.",IF(SUM($M8:$R8)&lt;$D8-0.005,"يتبقى للتوزيع: "&amp;ROUND($D8-SUM($M8:$R8),2)&amp;".",IF(SUM($M8:$R8)&gt;$D8+0.005,"يزيد مجموع الحصص على المصروف بمقدار "&amp;ROUND(SUM($M8:$R8)-$D8,2)&amp;".","جاهز")))),"أدخل المبالغ المتفق عليها بحيث يساوي مجموعها مبلغ المصروف."))))))</f>
      </c>
    </row>
    <row r="9">
      <c r="A9" s="149"/>
      <c r="B9" s="138"/>
      <c r="C9" s="138"/>
      <c r="D9" s="150"/>
      <c r="E9" s="138"/>
      <c r="F9" s="138"/>
      <c r="G9" s="138"/>
      <c r="H9" s="138"/>
      <c r="I9" s="138"/>
      <c r="J9" s="138"/>
      <c r="K9" s="138"/>
      <c r="L9" s="138"/>
      <c r="M9" s="150"/>
      <c r="N9" s="150"/>
      <c r="O9" s="150"/>
      <c r="P9" s="150"/>
      <c r="Q9" s="150"/>
      <c r="R9" s="150"/>
      <c r="S9" s="138"/>
      <c r="T9" s="151" t="str">
        <f>IF(COUNTIF($A9:$S9,"&lt;&gt;")=0,"",IF($F9="بالتساوي بين المشاركين",IF(G9&lt;&gt;"نعم",0,IF(COUNTIF($H9:$L9,"نعم")=0,$D9-0,ROUND($D9/COUNTIF($G9:$L9,"نعم"),2))),IF($F9="مبالغ متفق عليها",IF(G9="نعم",M9,0),"")))</f>
      </c>
      <c r="U9" s="151" t="str">
        <f>IF(COUNTIF($A9:$S9,"&lt;&gt;")=0,"",IF($F9="بالتساوي بين المشاركين",IF(H9&lt;&gt;"نعم",0,IF(COUNTIF($I9:$L9,"نعم")=0,$D9-SUM($T9:T9),ROUND($D9/COUNTIF($G9:$L9,"نعم"),2))),IF($F9="مبالغ متفق عليها",IF(H9="نعم",N9,0),"")))</f>
      </c>
      <c r="V9" s="151" t="str">
        <f>IF(COUNTIF($A9:$S9,"&lt;&gt;")=0,"",IF($F9="بالتساوي بين المشاركين",IF(I9&lt;&gt;"نعم",0,IF(COUNTIF($J9:$L9,"نعم")=0,$D9-SUM($T9:U9),ROUND($D9/COUNTIF($G9:$L9,"نعم"),2))),IF($F9="مبالغ متفق عليها",IF(I9="نعم",O9,0),"")))</f>
      </c>
      <c r="W9" s="151" t="str">
        <f>IF(COUNTIF($A9:$S9,"&lt;&gt;")=0,"",IF($F9="بالتساوي بين المشاركين",IF(J9&lt;&gt;"نعم",0,IF(COUNTIF($K9:$L9,"نعم")=0,$D9-SUM($T9:V9),ROUND($D9/COUNTIF($G9:$L9,"نعم"),2))),IF($F9="مبالغ متفق عليها",IF(J9="نعم",P9,0),"")))</f>
      </c>
      <c r="X9" s="151" t="str">
        <f>IF(COUNTIF($A9:$S9,"&lt;&gt;")=0,"",IF($F9="بالتساوي بين المشاركين",IF(K9&lt;&gt;"نعم",0,IF(COUNTIF($L9:$L9,"نعم")=0,$D9-SUM($T9:W9),ROUND($D9/COUNTIF($G9:$L9,"نعم"),2))),IF($F9="مبالغ متفق عليها",IF(K9="نعم",Q9,0),"")))</f>
      </c>
      <c r="Y9" s="151" t="str">
        <f>IF(COUNTIF($A9:$S9,"&lt;&gt;")=0,"",IF($F9="بالتساوي بين المشاركين",IF(L9&lt;&gt;"نعم",0,IF(0=0,$D9-SUM($T9:X9),ROUND($D9/COUNTIF($G9:$L9,"نعم"),2))),IF($F9="مبالغ متفق عليها",IF(L9="نعم",R9,0),"")))</f>
      </c>
      <c r="Z9" s="165" t="str">
        <f>IF(COUNTIF($A9:$S9,"&lt;&gt;")=0,"",IF(OR($D9="",$D9&lt;=0),"أدخل مبلغًا أكبر من صفر.",IF($E9="","اختر الشخص الذي دفع المبلغ.",IF(COUNTIF($G9:$L9,"نعم")=0,"حدد شخصًا واحدًا على الأقل للمشاركة في المصروف.",IF($F9="بالتساوي بين المشاركين","جاهز",IF($F9="مبالغ متفق عليها",IF(OR(AND(G9="نعم",M9=""),AND(H9="نعم",N9=""),AND(I9="نعم",O9=""),AND(J9="نعم",P9=""),AND(K9="نعم",Q9=""),AND(L9="نعم",R9="")),"أدخل المبالغ المتفق عليها بحيث يساوي مجموعها مبلغ المصروف.",IF(ABS(SUM($M9:$R9))&lt;0.005,"أدخل المبالغ المتفق عليها بحيث يساوي مجموعها مبلغ المصروف.",IF(SUM($M9:$R9)&lt;$D9-0.005,"يتبقى للتوزيع: "&amp;ROUND($D9-SUM($M9:$R9),2)&amp;".",IF(SUM($M9:$R9)&gt;$D9+0.005,"يزيد مجموع الحصص على المصروف بمقدار "&amp;ROUND(SUM($M9:$R9)-$D9,2)&amp;".","جاهز")))),"أدخل المبالغ المتفق عليها بحيث يساوي مجموعها مبلغ المصروف."))))))</f>
      </c>
    </row>
    <row r="10">
      <c r="A10" s="149"/>
      <c r="B10" s="138"/>
      <c r="C10" s="138"/>
      <c r="D10" s="150"/>
      <c r="E10" s="138"/>
      <c r="F10" s="138"/>
      <c r="G10" s="138"/>
      <c r="H10" s="138"/>
      <c r="I10" s="138"/>
      <c r="J10" s="138"/>
      <c r="K10" s="138"/>
      <c r="L10" s="138"/>
      <c r="M10" s="150"/>
      <c r="N10" s="150"/>
      <c r="O10" s="150"/>
      <c r="P10" s="150"/>
      <c r="Q10" s="150"/>
      <c r="R10" s="150"/>
      <c r="S10" s="138"/>
      <c r="T10" s="151" t="str">
        <f>IF(COUNTIF($A10:$S10,"&lt;&gt;")=0,"",IF($F10="بالتساوي بين المشاركين",IF(G10&lt;&gt;"نعم",0,IF(COUNTIF($H10:$L10,"نعم")=0,$D10-0,ROUND($D10/COUNTIF($G10:$L10,"نعم"),2))),IF($F10="مبالغ متفق عليها",IF(G10="نعم",M10,0),"")))</f>
      </c>
      <c r="U10" s="151" t="str">
        <f>IF(COUNTIF($A10:$S10,"&lt;&gt;")=0,"",IF($F10="بالتساوي بين المشاركين",IF(H10&lt;&gt;"نعم",0,IF(COUNTIF($I10:$L10,"نعم")=0,$D10-SUM($T10:T10),ROUND($D10/COUNTIF($G10:$L10,"نعم"),2))),IF($F10="مبالغ متفق عليها",IF(H10="نعم",N10,0),"")))</f>
      </c>
      <c r="V10" s="151" t="str">
        <f>IF(COUNTIF($A10:$S10,"&lt;&gt;")=0,"",IF($F10="بالتساوي بين المشاركين",IF(I10&lt;&gt;"نعم",0,IF(COUNTIF($J10:$L10,"نعم")=0,$D10-SUM($T10:U10),ROUND($D10/COUNTIF($G10:$L10,"نعم"),2))),IF($F10="مبالغ متفق عليها",IF(I10="نعم",O10,0),"")))</f>
      </c>
      <c r="W10" s="151" t="str">
        <f>IF(COUNTIF($A10:$S10,"&lt;&gt;")=0,"",IF($F10="بالتساوي بين المشاركين",IF(J10&lt;&gt;"نعم",0,IF(COUNTIF($K10:$L10,"نعم")=0,$D10-SUM($T10:V10),ROUND($D10/COUNTIF($G10:$L10,"نعم"),2))),IF($F10="مبالغ متفق عليها",IF(J10="نعم",P10,0),"")))</f>
      </c>
      <c r="X10" s="151" t="str">
        <f>IF(COUNTIF($A10:$S10,"&lt;&gt;")=0,"",IF($F10="بالتساوي بين المشاركين",IF(K10&lt;&gt;"نعم",0,IF(COUNTIF($L10:$L10,"نعم")=0,$D10-SUM($T10:W10),ROUND($D10/COUNTIF($G10:$L10,"نعم"),2))),IF($F10="مبالغ متفق عليها",IF(K10="نعم",Q10,0),"")))</f>
      </c>
      <c r="Y10" s="151" t="str">
        <f>IF(COUNTIF($A10:$S10,"&lt;&gt;")=0,"",IF($F10="بالتساوي بين المشاركين",IF(L10&lt;&gt;"نعم",0,IF(0=0,$D10-SUM($T10:X10),ROUND($D10/COUNTIF($G10:$L10,"نعم"),2))),IF($F10="مبالغ متفق عليها",IF(L10="نعم",R10,0),"")))</f>
      </c>
      <c r="Z10" s="165" t="str">
        <f>IF(COUNTIF($A10:$S10,"&lt;&gt;")=0,"",IF(OR($D10="",$D10&lt;=0),"أدخل مبلغًا أكبر من صفر.",IF($E10="","اختر الشخص الذي دفع المبلغ.",IF(COUNTIF($G10:$L10,"نعم")=0,"حدد شخصًا واحدًا على الأقل للمشاركة في المصروف.",IF($F10="بالتساوي بين المشاركين","جاهز",IF($F10="مبالغ متفق عليها",IF(OR(AND(G10="نعم",M10=""),AND(H10="نعم",N10=""),AND(I10="نعم",O10=""),AND(J10="نعم",P10=""),AND(K10="نعم",Q10=""),AND(L10="نعم",R10="")),"أدخل المبالغ المتفق عليها بحيث يساوي مجموعها مبلغ المصروف.",IF(ABS(SUM($M10:$R10))&lt;0.005,"أدخل المبالغ المتفق عليها بحيث يساوي مجموعها مبلغ المصروف.",IF(SUM($M10:$R10)&lt;$D10-0.005,"يتبقى للتوزيع: "&amp;ROUND($D10-SUM($M10:$R10),2)&amp;".",IF(SUM($M10:$R10)&gt;$D10+0.005,"يزيد مجموع الحصص على المصروف بمقدار "&amp;ROUND(SUM($M10:$R10)-$D10,2)&amp;".","جاهز")))),"أدخل المبالغ المتفق عليها بحيث يساوي مجموعها مبلغ المصروف."))))))</f>
      </c>
    </row>
    <row r="11">
      <c r="A11" s="149"/>
      <c r="B11" s="138"/>
      <c r="C11" s="138"/>
      <c r="D11" s="150"/>
      <c r="E11" s="138"/>
      <c r="F11" s="138"/>
      <c r="G11" s="138"/>
      <c r="H11" s="138"/>
      <c r="I11" s="138"/>
      <c r="J11" s="138"/>
      <c r="K11" s="138"/>
      <c r="L11" s="138"/>
      <c r="M11" s="150"/>
      <c r="N11" s="150"/>
      <c r="O11" s="150"/>
      <c r="P11" s="150"/>
      <c r="Q11" s="150"/>
      <c r="R11" s="150"/>
      <c r="S11" s="138"/>
      <c r="T11" s="151" t="str">
        <f>IF(COUNTIF($A11:$S11,"&lt;&gt;")=0,"",IF($F11="بالتساوي بين المشاركين",IF(G11&lt;&gt;"نعم",0,IF(COUNTIF($H11:$L11,"نعم")=0,$D11-0,ROUND($D11/COUNTIF($G11:$L11,"نعم"),2))),IF($F11="مبالغ متفق عليها",IF(G11="نعم",M11,0),"")))</f>
      </c>
      <c r="U11" s="151" t="str">
        <f>IF(COUNTIF($A11:$S11,"&lt;&gt;")=0,"",IF($F11="بالتساوي بين المشاركين",IF(H11&lt;&gt;"نعم",0,IF(COUNTIF($I11:$L11,"نعم")=0,$D11-SUM($T11:T11),ROUND($D11/COUNTIF($G11:$L11,"نعم"),2))),IF($F11="مبالغ متفق عليها",IF(H11="نعم",N11,0),"")))</f>
      </c>
      <c r="V11" s="151" t="str">
        <f>IF(COUNTIF($A11:$S11,"&lt;&gt;")=0,"",IF($F11="بالتساوي بين المشاركين",IF(I11&lt;&gt;"نعم",0,IF(COUNTIF($J11:$L11,"نعم")=0,$D11-SUM($T11:U11),ROUND($D11/COUNTIF($G11:$L11,"نعم"),2))),IF($F11="مبالغ متفق عليها",IF(I11="نعم",O11,0),"")))</f>
      </c>
      <c r="W11" s="151" t="str">
        <f>IF(COUNTIF($A11:$S11,"&lt;&gt;")=0,"",IF($F11="بالتساوي بين المشاركين",IF(J11&lt;&gt;"نعم",0,IF(COUNTIF($K11:$L11,"نعم")=0,$D11-SUM($T11:V11),ROUND($D11/COUNTIF($G11:$L11,"نعم"),2))),IF($F11="مبالغ متفق عليها",IF(J11="نعم",P11,0),"")))</f>
      </c>
      <c r="X11" s="151" t="str">
        <f>IF(COUNTIF($A11:$S11,"&lt;&gt;")=0,"",IF($F11="بالتساوي بين المشاركين",IF(K11&lt;&gt;"نعم",0,IF(COUNTIF($L11:$L11,"نعم")=0,$D11-SUM($T11:W11),ROUND($D11/COUNTIF($G11:$L11,"نعم"),2))),IF($F11="مبالغ متفق عليها",IF(K11="نعم",Q11,0),"")))</f>
      </c>
      <c r="Y11" s="151" t="str">
        <f>IF(COUNTIF($A11:$S11,"&lt;&gt;")=0,"",IF($F11="بالتساوي بين المشاركين",IF(L11&lt;&gt;"نعم",0,IF(0=0,$D11-SUM($T11:X11),ROUND($D11/COUNTIF($G11:$L11,"نعم"),2))),IF($F11="مبالغ متفق عليها",IF(L11="نعم",R11,0),"")))</f>
      </c>
      <c r="Z11" s="165" t="str">
        <f>IF(COUNTIF($A11:$S11,"&lt;&gt;")=0,"",IF(OR($D11="",$D11&lt;=0),"أدخل مبلغًا أكبر من صفر.",IF($E11="","اختر الشخص الذي دفع المبلغ.",IF(COUNTIF($G11:$L11,"نعم")=0,"حدد شخصًا واحدًا على الأقل للمشاركة في المصروف.",IF($F11="بالتساوي بين المشاركين","جاهز",IF($F11="مبالغ متفق عليها",IF(OR(AND(G11="نعم",M11=""),AND(H11="نعم",N11=""),AND(I11="نعم",O11=""),AND(J11="نعم",P11=""),AND(K11="نعم",Q11=""),AND(L11="نعم",R11="")),"أدخل المبالغ المتفق عليها بحيث يساوي مجموعها مبلغ المصروف.",IF(ABS(SUM($M11:$R11))&lt;0.005,"أدخل المبالغ المتفق عليها بحيث يساوي مجموعها مبلغ المصروف.",IF(SUM($M11:$R11)&lt;$D11-0.005,"يتبقى للتوزيع: "&amp;ROUND($D11-SUM($M11:$R11),2)&amp;".",IF(SUM($M11:$R11)&gt;$D11+0.005,"يزيد مجموع الحصص على المصروف بمقدار "&amp;ROUND(SUM($M11:$R11)-$D11,2)&amp;".","جاهز")))),"أدخل المبالغ المتفق عليها بحيث يساوي مجموعها مبلغ المصروف."))))))</f>
      </c>
    </row>
    <row r="12">
      <c r="A12" s="149"/>
      <c r="B12" s="138"/>
      <c r="C12" s="138"/>
      <c r="D12" s="150"/>
      <c r="E12" s="138"/>
      <c r="F12" s="138"/>
      <c r="G12" s="138"/>
      <c r="H12" s="138"/>
      <c r="I12" s="138"/>
      <c r="J12" s="138"/>
      <c r="K12" s="138"/>
      <c r="L12" s="138"/>
      <c r="M12" s="150"/>
      <c r="N12" s="150"/>
      <c r="O12" s="150"/>
      <c r="P12" s="150"/>
      <c r="Q12" s="150"/>
      <c r="R12" s="150"/>
      <c r="S12" s="138"/>
      <c r="T12" s="151" t="str">
        <f>IF(COUNTIF($A12:$S12,"&lt;&gt;")=0,"",IF($F12="بالتساوي بين المشاركين",IF(G12&lt;&gt;"نعم",0,IF(COUNTIF($H12:$L12,"نعم")=0,$D12-0,ROUND($D12/COUNTIF($G12:$L12,"نعم"),2))),IF($F12="مبالغ متفق عليها",IF(G12="نعم",M12,0),"")))</f>
      </c>
      <c r="U12" s="151" t="str">
        <f>IF(COUNTIF($A12:$S12,"&lt;&gt;")=0,"",IF($F12="بالتساوي بين المشاركين",IF(H12&lt;&gt;"نعم",0,IF(COUNTIF($I12:$L12,"نعم")=0,$D12-SUM($T12:T12),ROUND($D12/COUNTIF($G12:$L12,"نعم"),2))),IF($F12="مبالغ متفق عليها",IF(H12="نعم",N12,0),"")))</f>
      </c>
      <c r="V12" s="151" t="str">
        <f>IF(COUNTIF($A12:$S12,"&lt;&gt;")=0,"",IF($F12="بالتساوي بين المشاركين",IF(I12&lt;&gt;"نعم",0,IF(COUNTIF($J12:$L12,"نعم")=0,$D12-SUM($T12:U12),ROUND($D12/COUNTIF($G12:$L12,"نعم"),2))),IF($F12="مبالغ متفق عليها",IF(I12="نعم",O12,0),"")))</f>
      </c>
      <c r="W12" s="151" t="str">
        <f>IF(COUNTIF($A12:$S12,"&lt;&gt;")=0,"",IF($F12="بالتساوي بين المشاركين",IF(J12&lt;&gt;"نعم",0,IF(COUNTIF($K12:$L12,"نعم")=0,$D12-SUM($T12:V12),ROUND($D12/COUNTIF($G12:$L12,"نعم"),2))),IF($F12="مبالغ متفق عليها",IF(J12="نعم",P12,0),"")))</f>
      </c>
      <c r="X12" s="151" t="str">
        <f>IF(COUNTIF($A12:$S12,"&lt;&gt;")=0,"",IF($F12="بالتساوي بين المشاركين",IF(K12&lt;&gt;"نعم",0,IF(COUNTIF($L12:$L12,"نعم")=0,$D12-SUM($T12:W12),ROUND($D12/COUNTIF($G12:$L12,"نعم"),2))),IF($F12="مبالغ متفق عليها",IF(K12="نعم",Q12,0),"")))</f>
      </c>
      <c r="Y12" s="151" t="str">
        <f>IF(COUNTIF($A12:$S12,"&lt;&gt;")=0,"",IF($F12="بالتساوي بين المشاركين",IF(L12&lt;&gt;"نعم",0,IF(0=0,$D12-SUM($T12:X12),ROUND($D12/COUNTIF($G12:$L12,"نعم"),2))),IF($F12="مبالغ متفق عليها",IF(L12="نعم",R12,0),"")))</f>
      </c>
      <c r="Z12" s="165" t="str">
        <f>IF(COUNTIF($A12:$S12,"&lt;&gt;")=0,"",IF(OR($D12="",$D12&lt;=0),"أدخل مبلغًا أكبر من صفر.",IF($E12="","اختر الشخص الذي دفع المبلغ.",IF(COUNTIF($G12:$L12,"نعم")=0,"حدد شخصًا واحدًا على الأقل للمشاركة في المصروف.",IF($F12="بالتساوي بين المشاركين","جاهز",IF($F12="مبالغ متفق عليها",IF(OR(AND(G12="نعم",M12=""),AND(H12="نعم",N12=""),AND(I12="نعم",O12=""),AND(J12="نعم",P12=""),AND(K12="نعم",Q12=""),AND(L12="نعم",R12="")),"أدخل المبالغ المتفق عليها بحيث يساوي مجموعها مبلغ المصروف.",IF(ABS(SUM($M12:$R12))&lt;0.005,"أدخل المبالغ المتفق عليها بحيث يساوي مجموعها مبلغ المصروف.",IF(SUM($M12:$R12)&lt;$D12-0.005,"يتبقى للتوزيع: "&amp;ROUND($D12-SUM($M12:$R12),2)&amp;".",IF(SUM($M12:$R12)&gt;$D12+0.005,"يزيد مجموع الحصص على المصروف بمقدار "&amp;ROUND(SUM($M12:$R12)-$D12,2)&amp;".","جاهز")))),"أدخل المبالغ المتفق عليها بحيث يساوي مجموعها مبلغ المصروف."))))))</f>
      </c>
    </row>
    <row r="13">
      <c r="A13" s="149"/>
      <c r="B13" s="138"/>
      <c r="C13" s="138"/>
      <c r="D13" s="150"/>
      <c r="E13" s="138"/>
      <c r="F13" s="138"/>
      <c r="G13" s="138"/>
      <c r="H13" s="138"/>
      <c r="I13" s="138"/>
      <c r="J13" s="138"/>
      <c r="K13" s="138"/>
      <c r="L13" s="138"/>
      <c r="M13" s="150"/>
      <c r="N13" s="150"/>
      <c r="O13" s="150"/>
      <c r="P13" s="150"/>
      <c r="Q13" s="150"/>
      <c r="R13" s="150"/>
      <c r="S13" s="138"/>
      <c r="T13" s="151" t="str">
        <f>IF(COUNTIF($A13:$S13,"&lt;&gt;")=0,"",IF($F13="بالتساوي بين المشاركين",IF(G13&lt;&gt;"نعم",0,IF(COUNTIF($H13:$L13,"نعم")=0,$D13-0,ROUND($D13/COUNTIF($G13:$L13,"نعم"),2))),IF($F13="مبالغ متفق عليها",IF(G13="نعم",M13,0),"")))</f>
      </c>
      <c r="U13" s="151" t="str">
        <f>IF(COUNTIF($A13:$S13,"&lt;&gt;")=0,"",IF($F13="بالتساوي بين المشاركين",IF(H13&lt;&gt;"نعم",0,IF(COUNTIF($I13:$L13,"نعم")=0,$D13-SUM($T13:T13),ROUND($D13/COUNTIF($G13:$L13,"نعم"),2))),IF($F13="مبالغ متفق عليها",IF(H13="نعم",N13,0),"")))</f>
      </c>
      <c r="V13" s="151" t="str">
        <f>IF(COUNTIF($A13:$S13,"&lt;&gt;")=0,"",IF($F13="بالتساوي بين المشاركين",IF(I13&lt;&gt;"نعم",0,IF(COUNTIF($J13:$L13,"نعم")=0,$D13-SUM($T13:U13),ROUND($D13/COUNTIF($G13:$L13,"نعم"),2))),IF($F13="مبالغ متفق عليها",IF(I13="نعم",O13,0),"")))</f>
      </c>
      <c r="W13" s="151" t="str">
        <f>IF(COUNTIF($A13:$S13,"&lt;&gt;")=0,"",IF($F13="بالتساوي بين المشاركين",IF(J13&lt;&gt;"نعم",0,IF(COUNTIF($K13:$L13,"نعم")=0,$D13-SUM($T13:V13),ROUND($D13/COUNTIF($G13:$L13,"نعم"),2))),IF($F13="مبالغ متفق عليها",IF(J13="نعم",P13,0),"")))</f>
      </c>
      <c r="X13" s="151" t="str">
        <f>IF(COUNTIF($A13:$S13,"&lt;&gt;")=0,"",IF($F13="بالتساوي بين المشاركين",IF(K13&lt;&gt;"نعم",0,IF(COUNTIF($L13:$L13,"نعم")=0,$D13-SUM($T13:W13),ROUND($D13/COUNTIF($G13:$L13,"نعم"),2))),IF($F13="مبالغ متفق عليها",IF(K13="نعم",Q13,0),"")))</f>
      </c>
      <c r="Y13" s="151" t="str">
        <f>IF(COUNTIF($A13:$S13,"&lt;&gt;")=0,"",IF($F13="بالتساوي بين المشاركين",IF(L13&lt;&gt;"نعم",0,IF(0=0,$D13-SUM($T13:X13),ROUND($D13/COUNTIF($G13:$L13,"نعم"),2))),IF($F13="مبالغ متفق عليها",IF(L13="نعم",R13,0),"")))</f>
      </c>
      <c r="Z13" s="165" t="str">
        <f>IF(COUNTIF($A13:$S13,"&lt;&gt;")=0,"",IF(OR($D13="",$D13&lt;=0),"أدخل مبلغًا أكبر من صفر.",IF($E13="","اختر الشخص الذي دفع المبلغ.",IF(COUNTIF($G13:$L13,"نعم")=0,"حدد شخصًا واحدًا على الأقل للمشاركة في المصروف.",IF($F13="بالتساوي بين المشاركين","جاهز",IF($F13="مبالغ متفق عليها",IF(OR(AND(G13="نعم",M13=""),AND(H13="نعم",N13=""),AND(I13="نعم",O13=""),AND(J13="نعم",P13=""),AND(K13="نعم",Q13=""),AND(L13="نعم",R13="")),"أدخل المبالغ المتفق عليها بحيث يساوي مجموعها مبلغ المصروف.",IF(ABS(SUM($M13:$R13))&lt;0.005,"أدخل المبالغ المتفق عليها بحيث يساوي مجموعها مبلغ المصروف.",IF(SUM($M13:$R13)&lt;$D13-0.005,"يتبقى للتوزيع: "&amp;ROUND($D13-SUM($M13:$R13),2)&amp;".",IF(SUM($M13:$R13)&gt;$D13+0.005,"يزيد مجموع الحصص على المصروف بمقدار "&amp;ROUND(SUM($M13:$R13)-$D13,2)&amp;".","جاهز")))),"أدخل المبالغ المتفق عليها بحيث يساوي مجموعها مبلغ المصروف."))))))</f>
      </c>
    </row>
    <row r="14">
      <c r="A14" s="149"/>
      <c r="B14" s="138"/>
      <c r="C14" s="138"/>
      <c r="D14" s="150"/>
      <c r="E14" s="138"/>
      <c r="F14" s="138"/>
      <c r="G14" s="138"/>
      <c r="H14" s="138"/>
      <c r="I14" s="138"/>
      <c r="J14" s="138"/>
      <c r="K14" s="138"/>
      <c r="L14" s="138"/>
      <c r="M14" s="150"/>
      <c r="N14" s="150"/>
      <c r="O14" s="150"/>
      <c r="P14" s="150"/>
      <c r="Q14" s="150"/>
      <c r="R14" s="150"/>
      <c r="S14" s="138"/>
      <c r="T14" s="151" t="str">
        <f>IF(COUNTIF($A14:$S14,"&lt;&gt;")=0,"",IF($F14="بالتساوي بين المشاركين",IF(G14&lt;&gt;"نعم",0,IF(COUNTIF($H14:$L14,"نعم")=0,$D14-0,ROUND($D14/COUNTIF($G14:$L14,"نعم"),2))),IF($F14="مبالغ متفق عليها",IF(G14="نعم",M14,0),"")))</f>
      </c>
      <c r="U14" s="151" t="str">
        <f>IF(COUNTIF($A14:$S14,"&lt;&gt;")=0,"",IF($F14="بالتساوي بين المشاركين",IF(H14&lt;&gt;"نعم",0,IF(COUNTIF($I14:$L14,"نعم")=0,$D14-SUM($T14:T14),ROUND($D14/COUNTIF($G14:$L14,"نعم"),2))),IF($F14="مبالغ متفق عليها",IF(H14="نعم",N14,0),"")))</f>
      </c>
      <c r="V14" s="151" t="str">
        <f>IF(COUNTIF($A14:$S14,"&lt;&gt;")=0,"",IF($F14="بالتساوي بين المشاركين",IF(I14&lt;&gt;"نعم",0,IF(COUNTIF($J14:$L14,"نعم")=0,$D14-SUM($T14:U14),ROUND($D14/COUNTIF($G14:$L14,"نعم"),2))),IF($F14="مبالغ متفق عليها",IF(I14="نعم",O14,0),"")))</f>
      </c>
      <c r="W14" s="151" t="str">
        <f>IF(COUNTIF($A14:$S14,"&lt;&gt;")=0,"",IF($F14="بالتساوي بين المشاركين",IF(J14&lt;&gt;"نعم",0,IF(COUNTIF($K14:$L14,"نعم")=0,$D14-SUM($T14:V14),ROUND($D14/COUNTIF($G14:$L14,"نعم"),2))),IF($F14="مبالغ متفق عليها",IF(J14="نعم",P14,0),"")))</f>
      </c>
      <c r="X14" s="151" t="str">
        <f>IF(COUNTIF($A14:$S14,"&lt;&gt;")=0,"",IF($F14="بالتساوي بين المشاركين",IF(K14&lt;&gt;"نعم",0,IF(COUNTIF($L14:$L14,"نعم")=0,$D14-SUM($T14:W14),ROUND($D14/COUNTIF($G14:$L14,"نعم"),2))),IF($F14="مبالغ متفق عليها",IF(K14="نعم",Q14,0),"")))</f>
      </c>
      <c r="Y14" s="151" t="str">
        <f>IF(COUNTIF($A14:$S14,"&lt;&gt;")=0,"",IF($F14="بالتساوي بين المشاركين",IF(L14&lt;&gt;"نعم",0,IF(0=0,$D14-SUM($T14:X14),ROUND($D14/COUNTIF($G14:$L14,"نعم"),2))),IF($F14="مبالغ متفق عليها",IF(L14="نعم",R14,0),"")))</f>
      </c>
      <c r="Z14" s="165" t="str">
        <f>IF(COUNTIF($A14:$S14,"&lt;&gt;")=0,"",IF(OR($D14="",$D14&lt;=0),"أدخل مبلغًا أكبر من صفر.",IF($E14="","اختر الشخص الذي دفع المبلغ.",IF(COUNTIF($G14:$L14,"نعم")=0,"حدد شخصًا واحدًا على الأقل للمشاركة في المصروف.",IF($F14="بالتساوي بين المشاركين","جاهز",IF($F14="مبالغ متفق عليها",IF(OR(AND(G14="نعم",M14=""),AND(H14="نعم",N14=""),AND(I14="نعم",O14=""),AND(J14="نعم",P14=""),AND(K14="نعم",Q14=""),AND(L14="نعم",R14="")),"أدخل المبالغ المتفق عليها بحيث يساوي مجموعها مبلغ المصروف.",IF(ABS(SUM($M14:$R14))&lt;0.005,"أدخل المبالغ المتفق عليها بحيث يساوي مجموعها مبلغ المصروف.",IF(SUM($M14:$R14)&lt;$D14-0.005,"يتبقى للتوزيع: "&amp;ROUND($D14-SUM($M14:$R14),2)&amp;".",IF(SUM($M14:$R14)&gt;$D14+0.005,"يزيد مجموع الحصص على المصروف بمقدار "&amp;ROUND(SUM($M14:$R14)-$D14,2)&amp;".","جاهز")))),"أدخل المبالغ المتفق عليها بحيث يساوي مجموعها مبلغ المصروف."))))))</f>
      </c>
    </row>
    <row r="15">
      <c r="A15" s="149"/>
      <c r="B15" s="138"/>
      <c r="C15" s="138"/>
      <c r="D15" s="150"/>
      <c r="E15" s="138"/>
      <c r="F15" s="138"/>
      <c r="G15" s="138"/>
      <c r="H15" s="138"/>
      <c r="I15" s="138"/>
      <c r="J15" s="138"/>
      <c r="K15" s="138"/>
      <c r="L15" s="138"/>
      <c r="M15" s="150"/>
      <c r="N15" s="150"/>
      <c r="O15" s="150"/>
      <c r="P15" s="150"/>
      <c r="Q15" s="150"/>
      <c r="R15" s="150"/>
      <c r="S15" s="138"/>
      <c r="T15" s="151" t="str">
        <f>IF(COUNTIF($A15:$S15,"&lt;&gt;")=0,"",IF($F15="بالتساوي بين المشاركين",IF(G15&lt;&gt;"نعم",0,IF(COUNTIF($H15:$L15,"نعم")=0,$D15-0,ROUND($D15/COUNTIF($G15:$L15,"نعم"),2))),IF($F15="مبالغ متفق عليها",IF(G15="نعم",M15,0),"")))</f>
      </c>
      <c r="U15" s="151" t="str">
        <f>IF(COUNTIF($A15:$S15,"&lt;&gt;")=0,"",IF($F15="بالتساوي بين المشاركين",IF(H15&lt;&gt;"نعم",0,IF(COUNTIF($I15:$L15,"نعم")=0,$D15-SUM($T15:T15),ROUND($D15/COUNTIF($G15:$L15,"نعم"),2))),IF($F15="مبالغ متفق عليها",IF(H15="نعم",N15,0),"")))</f>
      </c>
      <c r="V15" s="151" t="str">
        <f>IF(COUNTIF($A15:$S15,"&lt;&gt;")=0,"",IF($F15="بالتساوي بين المشاركين",IF(I15&lt;&gt;"نعم",0,IF(COUNTIF($J15:$L15,"نعم")=0,$D15-SUM($T15:U15),ROUND($D15/COUNTIF($G15:$L15,"نعم"),2))),IF($F15="مبالغ متفق عليها",IF(I15="نعم",O15,0),"")))</f>
      </c>
      <c r="W15" s="151" t="str">
        <f>IF(COUNTIF($A15:$S15,"&lt;&gt;")=0,"",IF($F15="بالتساوي بين المشاركين",IF(J15&lt;&gt;"نعم",0,IF(COUNTIF($K15:$L15,"نعم")=0,$D15-SUM($T15:V15),ROUND($D15/COUNTIF($G15:$L15,"نعم"),2))),IF($F15="مبالغ متفق عليها",IF(J15="نعم",P15,0),"")))</f>
      </c>
      <c r="X15" s="151" t="str">
        <f>IF(COUNTIF($A15:$S15,"&lt;&gt;")=0,"",IF($F15="بالتساوي بين المشاركين",IF(K15&lt;&gt;"نعم",0,IF(COUNTIF($L15:$L15,"نعم")=0,$D15-SUM($T15:W15),ROUND($D15/COUNTIF($G15:$L15,"نعم"),2))),IF($F15="مبالغ متفق عليها",IF(K15="نعم",Q15,0),"")))</f>
      </c>
      <c r="Y15" s="151" t="str">
        <f>IF(COUNTIF($A15:$S15,"&lt;&gt;")=0,"",IF($F15="بالتساوي بين المشاركين",IF(L15&lt;&gt;"نعم",0,IF(0=0,$D15-SUM($T15:X15),ROUND($D15/COUNTIF($G15:$L15,"نعم"),2))),IF($F15="مبالغ متفق عليها",IF(L15="نعم",R15,0),"")))</f>
      </c>
      <c r="Z15" s="165" t="str">
        <f>IF(COUNTIF($A15:$S15,"&lt;&gt;")=0,"",IF(OR($D15="",$D15&lt;=0),"أدخل مبلغًا أكبر من صفر.",IF($E15="","اختر الشخص الذي دفع المبلغ.",IF(COUNTIF($G15:$L15,"نعم")=0,"حدد شخصًا واحدًا على الأقل للمشاركة في المصروف.",IF($F15="بالتساوي بين المشاركين","جاهز",IF($F15="مبالغ متفق عليها",IF(OR(AND(G15="نعم",M15=""),AND(H15="نعم",N15=""),AND(I15="نعم",O15=""),AND(J15="نعم",P15=""),AND(K15="نعم",Q15=""),AND(L15="نعم",R15="")),"أدخل المبالغ المتفق عليها بحيث يساوي مجموعها مبلغ المصروف.",IF(ABS(SUM($M15:$R15))&lt;0.005,"أدخل المبالغ المتفق عليها بحيث يساوي مجموعها مبلغ المصروف.",IF(SUM($M15:$R15)&lt;$D15-0.005,"يتبقى للتوزيع: "&amp;ROUND($D15-SUM($M15:$R15),2)&amp;".",IF(SUM($M15:$R15)&gt;$D15+0.005,"يزيد مجموع الحصص على المصروف بمقدار "&amp;ROUND(SUM($M15:$R15)-$D15,2)&amp;".","جاهز")))),"أدخل المبالغ المتفق عليها بحيث يساوي مجموعها مبلغ المصروف."))))))</f>
      </c>
    </row>
    <row r="16">
      <c r="A16" s="149"/>
      <c r="B16" s="138"/>
      <c r="C16" s="138"/>
      <c r="D16" s="150"/>
      <c r="E16" s="138"/>
      <c r="F16" s="138"/>
      <c r="G16" s="138"/>
      <c r="H16" s="138"/>
      <c r="I16" s="138"/>
      <c r="J16" s="138"/>
      <c r="K16" s="138"/>
      <c r="L16" s="138"/>
      <c r="M16" s="150"/>
      <c r="N16" s="150"/>
      <c r="O16" s="150"/>
      <c r="P16" s="150"/>
      <c r="Q16" s="150"/>
      <c r="R16" s="150"/>
      <c r="S16" s="138"/>
      <c r="T16" s="151" t="str">
        <f>IF(COUNTIF($A16:$S16,"&lt;&gt;")=0,"",IF($F16="بالتساوي بين المشاركين",IF(G16&lt;&gt;"نعم",0,IF(COUNTIF($H16:$L16,"نعم")=0,$D16-0,ROUND($D16/COUNTIF($G16:$L16,"نعم"),2))),IF($F16="مبالغ متفق عليها",IF(G16="نعم",M16,0),"")))</f>
      </c>
      <c r="U16" s="151" t="str">
        <f>IF(COUNTIF($A16:$S16,"&lt;&gt;")=0,"",IF($F16="بالتساوي بين المشاركين",IF(H16&lt;&gt;"نعم",0,IF(COUNTIF($I16:$L16,"نعم")=0,$D16-SUM($T16:T16),ROUND($D16/COUNTIF($G16:$L16,"نعم"),2))),IF($F16="مبالغ متفق عليها",IF(H16="نعم",N16,0),"")))</f>
      </c>
      <c r="V16" s="151" t="str">
        <f>IF(COUNTIF($A16:$S16,"&lt;&gt;")=0,"",IF($F16="بالتساوي بين المشاركين",IF(I16&lt;&gt;"نعم",0,IF(COUNTIF($J16:$L16,"نعم")=0,$D16-SUM($T16:U16),ROUND($D16/COUNTIF($G16:$L16,"نعم"),2))),IF($F16="مبالغ متفق عليها",IF(I16="نعم",O16,0),"")))</f>
      </c>
      <c r="W16" s="151" t="str">
        <f>IF(COUNTIF($A16:$S16,"&lt;&gt;")=0,"",IF($F16="بالتساوي بين المشاركين",IF(J16&lt;&gt;"نعم",0,IF(COUNTIF($K16:$L16,"نعم")=0,$D16-SUM($T16:V16),ROUND($D16/COUNTIF($G16:$L16,"نعم"),2))),IF($F16="مبالغ متفق عليها",IF(J16="نعم",P16,0),"")))</f>
      </c>
      <c r="X16" s="151" t="str">
        <f>IF(COUNTIF($A16:$S16,"&lt;&gt;")=0,"",IF($F16="بالتساوي بين المشاركين",IF(K16&lt;&gt;"نعم",0,IF(COUNTIF($L16:$L16,"نعم")=0,$D16-SUM($T16:W16),ROUND($D16/COUNTIF($G16:$L16,"نعم"),2))),IF($F16="مبالغ متفق عليها",IF(K16="نعم",Q16,0),"")))</f>
      </c>
      <c r="Y16" s="151" t="str">
        <f>IF(COUNTIF($A16:$S16,"&lt;&gt;")=0,"",IF($F16="بالتساوي بين المشاركين",IF(L16&lt;&gt;"نعم",0,IF(0=0,$D16-SUM($T16:X16),ROUND($D16/COUNTIF($G16:$L16,"نعم"),2))),IF($F16="مبالغ متفق عليها",IF(L16="نعم",R16,0),"")))</f>
      </c>
      <c r="Z16" s="165" t="str">
        <f>IF(COUNTIF($A16:$S16,"&lt;&gt;")=0,"",IF(OR($D16="",$D16&lt;=0),"أدخل مبلغًا أكبر من صفر.",IF($E16="","اختر الشخص الذي دفع المبلغ.",IF(COUNTIF($G16:$L16,"نعم")=0,"حدد شخصًا واحدًا على الأقل للمشاركة في المصروف.",IF($F16="بالتساوي بين المشاركين","جاهز",IF($F16="مبالغ متفق عليها",IF(OR(AND(G16="نعم",M16=""),AND(H16="نعم",N16=""),AND(I16="نعم",O16=""),AND(J16="نعم",P16=""),AND(K16="نعم",Q16=""),AND(L16="نعم",R16="")),"أدخل المبالغ المتفق عليها بحيث يساوي مجموعها مبلغ المصروف.",IF(ABS(SUM($M16:$R16))&lt;0.005,"أدخل المبالغ المتفق عليها بحيث يساوي مجموعها مبلغ المصروف.",IF(SUM($M16:$R16)&lt;$D16-0.005,"يتبقى للتوزيع: "&amp;ROUND($D16-SUM($M16:$R16),2)&amp;".",IF(SUM($M16:$R16)&gt;$D16+0.005,"يزيد مجموع الحصص على المصروف بمقدار "&amp;ROUND(SUM($M16:$R16)-$D16,2)&amp;".","جاهز")))),"أدخل المبالغ المتفق عليها بحيث يساوي مجموعها مبلغ المصروف."))))))</f>
      </c>
    </row>
    <row r="17">
      <c r="A17" s="149"/>
      <c r="B17" s="138"/>
      <c r="C17" s="138"/>
      <c r="D17" s="150"/>
      <c r="E17" s="138"/>
      <c r="F17" s="138"/>
      <c r="G17" s="138"/>
      <c r="H17" s="138"/>
      <c r="I17" s="138"/>
      <c r="J17" s="138"/>
      <c r="K17" s="138"/>
      <c r="L17" s="138"/>
      <c r="M17" s="150"/>
      <c r="N17" s="150"/>
      <c r="O17" s="150"/>
      <c r="P17" s="150"/>
      <c r="Q17" s="150"/>
      <c r="R17" s="150"/>
      <c r="S17" s="138"/>
      <c r="T17" s="151" t="str">
        <f>IF(COUNTIF($A17:$S17,"&lt;&gt;")=0,"",IF($F17="بالتساوي بين المشاركين",IF(G17&lt;&gt;"نعم",0,IF(COUNTIF($H17:$L17,"نعم")=0,$D17-0,ROUND($D17/COUNTIF($G17:$L17,"نعم"),2))),IF($F17="مبالغ متفق عليها",IF(G17="نعم",M17,0),"")))</f>
      </c>
      <c r="U17" s="151" t="str">
        <f>IF(COUNTIF($A17:$S17,"&lt;&gt;")=0,"",IF($F17="بالتساوي بين المشاركين",IF(H17&lt;&gt;"نعم",0,IF(COUNTIF($I17:$L17,"نعم")=0,$D17-SUM($T17:T17),ROUND($D17/COUNTIF($G17:$L17,"نعم"),2))),IF($F17="مبالغ متفق عليها",IF(H17="نعم",N17,0),"")))</f>
      </c>
      <c r="V17" s="151" t="str">
        <f>IF(COUNTIF($A17:$S17,"&lt;&gt;")=0,"",IF($F17="بالتساوي بين المشاركين",IF(I17&lt;&gt;"نعم",0,IF(COUNTIF($J17:$L17,"نعم")=0,$D17-SUM($T17:U17),ROUND($D17/COUNTIF($G17:$L17,"نعم"),2))),IF($F17="مبالغ متفق عليها",IF(I17="نعم",O17,0),"")))</f>
      </c>
      <c r="W17" s="151" t="str">
        <f>IF(COUNTIF($A17:$S17,"&lt;&gt;")=0,"",IF($F17="بالتساوي بين المشاركين",IF(J17&lt;&gt;"نعم",0,IF(COUNTIF($K17:$L17,"نعم")=0,$D17-SUM($T17:V17),ROUND($D17/COUNTIF($G17:$L17,"نعم"),2))),IF($F17="مبالغ متفق عليها",IF(J17="نعم",P17,0),"")))</f>
      </c>
      <c r="X17" s="151" t="str">
        <f>IF(COUNTIF($A17:$S17,"&lt;&gt;")=0,"",IF($F17="بالتساوي بين المشاركين",IF(K17&lt;&gt;"نعم",0,IF(COUNTIF($L17:$L17,"نعم")=0,$D17-SUM($T17:W17),ROUND($D17/COUNTIF($G17:$L17,"نعم"),2))),IF($F17="مبالغ متفق عليها",IF(K17="نعم",Q17,0),"")))</f>
      </c>
      <c r="Y17" s="151" t="str">
        <f>IF(COUNTIF($A17:$S17,"&lt;&gt;")=0,"",IF($F17="بالتساوي بين المشاركين",IF(L17&lt;&gt;"نعم",0,IF(0=0,$D17-SUM($T17:X17),ROUND($D17/COUNTIF($G17:$L17,"نعم"),2))),IF($F17="مبالغ متفق عليها",IF(L17="نعم",R17,0),"")))</f>
      </c>
      <c r="Z17" s="165" t="str">
        <f>IF(COUNTIF($A17:$S17,"&lt;&gt;")=0,"",IF(OR($D17="",$D17&lt;=0),"أدخل مبلغًا أكبر من صفر.",IF($E17="","اختر الشخص الذي دفع المبلغ.",IF(COUNTIF($G17:$L17,"نعم")=0,"حدد شخصًا واحدًا على الأقل للمشاركة في المصروف.",IF($F17="بالتساوي بين المشاركين","جاهز",IF($F17="مبالغ متفق عليها",IF(OR(AND(G17="نعم",M17=""),AND(H17="نعم",N17=""),AND(I17="نعم",O17=""),AND(J17="نعم",P17=""),AND(K17="نعم",Q17=""),AND(L17="نعم",R17="")),"أدخل المبالغ المتفق عليها بحيث يساوي مجموعها مبلغ المصروف.",IF(ABS(SUM($M17:$R17))&lt;0.005,"أدخل المبالغ المتفق عليها بحيث يساوي مجموعها مبلغ المصروف.",IF(SUM($M17:$R17)&lt;$D17-0.005,"يتبقى للتوزيع: "&amp;ROUND($D17-SUM($M17:$R17),2)&amp;".",IF(SUM($M17:$R17)&gt;$D17+0.005,"يزيد مجموع الحصص على المصروف بمقدار "&amp;ROUND(SUM($M17:$R17)-$D17,2)&amp;".","جاهز")))),"أدخل المبالغ المتفق عليها بحيث يساوي مجموعها مبلغ المصروف."))))))</f>
      </c>
    </row>
    <row r="18">
      <c r="A18" s="149"/>
      <c r="B18" s="138"/>
      <c r="C18" s="138"/>
      <c r="D18" s="150"/>
      <c r="E18" s="138"/>
      <c r="F18" s="138"/>
      <c r="G18" s="138"/>
      <c r="H18" s="138"/>
      <c r="I18" s="138"/>
      <c r="J18" s="138"/>
      <c r="K18" s="138"/>
      <c r="L18" s="138"/>
      <c r="M18" s="150"/>
      <c r="N18" s="150"/>
      <c r="O18" s="150"/>
      <c r="P18" s="150"/>
      <c r="Q18" s="150"/>
      <c r="R18" s="150"/>
      <c r="S18" s="138"/>
      <c r="T18" s="151" t="str">
        <f>IF(COUNTIF($A18:$S18,"&lt;&gt;")=0,"",IF($F18="بالتساوي بين المشاركين",IF(G18&lt;&gt;"نعم",0,IF(COUNTIF($H18:$L18,"نعم")=0,$D18-0,ROUND($D18/COUNTIF($G18:$L18,"نعم"),2))),IF($F18="مبالغ متفق عليها",IF(G18="نعم",M18,0),"")))</f>
      </c>
      <c r="U18" s="151" t="str">
        <f>IF(COUNTIF($A18:$S18,"&lt;&gt;")=0,"",IF($F18="بالتساوي بين المشاركين",IF(H18&lt;&gt;"نعم",0,IF(COUNTIF($I18:$L18,"نعم")=0,$D18-SUM($T18:T18),ROUND($D18/COUNTIF($G18:$L18,"نعم"),2))),IF($F18="مبالغ متفق عليها",IF(H18="نعم",N18,0),"")))</f>
      </c>
      <c r="V18" s="151" t="str">
        <f>IF(COUNTIF($A18:$S18,"&lt;&gt;")=0,"",IF($F18="بالتساوي بين المشاركين",IF(I18&lt;&gt;"نعم",0,IF(COUNTIF($J18:$L18,"نعم")=0,$D18-SUM($T18:U18),ROUND($D18/COUNTIF($G18:$L18,"نعم"),2))),IF($F18="مبالغ متفق عليها",IF(I18="نعم",O18,0),"")))</f>
      </c>
      <c r="W18" s="151" t="str">
        <f>IF(COUNTIF($A18:$S18,"&lt;&gt;")=0,"",IF($F18="بالتساوي بين المشاركين",IF(J18&lt;&gt;"نعم",0,IF(COUNTIF($K18:$L18,"نعم")=0,$D18-SUM($T18:V18),ROUND($D18/COUNTIF($G18:$L18,"نعم"),2))),IF($F18="مبالغ متفق عليها",IF(J18="نعم",P18,0),"")))</f>
      </c>
      <c r="X18" s="151" t="str">
        <f>IF(COUNTIF($A18:$S18,"&lt;&gt;")=0,"",IF($F18="بالتساوي بين المشاركين",IF(K18&lt;&gt;"نعم",0,IF(COUNTIF($L18:$L18,"نعم")=0,$D18-SUM($T18:W18),ROUND($D18/COUNTIF($G18:$L18,"نعم"),2))),IF($F18="مبالغ متفق عليها",IF(K18="نعم",Q18,0),"")))</f>
      </c>
      <c r="Y18" s="151" t="str">
        <f>IF(COUNTIF($A18:$S18,"&lt;&gt;")=0,"",IF($F18="بالتساوي بين المشاركين",IF(L18&lt;&gt;"نعم",0,IF(0=0,$D18-SUM($T18:X18),ROUND($D18/COUNTIF($G18:$L18,"نعم"),2))),IF($F18="مبالغ متفق عليها",IF(L18="نعم",R18,0),"")))</f>
      </c>
      <c r="Z18" s="165" t="str">
        <f>IF(COUNTIF($A18:$S18,"&lt;&gt;")=0,"",IF(OR($D18="",$D18&lt;=0),"أدخل مبلغًا أكبر من صفر.",IF($E18="","اختر الشخص الذي دفع المبلغ.",IF(COUNTIF($G18:$L18,"نعم")=0,"حدد شخصًا واحدًا على الأقل للمشاركة في المصروف.",IF($F18="بالتساوي بين المشاركين","جاهز",IF($F18="مبالغ متفق عليها",IF(OR(AND(G18="نعم",M18=""),AND(H18="نعم",N18=""),AND(I18="نعم",O18=""),AND(J18="نعم",P18=""),AND(K18="نعم",Q18=""),AND(L18="نعم",R18="")),"أدخل المبالغ المتفق عليها بحيث يساوي مجموعها مبلغ المصروف.",IF(ABS(SUM($M18:$R18))&lt;0.005,"أدخل المبالغ المتفق عليها بحيث يساوي مجموعها مبلغ المصروف.",IF(SUM($M18:$R18)&lt;$D18-0.005,"يتبقى للتوزيع: "&amp;ROUND($D18-SUM($M18:$R18),2)&amp;".",IF(SUM($M18:$R18)&gt;$D18+0.005,"يزيد مجموع الحصص على المصروف بمقدار "&amp;ROUND(SUM($M18:$R18)-$D18,2)&amp;".","جاهز")))),"أدخل المبالغ المتفق عليها بحيث يساوي مجموعها مبلغ المصروف."))))))</f>
      </c>
    </row>
    <row r="19">
      <c r="A19" s="149"/>
      <c r="B19" s="138"/>
      <c r="C19" s="138"/>
      <c r="D19" s="150"/>
      <c r="E19" s="138"/>
      <c r="F19" s="138"/>
      <c r="G19" s="138"/>
      <c r="H19" s="138"/>
      <c r="I19" s="138"/>
      <c r="J19" s="138"/>
      <c r="K19" s="138"/>
      <c r="L19" s="138"/>
      <c r="M19" s="150"/>
      <c r="N19" s="150"/>
      <c r="O19" s="150"/>
      <c r="P19" s="150"/>
      <c r="Q19" s="150"/>
      <c r="R19" s="150"/>
      <c r="S19" s="138"/>
      <c r="T19" s="151" t="str">
        <f>IF(COUNTIF($A19:$S19,"&lt;&gt;")=0,"",IF($F19="بالتساوي بين المشاركين",IF(G19&lt;&gt;"نعم",0,IF(COUNTIF($H19:$L19,"نعم")=0,$D19-0,ROUND($D19/COUNTIF($G19:$L19,"نعم"),2))),IF($F19="مبالغ متفق عليها",IF(G19="نعم",M19,0),"")))</f>
      </c>
      <c r="U19" s="151" t="str">
        <f>IF(COUNTIF($A19:$S19,"&lt;&gt;")=0,"",IF($F19="بالتساوي بين المشاركين",IF(H19&lt;&gt;"نعم",0,IF(COUNTIF($I19:$L19,"نعم")=0,$D19-SUM($T19:T19),ROUND($D19/COUNTIF($G19:$L19,"نعم"),2))),IF($F19="مبالغ متفق عليها",IF(H19="نعم",N19,0),"")))</f>
      </c>
      <c r="V19" s="151" t="str">
        <f>IF(COUNTIF($A19:$S19,"&lt;&gt;")=0,"",IF($F19="بالتساوي بين المشاركين",IF(I19&lt;&gt;"نعم",0,IF(COUNTIF($J19:$L19,"نعم")=0,$D19-SUM($T19:U19),ROUND($D19/COUNTIF($G19:$L19,"نعم"),2))),IF($F19="مبالغ متفق عليها",IF(I19="نعم",O19,0),"")))</f>
      </c>
      <c r="W19" s="151" t="str">
        <f>IF(COUNTIF($A19:$S19,"&lt;&gt;")=0,"",IF($F19="بالتساوي بين المشاركين",IF(J19&lt;&gt;"نعم",0,IF(COUNTIF($K19:$L19,"نعم")=0,$D19-SUM($T19:V19),ROUND($D19/COUNTIF($G19:$L19,"نعم"),2))),IF($F19="مبالغ متفق عليها",IF(J19="نعم",P19,0),"")))</f>
      </c>
      <c r="X19" s="151" t="str">
        <f>IF(COUNTIF($A19:$S19,"&lt;&gt;")=0,"",IF($F19="بالتساوي بين المشاركين",IF(K19&lt;&gt;"نعم",0,IF(COUNTIF($L19:$L19,"نعم")=0,$D19-SUM($T19:W19),ROUND($D19/COUNTIF($G19:$L19,"نعم"),2))),IF($F19="مبالغ متفق عليها",IF(K19="نعم",Q19,0),"")))</f>
      </c>
      <c r="Y19" s="151" t="str">
        <f>IF(COUNTIF($A19:$S19,"&lt;&gt;")=0,"",IF($F19="بالتساوي بين المشاركين",IF(L19&lt;&gt;"نعم",0,IF(0=0,$D19-SUM($T19:X19),ROUND($D19/COUNTIF($G19:$L19,"نعم"),2))),IF($F19="مبالغ متفق عليها",IF(L19="نعم",R19,0),"")))</f>
      </c>
      <c r="Z19" s="165" t="str">
        <f>IF(COUNTIF($A19:$S19,"&lt;&gt;")=0,"",IF(OR($D19="",$D19&lt;=0),"أدخل مبلغًا أكبر من صفر.",IF($E19="","اختر الشخص الذي دفع المبلغ.",IF(COUNTIF($G19:$L19,"نعم")=0,"حدد شخصًا واحدًا على الأقل للمشاركة في المصروف.",IF($F19="بالتساوي بين المشاركين","جاهز",IF($F19="مبالغ متفق عليها",IF(OR(AND(G19="نعم",M19=""),AND(H19="نعم",N19=""),AND(I19="نعم",O19=""),AND(J19="نعم",P19=""),AND(K19="نعم",Q19=""),AND(L19="نعم",R19="")),"أدخل المبالغ المتفق عليها بحيث يساوي مجموعها مبلغ المصروف.",IF(ABS(SUM($M19:$R19))&lt;0.005,"أدخل المبالغ المتفق عليها بحيث يساوي مجموعها مبلغ المصروف.",IF(SUM($M19:$R19)&lt;$D19-0.005,"يتبقى للتوزيع: "&amp;ROUND($D19-SUM($M19:$R19),2)&amp;".",IF(SUM($M19:$R19)&gt;$D19+0.005,"يزيد مجموع الحصص على المصروف بمقدار "&amp;ROUND(SUM($M19:$R19)-$D19,2)&amp;".","جاهز")))),"أدخل المبالغ المتفق عليها بحيث يساوي مجموعها مبلغ المصروف."))))))</f>
      </c>
    </row>
    <row r="20">
      <c r="A20" s="149"/>
      <c r="B20" s="138"/>
      <c r="C20" s="138"/>
      <c r="D20" s="150"/>
      <c r="E20" s="138"/>
      <c r="F20" s="138"/>
      <c r="G20" s="138"/>
      <c r="H20" s="138"/>
      <c r="I20" s="138"/>
      <c r="J20" s="138"/>
      <c r="K20" s="138"/>
      <c r="L20" s="138"/>
      <c r="M20" s="150"/>
      <c r="N20" s="150"/>
      <c r="O20" s="150"/>
      <c r="P20" s="150"/>
      <c r="Q20" s="150"/>
      <c r="R20" s="150"/>
      <c r="S20" s="138"/>
      <c r="T20" s="151" t="str">
        <f>IF(COUNTIF($A20:$S20,"&lt;&gt;")=0,"",IF($F20="بالتساوي بين المشاركين",IF(G20&lt;&gt;"نعم",0,IF(COUNTIF($H20:$L20,"نعم")=0,$D20-0,ROUND($D20/COUNTIF($G20:$L20,"نعم"),2))),IF($F20="مبالغ متفق عليها",IF(G20="نعم",M20,0),"")))</f>
      </c>
      <c r="U20" s="151" t="str">
        <f>IF(COUNTIF($A20:$S20,"&lt;&gt;")=0,"",IF($F20="بالتساوي بين المشاركين",IF(H20&lt;&gt;"نعم",0,IF(COUNTIF($I20:$L20,"نعم")=0,$D20-SUM($T20:T20),ROUND($D20/COUNTIF($G20:$L20,"نعم"),2))),IF($F20="مبالغ متفق عليها",IF(H20="نعم",N20,0),"")))</f>
      </c>
      <c r="V20" s="151" t="str">
        <f>IF(COUNTIF($A20:$S20,"&lt;&gt;")=0,"",IF($F20="بالتساوي بين المشاركين",IF(I20&lt;&gt;"نعم",0,IF(COUNTIF($J20:$L20,"نعم")=0,$D20-SUM($T20:U20),ROUND($D20/COUNTIF($G20:$L20,"نعم"),2))),IF($F20="مبالغ متفق عليها",IF(I20="نعم",O20,0),"")))</f>
      </c>
      <c r="W20" s="151" t="str">
        <f>IF(COUNTIF($A20:$S20,"&lt;&gt;")=0,"",IF($F20="بالتساوي بين المشاركين",IF(J20&lt;&gt;"نعم",0,IF(COUNTIF($K20:$L20,"نعم")=0,$D20-SUM($T20:V20),ROUND($D20/COUNTIF($G20:$L20,"نعم"),2))),IF($F20="مبالغ متفق عليها",IF(J20="نعم",P20,0),"")))</f>
      </c>
      <c r="X20" s="151" t="str">
        <f>IF(COUNTIF($A20:$S20,"&lt;&gt;")=0,"",IF($F20="بالتساوي بين المشاركين",IF(K20&lt;&gt;"نعم",0,IF(COUNTIF($L20:$L20,"نعم")=0,$D20-SUM($T20:W20),ROUND($D20/COUNTIF($G20:$L20,"نعم"),2))),IF($F20="مبالغ متفق عليها",IF(K20="نعم",Q20,0),"")))</f>
      </c>
      <c r="Y20" s="151" t="str">
        <f>IF(COUNTIF($A20:$S20,"&lt;&gt;")=0,"",IF($F20="بالتساوي بين المشاركين",IF(L20&lt;&gt;"نعم",0,IF(0=0,$D20-SUM($T20:X20),ROUND($D20/COUNTIF($G20:$L20,"نعم"),2))),IF($F20="مبالغ متفق عليها",IF(L20="نعم",R20,0),"")))</f>
      </c>
      <c r="Z20" s="165" t="str">
        <f>IF(COUNTIF($A20:$S20,"&lt;&gt;")=0,"",IF(OR($D20="",$D20&lt;=0),"أدخل مبلغًا أكبر من صفر.",IF($E20="","اختر الشخص الذي دفع المبلغ.",IF(COUNTIF($G20:$L20,"نعم")=0,"حدد شخصًا واحدًا على الأقل للمشاركة في المصروف.",IF($F20="بالتساوي بين المشاركين","جاهز",IF($F20="مبالغ متفق عليها",IF(OR(AND(G20="نعم",M20=""),AND(H20="نعم",N20=""),AND(I20="نعم",O20=""),AND(J20="نعم",P20=""),AND(K20="نعم",Q20=""),AND(L20="نعم",R20="")),"أدخل المبالغ المتفق عليها بحيث يساوي مجموعها مبلغ المصروف.",IF(ABS(SUM($M20:$R20))&lt;0.005,"أدخل المبالغ المتفق عليها بحيث يساوي مجموعها مبلغ المصروف.",IF(SUM($M20:$R20)&lt;$D20-0.005,"يتبقى للتوزيع: "&amp;ROUND($D20-SUM($M20:$R20),2)&amp;".",IF(SUM($M20:$R20)&gt;$D20+0.005,"يزيد مجموع الحصص على المصروف بمقدار "&amp;ROUND(SUM($M20:$R20)-$D20,2)&amp;".","جاهز")))),"أدخل المبالغ المتفق عليها بحيث يساوي مجموعها مبلغ المصروف."))))))</f>
      </c>
    </row>
    <row r="21">
      <c r="A21" s="149"/>
      <c r="B21" s="138"/>
      <c r="C21" s="138"/>
      <c r="D21" s="150"/>
      <c r="E21" s="138"/>
      <c r="F21" s="138"/>
      <c r="G21" s="138"/>
      <c r="H21" s="138"/>
      <c r="I21" s="138"/>
      <c r="J21" s="138"/>
      <c r="K21" s="138"/>
      <c r="L21" s="138"/>
      <c r="M21" s="150"/>
      <c r="N21" s="150"/>
      <c r="O21" s="150"/>
      <c r="P21" s="150"/>
      <c r="Q21" s="150"/>
      <c r="R21" s="150"/>
      <c r="S21" s="138"/>
      <c r="T21" s="151" t="str">
        <f>IF(COUNTIF($A21:$S21,"&lt;&gt;")=0,"",IF($F21="بالتساوي بين المشاركين",IF(G21&lt;&gt;"نعم",0,IF(COUNTIF($H21:$L21,"نعم")=0,$D21-0,ROUND($D21/COUNTIF($G21:$L21,"نعم"),2))),IF($F21="مبالغ متفق عليها",IF(G21="نعم",M21,0),"")))</f>
      </c>
      <c r="U21" s="151" t="str">
        <f>IF(COUNTIF($A21:$S21,"&lt;&gt;")=0,"",IF($F21="بالتساوي بين المشاركين",IF(H21&lt;&gt;"نعم",0,IF(COUNTIF($I21:$L21,"نعم")=0,$D21-SUM($T21:T21),ROUND($D21/COUNTIF($G21:$L21,"نعم"),2))),IF($F21="مبالغ متفق عليها",IF(H21="نعم",N21,0),"")))</f>
      </c>
      <c r="V21" s="151" t="str">
        <f>IF(COUNTIF($A21:$S21,"&lt;&gt;")=0,"",IF($F21="بالتساوي بين المشاركين",IF(I21&lt;&gt;"نعم",0,IF(COUNTIF($J21:$L21,"نعم")=0,$D21-SUM($T21:U21),ROUND($D21/COUNTIF($G21:$L21,"نعم"),2))),IF($F21="مبالغ متفق عليها",IF(I21="نعم",O21,0),"")))</f>
      </c>
      <c r="W21" s="151" t="str">
        <f>IF(COUNTIF($A21:$S21,"&lt;&gt;")=0,"",IF($F21="بالتساوي بين المشاركين",IF(J21&lt;&gt;"نعم",0,IF(COUNTIF($K21:$L21,"نعم")=0,$D21-SUM($T21:V21),ROUND($D21/COUNTIF($G21:$L21,"نعم"),2))),IF($F21="مبالغ متفق عليها",IF(J21="نعم",P21,0),"")))</f>
      </c>
      <c r="X21" s="151" t="str">
        <f>IF(COUNTIF($A21:$S21,"&lt;&gt;")=0,"",IF($F21="بالتساوي بين المشاركين",IF(K21&lt;&gt;"نعم",0,IF(COUNTIF($L21:$L21,"نعم")=0,$D21-SUM($T21:W21),ROUND($D21/COUNTIF($G21:$L21,"نعم"),2))),IF($F21="مبالغ متفق عليها",IF(K21="نعم",Q21,0),"")))</f>
      </c>
      <c r="Y21" s="151" t="str">
        <f>IF(COUNTIF($A21:$S21,"&lt;&gt;")=0,"",IF($F21="بالتساوي بين المشاركين",IF(L21&lt;&gt;"نعم",0,IF(0=0,$D21-SUM($T21:X21),ROUND($D21/COUNTIF($G21:$L21,"نعم"),2))),IF($F21="مبالغ متفق عليها",IF(L21="نعم",R21,0),"")))</f>
      </c>
      <c r="Z21" s="165" t="str">
        <f>IF(COUNTIF($A21:$S21,"&lt;&gt;")=0,"",IF(OR($D21="",$D21&lt;=0),"أدخل مبلغًا أكبر من صفر.",IF($E21="","اختر الشخص الذي دفع المبلغ.",IF(COUNTIF($G21:$L21,"نعم")=0,"حدد شخصًا واحدًا على الأقل للمشاركة في المصروف.",IF($F21="بالتساوي بين المشاركين","جاهز",IF($F21="مبالغ متفق عليها",IF(OR(AND(G21="نعم",M21=""),AND(H21="نعم",N21=""),AND(I21="نعم",O21=""),AND(J21="نعم",P21=""),AND(K21="نعم",Q21=""),AND(L21="نعم",R21="")),"أدخل المبالغ المتفق عليها بحيث يساوي مجموعها مبلغ المصروف.",IF(ABS(SUM($M21:$R21))&lt;0.005,"أدخل المبالغ المتفق عليها بحيث يساوي مجموعها مبلغ المصروف.",IF(SUM($M21:$R21)&lt;$D21-0.005,"يتبقى للتوزيع: "&amp;ROUND($D21-SUM($M21:$R21),2)&amp;".",IF(SUM($M21:$R21)&gt;$D21+0.005,"يزيد مجموع الحصص على المصروف بمقدار "&amp;ROUND(SUM($M21:$R21)-$D21,2)&amp;".","جاهز")))),"أدخل المبالغ المتفق عليها بحيث يساوي مجموعها مبلغ المصروف."))))))</f>
      </c>
    </row>
    <row r="22">
      <c r="A22" s="149"/>
      <c r="B22" s="138"/>
      <c r="C22" s="138"/>
      <c r="D22" s="150"/>
      <c r="E22" s="138"/>
      <c r="F22" s="138"/>
      <c r="G22" s="138"/>
      <c r="H22" s="138"/>
      <c r="I22" s="138"/>
      <c r="J22" s="138"/>
      <c r="K22" s="138"/>
      <c r="L22" s="138"/>
      <c r="M22" s="150"/>
      <c r="N22" s="150"/>
      <c r="O22" s="150"/>
      <c r="P22" s="150"/>
      <c r="Q22" s="150"/>
      <c r="R22" s="150"/>
      <c r="S22" s="138"/>
      <c r="T22" s="151" t="str">
        <f>IF(COUNTIF($A22:$S22,"&lt;&gt;")=0,"",IF($F22="بالتساوي بين المشاركين",IF(G22&lt;&gt;"نعم",0,IF(COUNTIF($H22:$L22,"نعم")=0,$D22-0,ROUND($D22/COUNTIF($G22:$L22,"نعم"),2))),IF($F22="مبالغ متفق عليها",IF(G22="نعم",M22,0),"")))</f>
      </c>
      <c r="U22" s="151" t="str">
        <f>IF(COUNTIF($A22:$S22,"&lt;&gt;")=0,"",IF($F22="بالتساوي بين المشاركين",IF(H22&lt;&gt;"نعم",0,IF(COUNTIF($I22:$L22,"نعم")=0,$D22-SUM($T22:T22),ROUND($D22/COUNTIF($G22:$L22,"نعم"),2))),IF($F22="مبالغ متفق عليها",IF(H22="نعم",N22,0),"")))</f>
      </c>
      <c r="V22" s="151" t="str">
        <f>IF(COUNTIF($A22:$S22,"&lt;&gt;")=0,"",IF($F22="بالتساوي بين المشاركين",IF(I22&lt;&gt;"نعم",0,IF(COUNTIF($J22:$L22,"نعم")=0,$D22-SUM($T22:U22),ROUND($D22/COUNTIF($G22:$L22,"نعم"),2))),IF($F22="مبالغ متفق عليها",IF(I22="نعم",O22,0),"")))</f>
      </c>
      <c r="W22" s="151" t="str">
        <f>IF(COUNTIF($A22:$S22,"&lt;&gt;")=0,"",IF($F22="بالتساوي بين المشاركين",IF(J22&lt;&gt;"نعم",0,IF(COUNTIF($K22:$L22,"نعم")=0,$D22-SUM($T22:V22),ROUND($D22/COUNTIF($G22:$L22,"نعم"),2))),IF($F22="مبالغ متفق عليها",IF(J22="نعم",P22,0),"")))</f>
      </c>
      <c r="X22" s="151" t="str">
        <f>IF(COUNTIF($A22:$S22,"&lt;&gt;")=0,"",IF($F22="بالتساوي بين المشاركين",IF(K22&lt;&gt;"نعم",0,IF(COUNTIF($L22:$L22,"نعم")=0,$D22-SUM($T22:W22),ROUND($D22/COUNTIF($G22:$L22,"نعم"),2))),IF($F22="مبالغ متفق عليها",IF(K22="نعم",Q22,0),"")))</f>
      </c>
      <c r="Y22" s="151" t="str">
        <f>IF(COUNTIF($A22:$S22,"&lt;&gt;")=0,"",IF($F22="بالتساوي بين المشاركين",IF(L22&lt;&gt;"نعم",0,IF(0=0,$D22-SUM($T22:X22),ROUND($D22/COUNTIF($G22:$L22,"نعم"),2))),IF($F22="مبالغ متفق عليها",IF(L22="نعم",R22,0),"")))</f>
      </c>
      <c r="Z22" s="165" t="str">
        <f>IF(COUNTIF($A22:$S22,"&lt;&gt;")=0,"",IF(OR($D22="",$D22&lt;=0),"أدخل مبلغًا أكبر من صفر.",IF($E22="","اختر الشخص الذي دفع المبلغ.",IF(COUNTIF($G22:$L22,"نعم")=0,"حدد شخصًا واحدًا على الأقل للمشاركة في المصروف.",IF($F22="بالتساوي بين المشاركين","جاهز",IF($F22="مبالغ متفق عليها",IF(OR(AND(G22="نعم",M22=""),AND(H22="نعم",N22=""),AND(I22="نعم",O22=""),AND(J22="نعم",P22=""),AND(K22="نعم",Q22=""),AND(L22="نعم",R22="")),"أدخل المبالغ المتفق عليها بحيث يساوي مجموعها مبلغ المصروف.",IF(ABS(SUM($M22:$R22))&lt;0.005,"أدخل المبالغ المتفق عليها بحيث يساوي مجموعها مبلغ المصروف.",IF(SUM($M22:$R22)&lt;$D22-0.005,"يتبقى للتوزيع: "&amp;ROUND($D22-SUM($M22:$R22),2)&amp;".",IF(SUM($M22:$R22)&gt;$D22+0.005,"يزيد مجموع الحصص على المصروف بمقدار "&amp;ROUND(SUM($M22:$R22)-$D22,2)&amp;".","جاهز")))),"أدخل المبالغ المتفق عليها بحيث يساوي مجموعها مبلغ المصروف."))))))</f>
      </c>
    </row>
    <row r="23">
      <c r="A23" s="149"/>
      <c r="B23" s="138"/>
      <c r="C23" s="138"/>
      <c r="D23" s="150"/>
      <c r="E23" s="138"/>
      <c r="F23" s="138"/>
      <c r="G23" s="138"/>
      <c r="H23" s="138"/>
      <c r="I23" s="138"/>
      <c r="J23" s="138"/>
      <c r="K23" s="138"/>
      <c r="L23" s="138"/>
      <c r="M23" s="150"/>
      <c r="N23" s="150"/>
      <c r="O23" s="150"/>
      <c r="P23" s="150"/>
      <c r="Q23" s="150"/>
      <c r="R23" s="150"/>
      <c r="S23" s="138"/>
      <c r="T23" s="151" t="str">
        <f>IF(COUNTIF($A23:$S23,"&lt;&gt;")=0,"",IF($F23="بالتساوي بين المشاركين",IF(G23&lt;&gt;"نعم",0,IF(COUNTIF($H23:$L23,"نعم")=0,$D23-0,ROUND($D23/COUNTIF($G23:$L23,"نعم"),2))),IF($F23="مبالغ متفق عليها",IF(G23="نعم",M23,0),"")))</f>
      </c>
      <c r="U23" s="151" t="str">
        <f>IF(COUNTIF($A23:$S23,"&lt;&gt;")=0,"",IF($F23="بالتساوي بين المشاركين",IF(H23&lt;&gt;"نعم",0,IF(COUNTIF($I23:$L23,"نعم")=0,$D23-SUM($T23:T23),ROUND($D23/COUNTIF($G23:$L23,"نعم"),2))),IF($F23="مبالغ متفق عليها",IF(H23="نعم",N23,0),"")))</f>
      </c>
      <c r="V23" s="151" t="str">
        <f>IF(COUNTIF($A23:$S23,"&lt;&gt;")=0,"",IF($F23="بالتساوي بين المشاركين",IF(I23&lt;&gt;"نعم",0,IF(COUNTIF($J23:$L23,"نعم")=0,$D23-SUM($T23:U23),ROUND($D23/COUNTIF($G23:$L23,"نعم"),2))),IF($F23="مبالغ متفق عليها",IF(I23="نعم",O23,0),"")))</f>
      </c>
      <c r="W23" s="151" t="str">
        <f>IF(COUNTIF($A23:$S23,"&lt;&gt;")=0,"",IF($F23="بالتساوي بين المشاركين",IF(J23&lt;&gt;"نعم",0,IF(COUNTIF($K23:$L23,"نعم")=0,$D23-SUM($T23:V23),ROUND($D23/COUNTIF($G23:$L23,"نعم"),2))),IF($F23="مبالغ متفق عليها",IF(J23="نعم",P23,0),"")))</f>
      </c>
      <c r="X23" s="151" t="str">
        <f>IF(COUNTIF($A23:$S23,"&lt;&gt;")=0,"",IF($F23="بالتساوي بين المشاركين",IF(K23&lt;&gt;"نعم",0,IF(COUNTIF($L23:$L23,"نعم")=0,$D23-SUM($T23:W23),ROUND($D23/COUNTIF($G23:$L23,"نعم"),2))),IF($F23="مبالغ متفق عليها",IF(K23="نعم",Q23,0),"")))</f>
      </c>
      <c r="Y23" s="151" t="str">
        <f>IF(COUNTIF($A23:$S23,"&lt;&gt;")=0,"",IF($F23="بالتساوي بين المشاركين",IF(L23&lt;&gt;"نعم",0,IF(0=0,$D23-SUM($T23:X23),ROUND($D23/COUNTIF($G23:$L23,"نعم"),2))),IF($F23="مبالغ متفق عليها",IF(L23="نعم",R23,0),"")))</f>
      </c>
      <c r="Z23" s="165" t="str">
        <f>IF(COUNTIF($A23:$S23,"&lt;&gt;")=0,"",IF(OR($D23="",$D23&lt;=0),"أدخل مبلغًا أكبر من صفر.",IF($E23="","اختر الشخص الذي دفع المبلغ.",IF(COUNTIF($G23:$L23,"نعم")=0,"حدد شخصًا واحدًا على الأقل للمشاركة في المصروف.",IF($F23="بالتساوي بين المشاركين","جاهز",IF($F23="مبالغ متفق عليها",IF(OR(AND(G23="نعم",M23=""),AND(H23="نعم",N23=""),AND(I23="نعم",O23=""),AND(J23="نعم",P23=""),AND(K23="نعم",Q23=""),AND(L23="نعم",R23="")),"أدخل المبالغ المتفق عليها بحيث يساوي مجموعها مبلغ المصروف.",IF(ABS(SUM($M23:$R23))&lt;0.005,"أدخل المبالغ المتفق عليها بحيث يساوي مجموعها مبلغ المصروف.",IF(SUM($M23:$R23)&lt;$D23-0.005,"يتبقى للتوزيع: "&amp;ROUND($D23-SUM($M23:$R23),2)&amp;".",IF(SUM($M23:$R23)&gt;$D23+0.005,"يزيد مجموع الحصص على المصروف بمقدار "&amp;ROUND(SUM($M23:$R23)-$D23,2)&amp;".","جاهز")))),"أدخل المبالغ المتفق عليها بحيث يساوي مجموعها مبلغ المصروف."))))))</f>
      </c>
    </row>
    <row r="24">
      <c r="A24" s="149"/>
      <c r="B24" s="138"/>
      <c r="C24" s="138"/>
      <c r="D24" s="150"/>
      <c r="E24" s="138"/>
      <c r="F24" s="138"/>
      <c r="G24" s="138"/>
      <c r="H24" s="138"/>
      <c r="I24" s="138"/>
      <c r="J24" s="138"/>
      <c r="K24" s="138"/>
      <c r="L24" s="138"/>
      <c r="M24" s="150"/>
      <c r="N24" s="150"/>
      <c r="O24" s="150"/>
      <c r="P24" s="150"/>
      <c r="Q24" s="150"/>
      <c r="R24" s="150"/>
      <c r="S24" s="138"/>
      <c r="T24" s="151" t="str">
        <f>IF(COUNTIF($A24:$S24,"&lt;&gt;")=0,"",IF($F24="بالتساوي بين المشاركين",IF(G24&lt;&gt;"نعم",0,IF(COUNTIF($H24:$L24,"نعم")=0,$D24-0,ROUND($D24/COUNTIF($G24:$L24,"نعم"),2))),IF($F24="مبالغ متفق عليها",IF(G24="نعم",M24,0),"")))</f>
      </c>
      <c r="U24" s="151" t="str">
        <f>IF(COUNTIF($A24:$S24,"&lt;&gt;")=0,"",IF($F24="بالتساوي بين المشاركين",IF(H24&lt;&gt;"نعم",0,IF(COUNTIF($I24:$L24,"نعم")=0,$D24-SUM($T24:T24),ROUND($D24/COUNTIF($G24:$L24,"نعم"),2))),IF($F24="مبالغ متفق عليها",IF(H24="نعم",N24,0),"")))</f>
      </c>
      <c r="V24" s="151" t="str">
        <f>IF(COUNTIF($A24:$S24,"&lt;&gt;")=0,"",IF($F24="بالتساوي بين المشاركين",IF(I24&lt;&gt;"نعم",0,IF(COUNTIF($J24:$L24,"نعم")=0,$D24-SUM($T24:U24),ROUND($D24/COUNTIF($G24:$L24,"نعم"),2))),IF($F24="مبالغ متفق عليها",IF(I24="نعم",O24,0),"")))</f>
      </c>
      <c r="W24" s="151" t="str">
        <f>IF(COUNTIF($A24:$S24,"&lt;&gt;")=0,"",IF($F24="بالتساوي بين المشاركين",IF(J24&lt;&gt;"نعم",0,IF(COUNTIF($K24:$L24,"نعم")=0,$D24-SUM($T24:V24),ROUND($D24/COUNTIF($G24:$L24,"نعم"),2))),IF($F24="مبالغ متفق عليها",IF(J24="نعم",P24,0),"")))</f>
      </c>
      <c r="X24" s="151" t="str">
        <f>IF(COUNTIF($A24:$S24,"&lt;&gt;")=0,"",IF($F24="بالتساوي بين المشاركين",IF(K24&lt;&gt;"نعم",0,IF(COUNTIF($L24:$L24,"نعم")=0,$D24-SUM($T24:W24),ROUND($D24/COUNTIF($G24:$L24,"نعم"),2))),IF($F24="مبالغ متفق عليها",IF(K24="نعم",Q24,0),"")))</f>
      </c>
      <c r="Y24" s="151" t="str">
        <f>IF(COUNTIF($A24:$S24,"&lt;&gt;")=0,"",IF($F24="بالتساوي بين المشاركين",IF(L24&lt;&gt;"نعم",0,IF(0=0,$D24-SUM($T24:X24),ROUND($D24/COUNTIF($G24:$L24,"نعم"),2))),IF($F24="مبالغ متفق عليها",IF(L24="نعم",R24,0),"")))</f>
      </c>
      <c r="Z24" s="165" t="str">
        <f>IF(COUNTIF($A24:$S24,"&lt;&gt;")=0,"",IF(OR($D24="",$D24&lt;=0),"أدخل مبلغًا أكبر من صفر.",IF($E24="","اختر الشخص الذي دفع المبلغ.",IF(COUNTIF($G24:$L24,"نعم")=0,"حدد شخصًا واحدًا على الأقل للمشاركة في المصروف.",IF($F24="بالتساوي بين المشاركين","جاهز",IF($F24="مبالغ متفق عليها",IF(OR(AND(G24="نعم",M24=""),AND(H24="نعم",N24=""),AND(I24="نعم",O24=""),AND(J24="نعم",P24=""),AND(K24="نعم",Q24=""),AND(L24="نعم",R24="")),"أدخل المبالغ المتفق عليها بحيث يساوي مجموعها مبلغ المصروف.",IF(ABS(SUM($M24:$R24))&lt;0.005,"أدخل المبالغ المتفق عليها بحيث يساوي مجموعها مبلغ المصروف.",IF(SUM($M24:$R24)&lt;$D24-0.005,"يتبقى للتوزيع: "&amp;ROUND($D24-SUM($M24:$R24),2)&amp;".",IF(SUM($M24:$R24)&gt;$D24+0.005,"يزيد مجموع الحصص على المصروف بمقدار "&amp;ROUND(SUM($M24:$R24)-$D24,2)&amp;".","جاهز")))),"أدخل المبالغ المتفق عليها بحيث يساوي مجموعها مبلغ المصروف."))))))</f>
      </c>
    </row>
    <row r="25">
      <c r="A25" s="149"/>
      <c r="B25" s="138"/>
      <c r="C25" s="138"/>
      <c r="D25" s="150"/>
      <c r="E25" s="138"/>
      <c r="F25" s="138"/>
      <c r="G25" s="138"/>
      <c r="H25" s="138"/>
      <c r="I25" s="138"/>
      <c r="J25" s="138"/>
      <c r="K25" s="138"/>
      <c r="L25" s="138"/>
      <c r="M25" s="150"/>
      <c r="N25" s="150"/>
      <c r="O25" s="150"/>
      <c r="P25" s="150"/>
      <c r="Q25" s="150"/>
      <c r="R25" s="150"/>
      <c r="S25" s="138"/>
      <c r="T25" s="151" t="str">
        <f>IF(COUNTIF($A25:$S25,"&lt;&gt;")=0,"",IF($F25="بالتساوي بين المشاركين",IF(G25&lt;&gt;"نعم",0,IF(COUNTIF($H25:$L25,"نعم")=0,$D25-0,ROUND($D25/COUNTIF($G25:$L25,"نعم"),2))),IF($F25="مبالغ متفق عليها",IF(G25="نعم",M25,0),"")))</f>
      </c>
      <c r="U25" s="151" t="str">
        <f>IF(COUNTIF($A25:$S25,"&lt;&gt;")=0,"",IF($F25="بالتساوي بين المشاركين",IF(H25&lt;&gt;"نعم",0,IF(COUNTIF($I25:$L25,"نعم")=0,$D25-SUM($T25:T25),ROUND($D25/COUNTIF($G25:$L25,"نعم"),2))),IF($F25="مبالغ متفق عليها",IF(H25="نعم",N25,0),"")))</f>
      </c>
      <c r="V25" s="151" t="str">
        <f>IF(COUNTIF($A25:$S25,"&lt;&gt;")=0,"",IF($F25="بالتساوي بين المشاركين",IF(I25&lt;&gt;"نعم",0,IF(COUNTIF($J25:$L25,"نعم")=0,$D25-SUM($T25:U25),ROUND($D25/COUNTIF($G25:$L25,"نعم"),2))),IF($F25="مبالغ متفق عليها",IF(I25="نعم",O25,0),"")))</f>
      </c>
      <c r="W25" s="151" t="str">
        <f>IF(COUNTIF($A25:$S25,"&lt;&gt;")=0,"",IF($F25="بالتساوي بين المشاركين",IF(J25&lt;&gt;"نعم",0,IF(COUNTIF($K25:$L25,"نعم")=0,$D25-SUM($T25:V25),ROUND($D25/COUNTIF($G25:$L25,"نعم"),2))),IF($F25="مبالغ متفق عليها",IF(J25="نعم",P25,0),"")))</f>
      </c>
      <c r="X25" s="151" t="str">
        <f>IF(COUNTIF($A25:$S25,"&lt;&gt;")=0,"",IF($F25="بالتساوي بين المشاركين",IF(K25&lt;&gt;"نعم",0,IF(COUNTIF($L25:$L25,"نعم")=0,$D25-SUM($T25:W25),ROUND($D25/COUNTIF($G25:$L25,"نعم"),2))),IF($F25="مبالغ متفق عليها",IF(K25="نعم",Q25,0),"")))</f>
      </c>
      <c r="Y25" s="151" t="str">
        <f>IF(COUNTIF($A25:$S25,"&lt;&gt;")=0,"",IF($F25="بالتساوي بين المشاركين",IF(L25&lt;&gt;"نعم",0,IF(0=0,$D25-SUM($T25:X25),ROUND($D25/COUNTIF($G25:$L25,"نعم"),2))),IF($F25="مبالغ متفق عليها",IF(L25="نعم",R25,0),"")))</f>
      </c>
      <c r="Z25" s="165" t="str">
        <f>IF(COUNTIF($A25:$S25,"&lt;&gt;")=0,"",IF(OR($D25="",$D25&lt;=0),"أدخل مبلغًا أكبر من صفر.",IF($E25="","اختر الشخص الذي دفع المبلغ.",IF(COUNTIF($G25:$L25,"نعم")=0,"حدد شخصًا واحدًا على الأقل للمشاركة في المصروف.",IF($F25="بالتساوي بين المشاركين","جاهز",IF($F25="مبالغ متفق عليها",IF(OR(AND(G25="نعم",M25=""),AND(H25="نعم",N25=""),AND(I25="نعم",O25=""),AND(J25="نعم",P25=""),AND(K25="نعم",Q25=""),AND(L25="نعم",R25="")),"أدخل المبالغ المتفق عليها بحيث يساوي مجموعها مبلغ المصروف.",IF(ABS(SUM($M25:$R25))&lt;0.005,"أدخل المبالغ المتفق عليها بحيث يساوي مجموعها مبلغ المصروف.",IF(SUM($M25:$R25)&lt;$D25-0.005,"يتبقى للتوزيع: "&amp;ROUND($D25-SUM($M25:$R25),2)&amp;".",IF(SUM($M25:$R25)&gt;$D25+0.005,"يزيد مجموع الحصص على المصروف بمقدار "&amp;ROUND(SUM($M25:$R25)-$D25,2)&amp;".","جاهز")))),"أدخل المبالغ المتفق عليها بحيث يساوي مجموعها مبلغ المصروف."))))))</f>
      </c>
    </row>
    <row r="26">
      <c r="A26" s="149"/>
      <c r="B26" s="138"/>
      <c r="C26" s="138"/>
      <c r="D26" s="150"/>
      <c r="E26" s="138"/>
      <c r="F26" s="138"/>
      <c r="G26" s="138"/>
      <c r="H26" s="138"/>
      <c r="I26" s="138"/>
      <c r="J26" s="138"/>
      <c r="K26" s="138"/>
      <c r="L26" s="138"/>
      <c r="M26" s="150"/>
      <c r="N26" s="150"/>
      <c r="O26" s="150"/>
      <c r="P26" s="150"/>
      <c r="Q26" s="150"/>
      <c r="R26" s="150"/>
      <c r="S26" s="138"/>
      <c r="T26" s="151" t="str">
        <f>IF(COUNTIF($A26:$S26,"&lt;&gt;")=0,"",IF($F26="بالتساوي بين المشاركين",IF(G26&lt;&gt;"نعم",0,IF(COUNTIF($H26:$L26,"نعم")=0,$D26-0,ROUND($D26/COUNTIF($G26:$L26,"نعم"),2))),IF($F26="مبالغ متفق عليها",IF(G26="نعم",M26,0),"")))</f>
      </c>
      <c r="U26" s="151" t="str">
        <f>IF(COUNTIF($A26:$S26,"&lt;&gt;")=0,"",IF($F26="بالتساوي بين المشاركين",IF(H26&lt;&gt;"نعم",0,IF(COUNTIF($I26:$L26,"نعم")=0,$D26-SUM($T26:T26),ROUND($D26/COUNTIF($G26:$L26,"نعم"),2))),IF($F26="مبالغ متفق عليها",IF(H26="نعم",N26,0),"")))</f>
      </c>
      <c r="V26" s="151" t="str">
        <f>IF(COUNTIF($A26:$S26,"&lt;&gt;")=0,"",IF($F26="بالتساوي بين المشاركين",IF(I26&lt;&gt;"نعم",0,IF(COUNTIF($J26:$L26,"نعم")=0,$D26-SUM($T26:U26),ROUND($D26/COUNTIF($G26:$L26,"نعم"),2))),IF($F26="مبالغ متفق عليها",IF(I26="نعم",O26,0),"")))</f>
      </c>
      <c r="W26" s="151" t="str">
        <f>IF(COUNTIF($A26:$S26,"&lt;&gt;")=0,"",IF($F26="بالتساوي بين المشاركين",IF(J26&lt;&gt;"نعم",0,IF(COUNTIF($K26:$L26,"نعم")=0,$D26-SUM($T26:V26),ROUND($D26/COUNTIF($G26:$L26,"نعم"),2))),IF($F26="مبالغ متفق عليها",IF(J26="نعم",P26,0),"")))</f>
      </c>
      <c r="X26" s="151" t="str">
        <f>IF(COUNTIF($A26:$S26,"&lt;&gt;")=0,"",IF($F26="بالتساوي بين المشاركين",IF(K26&lt;&gt;"نعم",0,IF(COUNTIF($L26:$L26,"نعم")=0,$D26-SUM($T26:W26),ROUND($D26/COUNTIF($G26:$L26,"نعم"),2))),IF($F26="مبالغ متفق عليها",IF(K26="نعم",Q26,0),"")))</f>
      </c>
      <c r="Y26" s="151" t="str">
        <f>IF(COUNTIF($A26:$S26,"&lt;&gt;")=0,"",IF($F26="بالتساوي بين المشاركين",IF(L26&lt;&gt;"نعم",0,IF(0=0,$D26-SUM($T26:X26),ROUND($D26/COUNTIF($G26:$L26,"نعم"),2))),IF($F26="مبالغ متفق عليها",IF(L26="نعم",R26,0),"")))</f>
      </c>
      <c r="Z26" s="165" t="str">
        <f>IF(COUNTIF($A26:$S26,"&lt;&gt;")=0,"",IF(OR($D26="",$D26&lt;=0),"أدخل مبلغًا أكبر من صفر.",IF($E26="","اختر الشخص الذي دفع المبلغ.",IF(COUNTIF($G26:$L26,"نعم")=0,"حدد شخصًا واحدًا على الأقل للمشاركة في المصروف.",IF($F26="بالتساوي بين المشاركين","جاهز",IF($F26="مبالغ متفق عليها",IF(OR(AND(G26="نعم",M26=""),AND(H26="نعم",N26=""),AND(I26="نعم",O26=""),AND(J26="نعم",P26=""),AND(K26="نعم",Q26=""),AND(L26="نعم",R26="")),"أدخل المبالغ المتفق عليها بحيث يساوي مجموعها مبلغ المصروف.",IF(ABS(SUM($M26:$R26))&lt;0.005,"أدخل المبالغ المتفق عليها بحيث يساوي مجموعها مبلغ المصروف.",IF(SUM($M26:$R26)&lt;$D26-0.005,"يتبقى للتوزيع: "&amp;ROUND($D26-SUM($M26:$R26),2)&amp;".",IF(SUM($M26:$R26)&gt;$D26+0.005,"يزيد مجموع الحصص على المصروف بمقدار "&amp;ROUND(SUM($M26:$R26)-$D26,2)&amp;".","جاهز")))),"أدخل المبالغ المتفق عليها بحيث يساوي مجموعها مبلغ المصروف."))))))</f>
      </c>
    </row>
    <row r="27">
      <c r="A27" s="149"/>
      <c r="B27" s="138"/>
      <c r="C27" s="138"/>
      <c r="D27" s="150"/>
      <c r="E27" s="138"/>
      <c r="F27" s="138"/>
      <c r="G27" s="138"/>
      <c r="H27" s="138"/>
      <c r="I27" s="138"/>
      <c r="J27" s="138"/>
      <c r="K27" s="138"/>
      <c r="L27" s="138"/>
      <c r="M27" s="150"/>
      <c r="N27" s="150"/>
      <c r="O27" s="150"/>
      <c r="P27" s="150"/>
      <c r="Q27" s="150"/>
      <c r="R27" s="150"/>
      <c r="S27" s="138"/>
      <c r="T27" s="151" t="str">
        <f>IF(COUNTIF($A27:$S27,"&lt;&gt;")=0,"",IF($F27="بالتساوي بين المشاركين",IF(G27&lt;&gt;"نعم",0,IF(COUNTIF($H27:$L27,"نعم")=0,$D27-0,ROUND($D27/COUNTIF($G27:$L27,"نعم"),2))),IF($F27="مبالغ متفق عليها",IF(G27="نعم",M27,0),"")))</f>
      </c>
      <c r="U27" s="151" t="str">
        <f>IF(COUNTIF($A27:$S27,"&lt;&gt;")=0,"",IF($F27="بالتساوي بين المشاركين",IF(H27&lt;&gt;"نعم",0,IF(COUNTIF($I27:$L27,"نعم")=0,$D27-SUM($T27:T27),ROUND($D27/COUNTIF($G27:$L27,"نعم"),2))),IF($F27="مبالغ متفق عليها",IF(H27="نعم",N27,0),"")))</f>
      </c>
      <c r="V27" s="151" t="str">
        <f>IF(COUNTIF($A27:$S27,"&lt;&gt;")=0,"",IF($F27="بالتساوي بين المشاركين",IF(I27&lt;&gt;"نعم",0,IF(COUNTIF($J27:$L27,"نعم")=0,$D27-SUM($T27:U27),ROUND($D27/COUNTIF($G27:$L27,"نعم"),2))),IF($F27="مبالغ متفق عليها",IF(I27="نعم",O27,0),"")))</f>
      </c>
      <c r="W27" s="151" t="str">
        <f>IF(COUNTIF($A27:$S27,"&lt;&gt;")=0,"",IF($F27="بالتساوي بين المشاركين",IF(J27&lt;&gt;"نعم",0,IF(COUNTIF($K27:$L27,"نعم")=0,$D27-SUM($T27:V27),ROUND($D27/COUNTIF($G27:$L27,"نعم"),2))),IF($F27="مبالغ متفق عليها",IF(J27="نعم",P27,0),"")))</f>
      </c>
      <c r="X27" s="151" t="str">
        <f>IF(COUNTIF($A27:$S27,"&lt;&gt;")=0,"",IF($F27="بالتساوي بين المشاركين",IF(K27&lt;&gt;"نعم",0,IF(COUNTIF($L27:$L27,"نعم")=0,$D27-SUM($T27:W27),ROUND($D27/COUNTIF($G27:$L27,"نعم"),2))),IF($F27="مبالغ متفق عليها",IF(K27="نعم",Q27,0),"")))</f>
      </c>
      <c r="Y27" s="151" t="str">
        <f>IF(COUNTIF($A27:$S27,"&lt;&gt;")=0,"",IF($F27="بالتساوي بين المشاركين",IF(L27&lt;&gt;"نعم",0,IF(0=0,$D27-SUM($T27:X27),ROUND($D27/COUNTIF($G27:$L27,"نعم"),2))),IF($F27="مبالغ متفق عليها",IF(L27="نعم",R27,0),"")))</f>
      </c>
      <c r="Z27" s="165" t="str">
        <f>IF(COUNTIF($A27:$S27,"&lt;&gt;")=0,"",IF(OR($D27="",$D27&lt;=0),"أدخل مبلغًا أكبر من صفر.",IF($E27="","اختر الشخص الذي دفع المبلغ.",IF(COUNTIF($G27:$L27,"نعم")=0,"حدد شخصًا واحدًا على الأقل للمشاركة في المصروف.",IF($F27="بالتساوي بين المشاركين","جاهز",IF($F27="مبالغ متفق عليها",IF(OR(AND(G27="نعم",M27=""),AND(H27="نعم",N27=""),AND(I27="نعم",O27=""),AND(J27="نعم",P27=""),AND(K27="نعم",Q27=""),AND(L27="نعم",R27="")),"أدخل المبالغ المتفق عليها بحيث يساوي مجموعها مبلغ المصروف.",IF(ABS(SUM($M27:$R27))&lt;0.005,"أدخل المبالغ المتفق عليها بحيث يساوي مجموعها مبلغ المصروف.",IF(SUM($M27:$R27)&lt;$D27-0.005,"يتبقى للتوزيع: "&amp;ROUND($D27-SUM($M27:$R27),2)&amp;".",IF(SUM($M27:$R27)&gt;$D27+0.005,"يزيد مجموع الحصص على المصروف بمقدار "&amp;ROUND(SUM($M27:$R27)-$D27,2)&amp;".","جاهز")))),"أدخل المبالغ المتفق عليها بحيث يساوي مجموعها مبلغ المصروف."))))))</f>
      </c>
    </row>
    <row r="28">
      <c r="A28" s="149"/>
      <c r="B28" s="138"/>
      <c r="C28" s="138"/>
      <c r="D28" s="150"/>
      <c r="E28" s="138"/>
      <c r="F28" s="138"/>
      <c r="G28" s="138"/>
      <c r="H28" s="138"/>
      <c r="I28" s="138"/>
      <c r="J28" s="138"/>
      <c r="K28" s="138"/>
      <c r="L28" s="138"/>
      <c r="M28" s="150"/>
      <c r="N28" s="150"/>
      <c r="O28" s="150"/>
      <c r="P28" s="150"/>
      <c r="Q28" s="150"/>
      <c r="R28" s="150"/>
      <c r="S28" s="138"/>
      <c r="T28" s="151" t="str">
        <f>IF(COUNTIF($A28:$S28,"&lt;&gt;")=0,"",IF($F28="بالتساوي بين المشاركين",IF(G28&lt;&gt;"نعم",0,IF(COUNTIF($H28:$L28,"نعم")=0,$D28-0,ROUND($D28/COUNTIF($G28:$L28,"نعم"),2))),IF($F28="مبالغ متفق عليها",IF(G28="نعم",M28,0),"")))</f>
      </c>
      <c r="U28" s="151" t="str">
        <f>IF(COUNTIF($A28:$S28,"&lt;&gt;")=0,"",IF($F28="بالتساوي بين المشاركين",IF(H28&lt;&gt;"نعم",0,IF(COUNTIF($I28:$L28,"نعم")=0,$D28-SUM($T28:T28),ROUND($D28/COUNTIF($G28:$L28,"نعم"),2))),IF($F28="مبالغ متفق عليها",IF(H28="نعم",N28,0),"")))</f>
      </c>
      <c r="V28" s="151" t="str">
        <f>IF(COUNTIF($A28:$S28,"&lt;&gt;")=0,"",IF($F28="بالتساوي بين المشاركين",IF(I28&lt;&gt;"نعم",0,IF(COUNTIF($J28:$L28,"نعم")=0,$D28-SUM($T28:U28),ROUND($D28/COUNTIF($G28:$L28,"نعم"),2))),IF($F28="مبالغ متفق عليها",IF(I28="نعم",O28,0),"")))</f>
      </c>
      <c r="W28" s="151" t="str">
        <f>IF(COUNTIF($A28:$S28,"&lt;&gt;")=0,"",IF($F28="بالتساوي بين المشاركين",IF(J28&lt;&gt;"نعم",0,IF(COUNTIF($K28:$L28,"نعم")=0,$D28-SUM($T28:V28),ROUND($D28/COUNTIF($G28:$L28,"نعم"),2))),IF($F28="مبالغ متفق عليها",IF(J28="نعم",P28,0),"")))</f>
      </c>
      <c r="X28" s="151" t="str">
        <f>IF(COUNTIF($A28:$S28,"&lt;&gt;")=0,"",IF($F28="بالتساوي بين المشاركين",IF(K28&lt;&gt;"نعم",0,IF(COUNTIF($L28:$L28,"نعم")=0,$D28-SUM($T28:W28),ROUND($D28/COUNTIF($G28:$L28,"نعم"),2))),IF($F28="مبالغ متفق عليها",IF(K28="نعم",Q28,0),"")))</f>
      </c>
      <c r="Y28" s="151" t="str">
        <f>IF(COUNTIF($A28:$S28,"&lt;&gt;")=0,"",IF($F28="بالتساوي بين المشاركين",IF(L28&lt;&gt;"نعم",0,IF(0=0,$D28-SUM($T28:X28),ROUND($D28/COUNTIF($G28:$L28,"نعم"),2))),IF($F28="مبالغ متفق عليها",IF(L28="نعم",R28,0),"")))</f>
      </c>
      <c r="Z28" s="165" t="str">
        <f>IF(COUNTIF($A28:$S28,"&lt;&gt;")=0,"",IF(OR($D28="",$D28&lt;=0),"أدخل مبلغًا أكبر من صفر.",IF($E28="","اختر الشخص الذي دفع المبلغ.",IF(COUNTIF($G28:$L28,"نعم")=0,"حدد شخصًا واحدًا على الأقل للمشاركة في المصروف.",IF($F28="بالتساوي بين المشاركين","جاهز",IF($F28="مبالغ متفق عليها",IF(OR(AND(G28="نعم",M28=""),AND(H28="نعم",N28=""),AND(I28="نعم",O28=""),AND(J28="نعم",P28=""),AND(K28="نعم",Q28=""),AND(L28="نعم",R28="")),"أدخل المبالغ المتفق عليها بحيث يساوي مجموعها مبلغ المصروف.",IF(ABS(SUM($M28:$R28))&lt;0.005,"أدخل المبالغ المتفق عليها بحيث يساوي مجموعها مبلغ المصروف.",IF(SUM($M28:$R28)&lt;$D28-0.005,"يتبقى للتوزيع: "&amp;ROUND($D28-SUM($M28:$R28),2)&amp;".",IF(SUM($M28:$R28)&gt;$D28+0.005,"يزيد مجموع الحصص على المصروف بمقدار "&amp;ROUND(SUM($M28:$R28)-$D28,2)&amp;".","جاهز")))),"أدخل المبالغ المتفق عليها بحيث يساوي مجموعها مبلغ المصروف."))))))</f>
      </c>
    </row>
    <row r="29">
      <c r="A29" s="149"/>
      <c r="B29" s="138"/>
      <c r="C29" s="138"/>
      <c r="D29" s="150"/>
      <c r="E29" s="138"/>
      <c r="F29" s="138"/>
      <c r="G29" s="138"/>
      <c r="H29" s="138"/>
      <c r="I29" s="138"/>
      <c r="J29" s="138"/>
      <c r="K29" s="138"/>
      <c r="L29" s="138"/>
      <c r="M29" s="150"/>
      <c r="N29" s="150"/>
      <c r="O29" s="150"/>
      <c r="P29" s="150"/>
      <c r="Q29" s="150"/>
      <c r="R29" s="150"/>
      <c r="S29" s="138"/>
      <c r="T29" s="151" t="str">
        <f>IF(COUNTIF($A29:$S29,"&lt;&gt;")=0,"",IF($F29="بالتساوي بين المشاركين",IF(G29&lt;&gt;"نعم",0,IF(COUNTIF($H29:$L29,"نعم")=0,$D29-0,ROUND($D29/COUNTIF($G29:$L29,"نعم"),2))),IF($F29="مبالغ متفق عليها",IF(G29="نعم",M29,0),"")))</f>
      </c>
      <c r="U29" s="151" t="str">
        <f>IF(COUNTIF($A29:$S29,"&lt;&gt;")=0,"",IF($F29="بالتساوي بين المشاركين",IF(H29&lt;&gt;"نعم",0,IF(COUNTIF($I29:$L29,"نعم")=0,$D29-SUM($T29:T29),ROUND($D29/COUNTIF($G29:$L29,"نعم"),2))),IF($F29="مبالغ متفق عليها",IF(H29="نعم",N29,0),"")))</f>
      </c>
      <c r="V29" s="151" t="str">
        <f>IF(COUNTIF($A29:$S29,"&lt;&gt;")=0,"",IF($F29="بالتساوي بين المشاركين",IF(I29&lt;&gt;"نعم",0,IF(COUNTIF($J29:$L29,"نعم")=0,$D29-SUM($T29:U29),ROUND($D29/COUNTIF($G29:$L29,"نعم"),2))),IF($F29="مبالغ متفق عليها",IF(I29="نعم",O29,0),"")))</f>
      </c>
      <c r="W29" s="151" t="str">
        <f>IF(COUNTIF($A29:$S29,"&lt;&gt;")=0,"",IF($F29="بالتساوي بين المشاركين",IF(J29&lt;&gt;"نعم",0,IF(COUNTIF($K29:$L29,"نعم")=0,$D29-SUM($T29:V29),ROUND($D29/COUNTIF($G29:$L29,"نعم"),2))),IF($F29="مبالغ متفق عليها",IF(J29="نعم",P29,0),"")))</f>
      </c>
      <c r="X29" s="151" t="str">
        <f>IF(COUNTIF($A29:$S29,"&lt;&gt;")=0,"",IF($F29="بالتساوي بين المشاركين",IF(K29&lt;&gt;"نعم",0,IF(COUNTIF($L29:$L29,"نعم")=0,$D29-SUM($T29:W29),ROUND($D29/COUNTIF($G29:$L29,"نعم"),2))),IF($F29="مبالغ متفق عليها",IF(K29="نعم",Q29,0),"")))</f>
      </c>
      <c r="Y29" s="151" t="str">
        <f>IF(COUNTIF($A29:$S29,"&lt;&gt;")=0,"",IF($F29="بالتساوي بين المشاركين",IF(L29&lt;&gt;"نعم",0,IF(0=0,$D29-SUM($T29:X29),ROUND($D29/COUNTIF($G29:$L29,"نعم"),2))),IF($F29="مبالغ متفق عليها",IF(L29="نعم",R29,0),"")))</f>
      </c>
      <c r="Z29" s="165" t="str">
        <f>IF(COUNTIF($A29:$S29,"&lt;&gt;")=0,"",IF(OR($D29="",$D29&lt;=0),"أدخل مبلغًا أكبر من صفر.",IF($E29="","اختر الشخص الذي دفع المبلغ.",IF(COUNTIF($G29:$L29,"نعم")=0,"حدد شخصًا واحدًا على الأقل للمشاركة في المصروف.",IF($F29="بالتساوي بين المشاركين","جاهز",IF($F29="مبالغ متفق عليها",IF(OR(AND(G29="نعم",M29=""),AND(H29="نعم",N29=""),AND(I29="نعم",O29=""),AND(J29="نعم",P29=""),AND(K29="نعم",Q29=""),AND(L29="نعم",R29="")),"أدخل المبالغ المتفق عليها بحيث يساوي مجموعها مبلغ المصروف.",IF(ABS(SUM($M29:$R29))&lt;0.005,"أدخل المبالغ المتفق عليها بحيث يساوي مجموعها مبلغ المصروف.",IF(SUM($M29:$R29)&lt;$D29-0.005,"يتبقى للتوزيع: "&amp;ROUND($D29-SUM($M29:$R29),2)&amp;".",IF(SUM($M29:$R29)&gt;$D29+0.005,"يزيد مجموع الحصص على المصروف بمقدار "&amp;ROUND(SUM($M29:$R29)-$D29,2)&amp;".","جاهز")))),"أدخل المبالغ المتفق عليها بحيث يساوي مجموعها مبلغ المصروف."))))))</f>
      </c>
    </row>
    <row r="30">
      <c r="A30" s="149"/>
      <c r="B30" s="138"/>
      <c r="C30" s="138"/>
      <c r="D30" s="150"/>
      <c r="E30" s="138"/>
      <c r="F30" s="138"/>
      <c r="G30" s="138"/>
      <c r="H30" s="138"/>
      <c r="I30" s="138"/>
      <c r="J30" s="138"/>
      <c r="K30" s="138"/>
      <c r="L30" s="138"/>
      <c r="M30" s="150"/>
      <c r="N30" s="150"/>
      <c r="O30" s="150"/>
      <c r="P30" s="150"/>
      <c r="Q30" s="150"/>
      <c r="R30" s="150"/>
      <c r="S30" s="138"/>
      <c r="T30" s="151" t="str">
        <f>IF(COUNTIF($A30:$S30,"&lt;&gt;")=0,"",IF($F30="بالتساوي بين المشاركين",IF(G30&lt;&gt;"نعم",0,IF(COUNTIF($H30:$L30,"نعم")=0,$D30-0,ROUND($D30/COUNTIF($G30:$L30,"نعم"),2))),IF($F30="مبالغ متفق عليها",IF(G30="نعم",M30,0),"")))</f>
      </c>
      <c r="U30" s="151" t="str">
        <f>IF(COUNTIF($A30:$S30,"&lt;&gt;")=0,"",IF($F30="بالتساوي بين المشاركين",IF(H30&lt;&gt;"نعم",0,IF(COUNTIF($I30:$L30,"نعم")=0,$D30-SUM($T30:T30),ROUND($D30/COUNTIF($G30:$L30,"نعم"),2))),IF($F30="مبالغ متفق عليها",IF(H30="نعم",N30,0),"")))</f>
      </c>
      <c r="V30" s="151" t="str">
        <f>IF(COUNTIF($A30:$S30,"&lt;&gt;")=0,"",IF($F30="بالتساوي بين المشاركين",IF(I30&lt;&gt;"نعم",0,IF(COUNTIF($J30:$L30,"نعم")=0,$D30-SUM($T30:U30),ROUND($D30/COUNTIF($G30:$L30,"نعم"),2))),IF($F30="مبالغ متفق عليها",IF(I30="نعم",O30,0),"")))</f>
      </c>
      <c r="W30" s="151" t="str">
        <f>IF(COUNTIF($A30:$S30,"&lt;&gt;")=0,"",IF($F30="بالتساوي بين المشاركين",IF(J30&lt;&gt;"نعم",0,IF(COUNTIF($K30:$L30,"نعم")=0,$D30-SUM($T30:V30),ROUND($D30/COUNTIF($G30:$L30,"نعم"),2))),IF($F30="مبالغ متفق عليها",IF(J30="نعم",P30,0),"")))</f>
      </c>
      <c r="X30" s="151" t="str">
        <f>IF(COUNTIF($A30:$S30,"&lt;&gt;")=0,"",IF($F30="بالتساوي بين المشاركين",IF(K30&lt;&gt;"نعم",0,IF(COUNTIF($L30:$L30,"نعم")=0,$D30-SUM($T30:W30),ROUND($D30/COUNTIF($G30:$L30,"نعم"),2))),IF($F30="مبالغ متفق عليها",IF(K30="نعم",Q30,0),"")))</f>
      </c>
      <c r="Y30" s="151" t="str">
        <f>IF(COUNTIF($A30:$S30,"&lt;&gt;")=0,"",IF($F30="بالتساوي بين المشاركين",IF(L30&lt;&gt;"نعم",0,IF(0=0,$D30-SUM($T30:X30),ROUND($D30/COUNTIF($G30:$L30,"نعم"),2))),IF($F30="مبالغ متفق عليها",IF(L30="نعم",R30,0),"")))</f>
      </c>
      <c r="Z30" s="165" t="str">
        <f>IF(COUNTIF($A30:$S30,"&lt;&gt;")=0,"",IF(OR($D30="",$D30&lt;=0),"أدخل مبلغًا أكبر من صفر.",IF($E30="","اختر الشخص الذي دفع المبلغ.",IF(COUNTIF($G30:$L30,"نعم")=0,"حدد شخصًا واحدًا على الأقل للمشاركة في المصروف.",IF($F30="بالتساوي بين المشاركين","جاهز",IF($F30="مبالغ متفق عليها",IF(OR(AND(G30="نعم",M30=""),AND(H30="نعم",N30=""),AND(I30="نعم",O30=""),AND(J30="نعم",P30=""),AND(K30="نعم",Q30=""),AND(L30="نعم",R30="")),"أدخل المبالغ المتفق عليها بحيث يساوي مجموعها مبلغ المصروف.",IF(ABS(SUM($M30:$R30))&lt;0.005,"أدخل المبالغ المتفق عليها بحيث يساوي مجموعها مبلغ المصروف.",IF(SUM($M30:$R30)&lt;$D30-0.005,"يتبقى للتوزيع: "&amp;ROUND($D30-SUM($M30:$R30),2)&amp;".",IF(SUM($M30:$R30)&gt;$D30+0.005,"يزيد مجموع الحصص على المصروف بمقدار "&amp;ROUND(SUM($M30:$R30)-$D30,2)&amp;".","جاهز")))),"أدخل المبالغ المتفق عليها بحيث يساوي مجموعها مبلغ المصروف."))))))</f>
      </c>
    </row>
    <row r="31">
      <c r="A31" s="149"/>
      <c r="B31" s="138"/>
      <c r="C31" s="138"/>
      <c r="D31" s="150"/>
      <c r="E31" s="138"/>
      <c r="F31" s="138"/>
      <c r="G31" s="138"/>
      <c r="H31" s="138"/>
      <c r="I31" s="138"/>
      <c r="J31" s="138"/>
      <c r="K31" s="138"/>
      <c r="L31" s="138"/>
      <c r="M31" s="150"/>
      <c r="N31" s="150"/>
      <c r="O31" s="150"/>
      <c r="P31" s="150"/>
      <c r="Q31" s="150"/>
      <c r="R31" s="150"/>
      <c r="S31" s="138"/>
      <c r="T31" s="151" t="str">
        <f>IF(COUNTIF($A31:$S31,"&lt;&gt;")=0,"",IF($F31="بالتساوي بين المشاركين",IF(G31&lt;&gt;"نعم",0,IF(COUNTIF($H31:$L31,"نعم")=0,$D31-0,ROUND($D31/COUNTIF($G31:$L31,"نعم"),2))),IF($F31="مبالغ متفق عليها",IF(G31="نعم",M31,0),"")))</f>
      </c>
      <c r="U31" s="151" t="str">
        <f>IF(COUNTIF($A31:$S31,"&lt;&gt;")=0,"",IF($F31="بالتساوي بين المشاركين",IF(H31&lt;&gt;"نعم",0,IF(COUNTIF($I31:$L31,"نعم")=0,$D31-SUM($T31:T31),ROUND($D31/COUNTIF($G31:$L31,"نعم"),2))),IF($F31="مبالغ متفق عليها",IF(H31="نعم",N31,0),"")))</f>
      </c>
      <c r="V31" s="151" t="str">
        <f>IF(COUNTIF($A31:$S31,"&lt;&gt;")=0,"",IF($F31="بالتساوي بين المشاركين",IF(I31&lt;&gt;"نعم",0,IF(COUNTIF($J31:$L31,"نعم")=0,$D31-SUM($T31:U31),ROUND($D31/COUNTIF($G31:$L31,"نعم"),2))),IF($F31="مبالغ متفق عليها",IF(I31="نعم",O31,0),"")))</f>
      </c>
      <c r="W31" s="151" t="str">
        <f>IF(COUNTIF($A31:$S31,"&lt;&gt;")=0,"",IF($F31="بالتساوي بين المشاركين",IF(J31&lt;&gt;"نعم",0,IF(COUNTIF($K31:$L31,"نعم")=0,$D31-SUM($T31:V31),ROUND($D31/COUNTIF($G31:$L31,"نعم"),2))),IF($F31="مبالغ متفق عليها",IF(J31="نعم",P31,0),"")))</f>
      </c>
      <c r="X31" s="151" t="str">
        <f>IF(COUNTIF($A31:$S31,"&lt;&gt;")=0,"",IF($F31="بالتساوي بين المشاركين",IF(K31&lt;&gt;"نعم",0,IF(COUNTIF($L31:$L31,"نعم")=0,$D31-SUM($T31:W31),ROUND($D31/COUNTIF($G31:$L31,"نعم"),2))),IF($F31="مبالغ متفق عليها",IF(K31="نعم",Q31,0),"")))</f>
      </c>
      <c r="Y31" s="151" t="str">
        <f>IF(COUNTIF($A31:$S31,"&lt;&gt;")=0,"",IF($F31="بالتساوي بين المشاركين",IF(L31&lt;&gt;"نعم",0,IF(0=0,$D31-SUM($T31:X31),ROUND($D31/COUNTIF($G31:$L31,"نعم"),2))),IF($F31="مبالغ متفق عليها",IF(L31="نعم",R31,0),"")))</f>
      </c>
      <c r="Z31" s="165" t="str">
        <f>IF(COUNTIF($A31:$S31,"&lt;&gt;")=0,"",IF(OR($D31="",$D31&lt;=0),"أدخل مبلغًا أكبر من صفر.",IF($E31="","اختر الشخص الذي دفع المبلغ.",IF(COUNTIF($G31:$L31,"نعم")=0,"حدد شخصًا واحدًا على الأقل للمشاركة في المصروف.",IF($F31="بالتساوي بين المشاركين","جاهز",IF($F31="مبالغ متفق عليها",IF(OR(AND(G31="نعم",M31=""),AND(H31="نعم",N31=""),AND(I31="نعم",O31=""),AND(J31="نعم",P31=""),AND(K31="نعم",Q31=""),AND(L31="نعم",R31="")),"أدخل المبالغ المتفق عليها بحيث يساوي مجموعها مبلغ المصروف.",IF(ABS(SUM($M31:$R31))&lt;0.005,"أدخل المبالغ المتفق عليها بحيث يساوي مجموعها مبلغ المصروف.",IF(SUM($M31:$R31)&lt;$D31-0.005,"يتبقى للتوزيع: "&amp;ROUND($D31-SUM($M31:$R31),2)&amp;".",IF(SUM($M31:$R31)&gt;$D31+0.005,"يزيد مجموع الحصص على المصروف بمقدار "&amp;ROUND(SUM($M31:$R31)-$D31,2)&amp;".","جاهز")))),"أدخل المبالغ المتفق عليها بحيث يساوي مجموعها مبلغ المصروف."))))))</f>
      </c>
    </row>
    <row r="32">
      <c r="A32" s="149"/>
      <c r="B32" s="138"/>
      <c r="C32" s="138"/>
      <c r="D32" s="150"/>
      <c r="E32" s="138"/>
      <c r="F32" s="138"/>
      <c r="G32" s="138"/>
      <c r="H32" s="138"/>
      <c r="I32" s="138"/>
      <c r="J32" s="138"/>
      <c r="K32" s="138"/>
      <c r="L32" s="138"/>
      <c r="M32" s="150"/>
      <c r="N32" s="150"/>
      <c r="O32" s="150"/>
      <c r="P32" s="150"/>
      <c r="Q32" s="150"/>
      <c r="R32" s="150"/>
      <c r="S32" s="138"/>
      <c r="T32" s="151" t="str">
        <f>IF(COUNTIF($A32:$S32,"&lt;&gt;")=0,"",IF($F32="بالتساوي بين المشاركين",IF(G32&lt;&gt;"نعم",0,IF(COUNTIF($H32:$L32,"نعم")=0,$D32-0,ROUND($D32/COUNTIF($G32:$L32,"نعم"),2))),IF($F32="مبالغ متفق عليها",IF(G32="نعم",M32,0),"")))</f>
      </c>
      <c r="U32" s="151" t="str">
        <f>IF(COUNTIF($A32:$S32,"&lt;&gt;")=0,"",IF($F32="بالتساوي بين المشاركين",IF(H32&lt;&gt;"نعم",0,IF(COUNTIF($I32:$L32,"نعم")=0,$D32-SUM($T32:T32),ROUND($D32/COUNTIF($G32:$L32,"نعم"),2))),IF($F32="مبالغ متفق عليها",IF(H32="نعم",N32,0),"")))</f>
      </c>
      <c r="V32" s="151" t="str">
        <f>IF(COUNTIF($A32:$S32,"&lt;&gt;")=0,"",IF($F32="بالتساوي بين المشاركين",IF(I32&lt;&gt;"نعم",0,IF(COUNTIF($J32:$L32,"نعم")=0,$D32-SUM($T32:U32),ROUND($D32/COUNTIF($G32:$L32,"نعم"),2))),IF($F32="مبالغ متفق عليها",IF(I32="نعم",O32,0),"")))</f>
      </c>
      <c r="W32" s="151" t="str">
        <f>IF(COUNTIF($A32:$S32,"&lt;&gt;")=0,"",IF($F32="بالتساوي بين المشاركين",IF(J32&lt;&gt;"نعم",0,IF(COUNTIF($K32:$L32,"نعم")=0,$D32-SUM($T32:V32),ROUND($D32/COUNTIF($G32:$L32,"نعم"),2))),IF($F32="مبالغ متفق عليها",IF(J32="نعم",P32,0),"")))</f>
      </c>
      <c r="X32" s="151" t="str">
        <f>IF(COUNTIF($A32:$S32,"&lt;&gt;")=0,"",IF($F32="بالتساوي بين المشاركين",IF(K32&lt;&gt;"نعم",0,IF(COUNTIF($L32:$L32,"نعم")=0,$D32-SUM($T32:W32),ROUND($D32/COUNTIF($G32:$L32,"نعم"),2))),IF($F32="مبالغ متفق عليها",IF(K32="نعم",Q32,0),"")))</f>
      </c>
      <c r="Y32" s="151" t="str">
        <f>IF(COUNTIF($A32:$S32,"&lt;&gt;")=0,"",IF($F32="بالتساوي بين المشاركين",IF(L32&lt;&gt;"نعم",0,IF(0=0,$D32-SUM($T32:X32),ROUND($D32/COUNTIF($G32:$L32,"نعم"),2))),IF($F32="مبالغ متفق عليها",IF(L32="نعم",R32,0),"")))</f>
      </c>
      <c r="Z32" s="165" t="str">
        <f>IF(COUNTIF($A32:$S32,"&lt;&gt;")=0,"",IF(OR($D32="",$D32&lt;=0),"أدخل مبلغًا أكبر من صفر.",IF($E32="","اختر الشخص الذي دفع المبلغ.",IF(COUNTIF($G32:$L32,"نعم")=0,"حدد شخصًا واحدًا على الأقل للمشاركة في المصروف.",IF($F32="بالتساوي بين المشاركين","جاهز",IF($F32="مبالغ متفق عليها",IF(OR(AND(G32="نعم",M32=""),AND(H32="نعم",N32=""),AND(I32="نعم",O32=""),AND(J32="نعم",P32=""),AND(K32="نعم",Q32=""),AND(L32="نعم",R32="")),"أدخل المبالغ المتفق عليها بحيث يساوي مجموعها مبلغ المصروف.",IF(ABS(SUM($M32:$R32))&lt;0.005,"أدخل المبالغ المتفق عليها بحيث يساوي مجموعها مبلغ المصروف.",IF(SUM($M32:$R32)&lt;$D32-0.005,"يتبقى للتوزيع: "&amp;ROUND($D32-SUM($M32:$R32),2)&amp;".",IF(SUM($M32:$R32)&gt;$D32+0.005,"يزيد مجموع الحصص على المصروف بمقدار "&amp;ROUND(SUM($M32:$R32)-$D32,2)&amp;".","جاهز")))),"أدخل المبالغ المتفق عليها بحيث يساوي مجموعها مبلغ المصروف."))))))</f>
      </c>
    </row>
    <row r="33">
      <c r="A33" s="149"/>
      <c r="B33" s="138"/>
      <c r="C33" s="138"/>
      <c r="D33" s="150"/>
      <c r="E33" s="138"/>
      <c r="F33" s="138"/>
      <c r="G33" s="138"/>
      <c r="H33" s="138"/>
      <c r="I33" s="138"/>
      <c r="J33" s="138"/>
      <c r="K33" s="138"/>
      <c r="L33" s="138"/>
      <c r="M33" s="150"/>
      <c r="N33" s="150"/>
      <c r="O33" s="150"/>
      <c r="P33" s="150"/>
      <c r="Q33" s="150"/>
      <c r="R33" s="150"/>
      <c r="S33" s="138"/>
      <c r="T33" s="151" t="str">
        <f>IF(COUNTIF($A33:$S33,"&lt;&gt;")=0,"",IF($F33="بالتساوي بين المشاركين",IF(G33&lt;&gt;"نعم",0,IF(COUNTIF($H33:$L33,"نعم")=0,$D33-0,ROUND($D33/COUNTIF($G33:$L33,"نعم"),2))),IF($F33="مبالغ متفق عليها",IF(G33="نعم",M33,0),"")))</f>
      </c>
      <c r="U33" s="151" t="str">
        <f>IF(COUNTIF($A33:$S33,"&lt;&gt;")=0,"",IF($F33="بالتساوي بين المشاركين",IF(H33&lt;&gt;"نعم",0,IF(COUNTIF($I33:$L33,"نعم")=0,$D33-SUM($T33:T33),ROUND($D33/COUNTIF($G33:$L33,"نعم"),2))),IF($F33="مبالغ متفق عليها",IF(H33="نعم",N33,0),"")))</f>
      </c>
      <c r="V33" s="151" t="str">
        <f>IF(COUNTIF($A33:$S33,"&lt;&gt;")=0,"",IF($F33="بالتساوي بين المشاركين",IF(I33&lt;&gt;"نعم",0,IF(COUNTIF($J33:$L33,"نعم")=0,$D33-SUM($T33:U33),ROUND($D33/COUNTIF($G33:$L33,"نعم"),2))),IF($F33="مبالغ متفق عليها",IF(I33="نعم",O33,0),"")))</f>
      </c>
      <c r="W33" s="151" t="str">
        <f>IF(COUNTIF($A33:$S33,"&lt;&gt;")=0,"",IF($F33="بالتساوي بين المشاركين",IF(J33&lt;&gt;"نعم",0,IF(COUNTIF($K33:$L33,"نعم")=0,$D33-SUM($T33:V33),ROUND($D33/COUNTIF($G33:$L33,"نعم"),2))),IF($F33="مبالغ متفق عليها",IF(J33="نعم",P33,0),"")))</f>
      </c>
      <c r="X33" s="151" t="str">
        <f>IF(COUNTIF($A33:$S33,"&lt;&gt;")=0,"",IF($F33="بالتساوي بين المشاركين",IF(K33&lt;&gt;"نعم",0,IF(COUNTIF($L33:$L33,"نعم")=0,$D33-SUM($T33:W33),ROUND($D33/COUNTIF($G33:$L33,"نعم"),2))),IF($F33="مبالغ متفق عليها",IF(K33="نعم",Q33,0),"")))</f>
      </c>
      <c r="Y33" s="151" t="str">
        <f>IF(COUNTIF($A33:$S33,"&lt;&gt;")=0,"",IF($F33="بالتساوي بين المشاركين",IF(L33&lt;&gt;"نعم",0,IF(0=0,$D33-SUM($T33:X33),ROUND($D33/COUNTIF($G33:$L33,"نعم"),2))),IF($F33="مبالغ متفق عليها",IF(L33="نعم",R33,0),"")))</f>
      </c>
      <c r="Z33" s="165" t="str">
        <f>IF(COUNTIF($A33:$S33,"&lt;&gt;")=0,"",IF(OR($D33="",$D33&lt;=0),"أدخل مبلغًا أكبر من صفر.",IF($E33="","اختر الشخص الذي دفع المبلغ.",IF(COUNTIF($G33:$L33,"نعم")=0,"حدد شخصًا واحدًا على الأقل للمشاركة في المصروف.",IF($F33="بالتساوي بين المشاركين","جاهز",IF($F33="مبالغ متفق عليها",IF(OR(AND(G33="نعم",M33=""),AND(H33="نعم",N33=""),AND(I33="نعم",O33=""),AND(J33="نعم",P33=""),AND(K33="نعم",Q33=""),AND(L33="نعم",R33="")),"أدخل المبالغ المتفق عليها بحيث يساوي مجموعها مبلغ المصروف.",IF(ABS(SUM($M33:$R33))&lt;0.005,"أدخل المبالغ المتفق عليها بحيث يساوي مجموعها مبلغ المصروف.",IF(SUM($M33:$R33)&lt;$D33-0.005,"يتبقى للتوزيع: "&amp;ROUND($D33-SUM($M33:$R33),2)&amp;".",IF(SUM($M33:$R33)&gt;$D33+0.005,"يزيد مجموع الحصص على المصروف بمقدار "&amp;ROUND(SUM($M33:$R33)-$D33,2)&amp;".","جاهز")))),"أدخل المبالغ المتفق عليها بحيث يساوي مجموعها مبلغ المصروف."))))))</f>
      </c>
    </row>
    <row r="34">
      <c r="A34" s="149"/>
      <c r="B34" s="138"/>
      <c r="C34" s="138"/>
      <c r="D34" s="150"/>
      <c r="E34" s="138"/>
      <c r="F34" s="138"/>
      <c r="G34" s="138"/>
      <c r="H34" s="138"/>
      <c r="I34" s="138"/>
      <c r="J34" s="138"/>
      <c r="K34" s="138"/>
      <c r="L34" s="138"/>
      <c r="M34" s="150"/>
      <c r="N34" s="150"/>
      <c r="O34" s="150"/>
      <c r="P34" s="150"/>
      <c r="Q34" s="150"/>
      <c r="R34" s="150"/>
      <c r="S34" s="138"/>
      <c r="T34" s="151" t="str">
        <f>IF(COUNTIF($A34:$S34,"&lt;&gt;")=0,"",IF($F34="بالتساوي بين المشاركين",IF(G34&lt;&gt;"نعم",0,IF(COUNTIF($H34:$L34,"نعم")=0,$D34-0,ROUND($D34/COUNTIF($G34:$L34,"نعم"),2))),IF($F34="مبالغ متفق عليها",IF(G34="نعم",M34,0),"")))</f>
      </c>
      <c r="U34" s="151" t="str">
        <f>IF(COUNTIF($A34:$S34,"&lt;&gt;")=0,"",IF($F34="بالتساوي بين المشاركين",IF(H34&lt;&gt;"نعم",0,IF(COUNTIF($I34:$L34,"نعم")=0,$D34-SUM($T34:T34),ROUND($D34/COUNTIF($G34:$L34,"نعم"),2))),IF($F34="مبالغ متفق عليها",IF(H34="نعم",N34,0),"")))</f>
      </c>
      <c r="V34" s="151" t="str">
        <f>IF(COUNTIF($A34:$S34,"&lt;&gt;")=0,"",IF($F34="بالتساوي بين المشاركين",IF(I34&lt;&gt;"نعم",0,IF(COUNTIF($J34:$L34,"نعم")=0,$D34-SUM($T34:U34),ROUND($D34/COUNTIF($G34:$L34,"نعم"),2))),IF($F34="مبالغ متفق عليها",IF(I34="نعم",O34,0),"")))</f>
      </c>
      <c r="W34" s="151" t="str">
        <f>IF(COUNTIF($A34:$S34,"&lt;&gt;")=0,"",IF($F34="بالتساوي بين المشاركين",IF(J34&lt;&gt;"نعم",0,IF(COUNTIF($K34:$L34,"نعم")=0,$D34-SUM($T34:V34),ROUND($D34/COUNTIF($G34:$L34,"نعم"),2))),IF($F34="مبالغ متفق عليها",IF(J34="نعم",P34,0),"")))</f>
      </c>
      <c r="X34" s="151" t="str">
        <f>IF(COUNTIF($A34:$S34,"&lt;&gt;")=0,"",IF($F34="بالتساوي بين المشاركين",IF(K34&lt;&gt;"نعم",0,IF(COUNTIF($L34:$L34,"نعم")=0,$D34-SUM($T34:W34),ROUND($D34/COUNTIF($G34:$L34,"نعم"),2))),IF($F34="مبالغ متفق عليها",IF(K34="نعم",Q34,0),"")))</f>
      </c>
      <c r="Y34" s="151" t="str">
        <f>IF(COUNTIF($A34:$S34,"&lt;&gt;")=0,"",IF($F34="بالتساوي بين المشاركين",IF(L34&lt;&gt;"نعم",0,IF(0=0,$D34-SUM($T34:X34),ROUND($D34/COUNTIF($G34:$L34,"نعم"),2))),IF($F34="مبالغ متفق عليها",IF(L34="نعم",R34,0),"")))</f>
      </c>
      <c r="Z34" s="165" t="str">
        <f>IF(COUNTIF($A34:$S34,"&lt;&gt;")=0,"",IF(OR($D34="",$D34&lt;=0),"أدخل مبلغًا أكبر من صفر.",IF($E34="","اختر الشخص الذي دفع المبلغ.",IF(COUNTIF($G34:$L34,"نعم")=0,"حدد شخصًا واحدًا على الأقل للمشاركة في المصروف.",IF($F34="بالتساوي بين المشاركين","جاهز",IF($F34="مبالغ متفق عليها",IF(OR(AND(G34="نعم",M34=""),AND(H34="نعم",N34=""),AND(I34="نعم",O34=""),AND(J34="نعم",P34=""),AND(K34="نعم",Q34=""),AND(L34="نعم",R34="")),"أدخل المبالغ المتفق عليها بحيث يساوي مجموعها مبلغ المصروف.",IF(ABS(SUM($M34:$R34))&lt;0.005,"أدخل المبالغ المتفق عليها بحيث يساوي مجموعها مبلغ المصروف.",IF(SUM($M34:$R34)&lt;$D34-0.005,"يتبقى للتوزيع: "&amp;ROUND($D34-SUM($M34:$R34),2)&amp;".",IF(SUM($M34:$R34)&gt;$D34+0.005,"يزيد مجموع الحصص على المصروف بمقدار "&amp;ROUND(SUM($M34:$R34)-$D34,2)&amp;".","جاهز")))),"أدخل المبالغ المتفق عليها بحيث يساوي مجموعها مبلغ المصروف."))))))</f>
      </c>
    </row>
    <row r="35">
      <c r="A35" s="149"/>
      <c r="B35" s="138"/>
      <c r="C35" s="138"/>
      <c r="D35" s="150"/>
      <c r="E35" s="138"/>
      <c r="F35" s="138"/>
      <c r="G35" s="138"/>
      <c r="H35" s="138"/>
      <c r="I35" s="138"/>
      <c r="J35" s="138"/>
      <c r="K35" s="138"/>
      <c r="L35" s="138"/>
      <c r="M35" s="150"/>
      <c r="N35" s="150"/>
      <c r="O35" s="150"/>
      <c r="P35" s="150"/>
      <c r="Q35" s="150"/>
      <c r="R35" s="150"/>
      <c r="S35" s="138"/>
      <c r="T35" s="151" t="str">
        <f>IF(COUNTIF($A35:$S35,"&lt;&gt;")=0,"",IF($F35="بالتساوي بين المشاركين",IF(G35&lt;&gt;"نعم",0,IF(COUNTIF($H35:$L35,"نعم")=0,$D35-0,ROUND($D35/COUNTIF($G35:$L35,"نعم"),2))),IF($F35="مبالغ متفق عليها",IF(G35="نعم",M35,0),"")))</f>
      </c>
      <c r="U35" s="151" t="str">
        <f>IF(COUNTIF($A35:$S35,"&lt;&gt;")=0,"",IF($F35="بالتساوي بين المشاركين",IF(H35&lt;&gt;"نعم",0,IF(COUNTIF($I35:$L35,"نعم")=0,$D35-SUM($T35:T35),ROUND($D35/COUNTIF($G35:$L35,"نعم"),2))),IF($F35="مبالغ متفق عليها",IF(H35="نعم",N35,0),"")))</f>
      </c>
      <c r="V35" s="151" t="str">
        <f>IF(COUNTIF($A35:$S35,"&lt;&gt;")=0,"",IF($F35="بالتساوي بين المشاركين",IF(I35&lt;&gt;"نعم",0,IF(COUNTIF($J35:$L35,"نعم")=0,$D35-SUM($T35:U35),ROUND($D35/COUNTIF($G35:$L35,"نعم"),2))),IF($F35="مبالغ متفق عليها",IF(I35="نعم",O35,0),"")))</f>
      </c>
      <c r="W35" s="151" t="str">
        <f>IF(COUNTIF($A35:$S35,"&lt;&gt;")=0,"",IF($F35="بالتساوي بين المشاركين",IF(J35&lt;&gt;"نعم",0,IF(COUNTIF($K35:$L35,"نعم")=0,$D35-SUM($T35:V35),ROUND($D35/COUNTIF($G35:$L35,"نعم"),2))),IF($F35="مبالغ متفق عليها",IF(J35="نعم",P35,0),"")))</f>
      </c>
      <c r="X35" s="151" t="str">
        <f>IF(COUNTIF($A35:$S35,"&lt;&gt;")=0,"",IF($F35="بالتساوي بين المشاركين",IF(K35&lt;&gt;"نعم",0,IF(COUNTIF($L35:$L35,"نعم")=0,$D35-SUM($T35:W35),ROUND($D35/COUNTIF($G35:$L35,"نعم"),2))),IF($F35="مبالغ متفق عليها",IF(K35="نعم",Q35,0),"")))</f>
      </c>
      <c r="Y35" s="151" t="str">
        <f>IF(COUNTIF($A35:$S35,"&lt;&gt;")=0,"",IF($F35="بالتساوي بين المشاركين",IF(L35&lt;&gt;"نعم",0,IF(0=0,$D35-SUM($T35:X35),ROUND($D35/COUNTIF($G35:$L35,"نعم"),2))),IF($F35="مبالغ متفق عليها",IF(L35="نعم",R35,0),"")))</f>
      </c>
      <c r="Z35" s="165" t="str">
        <f>IF(COUNTIF($A35:$S35,"&lt;&gt;")=0,"",IF(OR($D35="",$D35&lt;=0),"أدخل مبلغًا أكبر من صفر.",IF($E35="","اختر الشخص الذي دفع المبلغ.",IF(COUNTIF($G35:$L35,"نعم")=0,"حدد شخصًا واحدًا على الأقل للمشاركة في المصروف.",IF($F35="بالتساوي بين المشاركين","جاهز",IF($F35="مبالغ متفق عليها",IF(OR(AND(G35="نعم",M35=""),AND(H35="نعم",N35=""),AND(I35="نعم",O35=""),AND(J35="نعم",P35=""),AND(K35="نعم",Q35=""),AND(L35="نعم",R35="")),"أدخل المبالغ المتفق عليها بحيث يساوي مجموعها مبلغ المصروف.",IF(ABS(SUM($M35:$R35))&lt;0.005,"أدخل المبالغ المتفق عليها بحيث يساوي مجموعها مبلغ المصروف.",IF(SUM($M35:$R35)&lt;$D35-0.005,"يتبقى للتوزيع: "&amp;ROUND($D35-SUM($M35:$R35),2)&amp;".",IF(SUM($M35:$R35)&gt;$D35+0.005,"يزيد مجموع الحصص على المصروف بمقدار "&amp;ROUND(SUM($M35:$R35)-$D35,2)&amp;".","جاهز")))),"أدخل المبالغ المتفق عليها بحيث يساوي مجموعها مبلغ المصروف."))))))</f>
      </c>
    </row>
    <row r="36">
      <c r="A36" s="149"/>
      <c r="B36" s="138"/>
      <c r="C36" s="138"/>
      <c r="D36" s="150"/>
      <c r="E36" s="138"/>
      <c r="F36" s="138"/>
      <c r="G36" s="138"/>
      <c r="H36" s="138"/>
      <c r="I36" s="138"/>
      <c r="J36" s="138"/>
      <c r="K36" s="138"/>
      <c r="L36" s="138"/>
      <c r="M36" s="150"/>
      <c r="N36" s="150"/>
      <c r="O36" s="150"/>
      <c r="P36" s="150"/>
      <c r="Q36" s="150"/>
      <c r="R36" s="150"/>
      <c r="S36" s="138"/>
      <c r="T36" s="151" t="str">
        <f>IF(COUNTIF($A36:$S36,"&lt;&gt;")=0,"",IF($F36="بالتساوي بين المشاركين",IF(G36&lt;&gt;"نعم",0,IF(COUNTIF($H36:$L36,"نعم")=0,$D36-0,ROUND($D36/COUNTIF($G36:$L36,"نعم"),2))),IF($F36="مبالغ متفق عليها",IF(G36="نعم",M36,0),"")))</f>
      </c>
      <c r="U36" s="151" t="str">
        <f>IF(COUNTIF($A36:$S36,"&lt;&gt;")=0,"",IF($F36="بالتساوي بين المشاركين",IF(H36&lt;&gt;"نعم",0,IF(COUNTIF($I36:$L36,"نعم")=0,$D36-SUM($T36:T36),ROUND($D36/COUNTIF($G36:$L36,"نعم"),2))),IF($F36="مبالغ متفق عليها",IF(H36="نعم",N36,0),"")))</f>
      </c>
      <c r="V36" s="151" t="str">
        <f>IF(COUNTIF($A36:$S36,"&lt;&gt;")=0,"",IF($F36="بالتساوي بين المشاركين",IF(I36&lt;&gt;"نعم",0,IF(COUNTIF($J36:$L36,"نعم")=0,$D36-SUM($T36:U36),ROUND($D36/COUNTIF($G36:$L36,"نعم"),2))),IF($F36="مبالغ متفق عليها",IF(I36="نعم",O36,0),"")))</f>
      </c>
      <c r="W36" s="151" t="str">
        <f>IF(COUNTIF($A36:$S36,"&lt;&gt;")=0,"",IF($F36="بالتساوي بين المشاركين",IF(J36&lt;&gt;"نعم",0,IF(COUNTIF($K36:$L36,"نعم")=0,$D36-SUM($T36:V36),ROUND($D36/COUNTIF($G36:$L36,"نعم"),2))),IF($F36="مبالغ متفق عليها",IF(J36="نعم",P36,0),"")))</f>
      </c>
      <c r="X36" s="151" t="str">
        <f>IF(COUNTIF($A36:$S36,"&lt;&gt;")=0,"",IF($F36="بالتساوي بين المشاركين",IF(K36&lt;&gt;"نعم",0,IF(COUNTIF($L36:$L36,"نعم")=0,$D36-SUM($T36:W36),ROUND($D36/COUNTIF($G36:$L36,"نعم"),2))),IF($F36="مبالغ متفق عليها",IF(K36="نعم",Q36,0),"")))</f>
      </c>
      <c r="Y36" s="151" t="str">
        <f>IF(COUNTIF($A36:$S36,"&lt;&gt;")=0,"",IF($F36="بالتساوي بين المشاركين",IF(L36&lt;&gt;"نعم",0,IF(0=0,$D36-SUM($T36:X36),ROUND($D36/COUNTIF($G36:$L36,"نعم"),2))),IF($F36="مبالغ متفق عليها",IF(L36="نعم",R36,0),"")))</f>
      </c>
      <c r="Z36" s="165" t="str">
        <f>IF(COUNTIF($A36:$S36,"&lt;&gt;")=0,"",IF(OR($D36="",$D36&lt;=0),"أدخل مبلغًا أكبر من صفر.",IF($E36="","اختر الشخص الذي دفع المبلغ.",IF(COUNTIF($G36:$L36,"نعم")=0,"حدد شخصًا واحدًا على الأقل للمشاركة في المصروف.",IF($F36="بالتساوي بين المشاركين","جاهز",IF($F36="مبالغ متفق عليها",IF(OR(AND(G36="نعم",M36=""),AND(H36="نعم",N36=""),AND(I36="نعم",O36=""),AND(J36="نعم",P36=""),AND(K36="نعم",Q36=""),AND(L36="نعم",R36="")),"أدخل المبالغ المتفق عليها بحيث يساوي مجموعها مبلغ المصروف.",IF(ABS(SUM($M36:$R36))&lt;0.005,"أدخل المبالغ المتفق عليها بحيث يساوي مجموعها مبلغ المصروف.",IF(SUM($M36:$R36)&lt;$D36-0.005,"يتبقى للتوزيع: "&amp;ROUND($D36-SUM($M36:$R36),2)&amp;".",IF(SUM($M36:$R36)&gt;$D36+0.005,"يزيد مجموع الحصص على المصروف بمقدار "&amp;ROUND(SUM($M36:$R36)-$D36,2)&amp;".","جاهز")))),"أدخل المبالغ المتفق عليها بحيث يساوي مجموعها مبلغ المصروف."))))))</f>
      </c>
    </row>
    <row r="37">
      <c r="A37" s="149"/>
      <c r="B37" s="138"/>
      <c r="C37" s="138"/>
      <c r="D37" s="150"/>
      <c r="E37" s="138"/>
      <c r="F37" s="138"/>
      <c r="G37" s="138"/>
      <c r="H37" s="138"/>
      <c r="I37" s="138"/>
      <c r="J37" s="138"/>
      <c r="K37" s="138"/>
      <c r="L37" s="138"/>
      <c r="M37" s="150"/>
      <c r="N37" s="150"/>
      <c r="O37" s="150"/>
      <c r="P37" s="150"/>
      <c r="Q37" s="150"/>
      <c r="R37" s="150"/>
      <c r="S37" s="138"/>
      <c r="T37" s="151" t="str">
        <f>IF(COUNTIF($A37:$S37,"&lt;&gt;")=0,"",IF($F37="بالتساوي بين المشاركين",IF(G37&lt;&gt;"نعم",0,IF(COUNTIF($H37:$L37,"نعم")=0,$D37-0,ROUND($D37/COUNTIF($G37:$L37,"نعم"),2))),IF($F37="مبالغ متفق عليها",IF(G37="نعم",M37,0),"")))</f>
      </c>
      <c r="U37" s="151" t="str">
        <f>IF(COUNTIF($A37:$S37,"&lt;&gt;")=0,"",IF($F37="بالتساوي بين المشاركين",IF(H37&lt;&gt;"نعم",0,IF(COUNTIF($I37:$L37,"نعم")=0,$D37-SUM($T37:T37),ROUND($D37/COUNTIF($G37:$L37,"نعم"),2))),IF($F37="مبالغ متفق عليها",IF(H37="نعم",N37,0),"")))</f>
      </c>
      <c r="V37" s="151" t="str">
        <f>IF(COUNTIF($A37:$S37,"&lt;&gt;")=0,"",IF($F37="بالتساوي بين المشاركين",IF(I37&lt;&gt;"نعم",0,IF(COUNTIF($J37:$L37,"نعم")=0,$D37-SUM($T37:U37),ROUND($D37/COUNTIF($G37:$L37,"نعم"),2))),IF($F37="مبالغ متفق عليها",IF(I37="نعم",O37,0),"")))</f>
      </c>
      <c r="W37" s="151" t="str">
        <f>IF(COUNTIF($A37:$S37,"&lt;&gt;")=0,"",IF($F37="بالتساوي بين المشاركين",IF(J37&lt;&gt;"نعم",0,IF(COUNTIF($K37:$L37,"نعم")=0,$D37-SUM($T37:V37),ROUND($D37/COUNTIF($G37:$L37,"نعم"),2))),IF($F37="مبالغ متفق عليها",IF(J37="نعم",P37,0),"")))</f>
      </c>
      <c r="X37" s="151" t="str">
        <f>IF(COUNTIF($A37:$S37,"&lt;&gt;")=0,"",IF($F37="بالتساوي بين المشاركين",IF(K37&lt;&gt;"نعم",0,IF(COUNTIF($L37:$L37,"نعم")=0,$D37-SUM($T37:W37),ROUND($D37/COUNTIF($G37:$L37,"نعم"),2))),IF($F37="مبالغ متفق عليها",IF(K37="نعم",Q37,0),"")))</f>
      </c>
      <c r="Y37" s="151" t="str">
        <f>IF(COUNTIF($A37:$S37,"&lt;&gt;")=0,"",IF($F37="بالتساوي بين المشاركين",IF(L37&lt;&gt;"نعم",0,IF(0=0,$D37-SUM($T37:X37),ROUND($D37/COUNTIF($G37:$L37,"نعم"),2))),IF($F37="مبالغ متفق عليها",IF(L37="نعم",R37,0),"")))</f>
      </c>
      <c r="Z37" s="165" t="str">
        <f>IF(COUNTIF($A37:$S37,"&lt;&gt;")=0,"",IF(OR($D37="",$D37&lt;=0),"أدخل مبلغًا أكبر من صفر.",IF($E37="","اختر الشخص الذي دفع المبلغ.",IF(COUNTIF($G37:$L37,"نعم")=0,"حدد شخصًا واحدًا على الأقل للمشاركة في المصروف.",IF($F37="بالتساوي بين المشاركين","جاهز",IF($F37="مبالغ متفق عليها",IF(OR(AND(G37="نعم",M37=""),AND(H37="نعم",N37=""),AND(I37="نعم",O37=""),AND(J37="نعم",P37=""),AND(K37="نعم",Q37=""),AND(L37="نعم",R37="")),"أدخل المبالغ المتفق عليها بحيث يساوي مجموعها مبلغ المصروف.",IF(ABS(SUM($M37:$R37))&lt;0.005,"أدخل المبالغ المتفق عليها بحيث يساوي مجموعها مبلغ المصروف.",IF(SUM($M37:$R37)&lt;$D37-0.005,"يتبقى للتوزيع: "&amp;ROUND($D37-SUM($M37:$R37),2)&amp;".",IF(SUM($M37:$R37)&gt;$D37+0.005,"يزيد مجموع الحصص على المصروف بمقدار "&amp;ROUND(SUM($M37:$R37)-$D37,2)&amp;".","جاهز")))),"أدخل المبالغ المتفق عليها بحيث يساوي مجموعها مبلغ المصروف."))))))</f>
      </c>
    </row>
    <row r="38">
      <c r="A38" s="149"/>
      <c r="B38" s="138"/>
      <c r="C38" s="138"/>
      <c r="D38" s="150"/>
      <c r="E38" s="138"/>
      <c r="F38" s="138"/>
      <c r="G38" s="138"/>
      <c r="H38" s="138"/>
      <c r="I38" s="138"/>
      <c r="J38" s="138"/>
      <c r="K38" s="138"/>
      <c r="L38" s="138"/>
      <c r="M38" s="150"/>
      <c r="N38" s="150"/>
      <c r="O38" s="150"/>
      <c r="P38" s="150"/>
      <c r="Q38" s="150"/>
      <c r="R38" s="150"/>
      <c r="S38" s="138"/>
      <c r="T38" s="151" t="str">
        <f>IF(COUNTIF($A38:$S38,"&lt;&gt;")=0,"",IF($F38="بالتساوي بين المشاركين",IF(G38&lt;&gt;"نعم",0,IF(COUNTIF($H38:$L38,"نعم")=0,$D38-0,ROUND($D38/COUNTIF($G38:$L38,"نعم"),2))),IF($F38="مبالغ متفق عليها",IF(G38="نعم",M38,0),"")))</f>
      </c>
      <c r="U38" s="151" t="str">
        <f>IF(COUNTIF($A38:$S38,"&lt;&gt;")=0,"",IF($F38="بالتساوي بين المشاركين",IF(H38&lt;&gt;"نعم",0,IF(COUNTIF($I38:$L38,"نعم")=0,$D38-SUM($T38:T38),ROUND($D38/COUNTIF($G38:$L38,"نعم"),2))),IF($F38="مبالغ متفق عليها",IF(H38="نعم",N38,0),"")))</f>
      </c>
      <c r="V38" s="151" t="str">
        <f>IF(COUNTIF($A38:$S38,"&lt;&gt;")=0,"",IF($F38="بالتساوي بين المشاركين",IF(I38&lt;&gt;"نعم",0,IF(COUNTIF($J38:$L38,"نعم")=0,$D38-SUM($T38:U38),ROUND($D38/COUNTIF($G38:$L38,"نعم"),2))),IF($F38="مبالغ متفق عليها",IF(I38="نعم",O38,0),"")))</f>
      </c>
      <c r="W38" s="151" t="str">
        <f>IF(COUNTIF($A38:$S38,"&lt;&gt;")=0,"",IF($F38="بالتساوي بين المشاركين",IF(J38&lt;&gt;"نعم",0,IF(COUNTIF($K38:$L38,"نعم")=0,$D38-SUM($T38:V38),ROUND($D38/COUNTIF($G38:$L38,"نعم"),2))),IF($F38="مبالغ متفق عليها",IF(J38="نعم",P38,0),"")))</f>
      </c>
      <c r="X38" s="151" t="str">
        <f>IF(COUNTIF($A38:$S38,"&lt;&gt;")=0,"",IF($F38="بالتساوي بين المشاركين",IF(K38&lt;&gt;"نعم",0,IF(COUNTIF($L38:$L38,"نعم")=0,$D38-SUM($T38:W38),ROUND($D38/COUNTIF($G38:$L38,"نعم"),2))),IF($F38="مبالغ متفق عليها",IF(K38="نعم",Q38,0),"")))</f>
      </c>
      <c r="Y38" s="151" t="str">
        <f>IF(COUNTIF($A38:$S38,"&lt;&gt;")=0,"",IF($F38="بالتساوي بين المشاركين",IF(L38&lt;&gt;"نعم",0,IF(0=0,$D38-SUM($T38:X38),ROUND($D38/COUNTIF($G38:$L38,"نعم"),2))),IF($F38="مبالغ متفق عليها",IF(L38="نعم",R38,0),"")))</f>
      </c>
      <c r="Z38" s="165" t="str">
        <f>IF(COUNTIF($A38:$S38,"&lt;&gt;")=0,"",IF(OR($D38="",$D38&lt;=0),"أدخل مبلغًا أكبر من صفر.",IF($E38="","اختر الشخص الذي دفع المبلغ.",IF(COUNTIF($G38:$L38,"نعم")=0,"حدد شخصًا واحدًا على الأقل للمشاركة في المصروف.",IF($F38="بالتساوي بين المشاركين","جاهز",IF($F38="مبالغ متفق عليها",IF(OR(AND(G38="نعم",M38=""),AND(H38="نعم",N38=""),AND(I38="نعم",O38=""),AND(J38="نعم",P38=""),AND(K38="نعم",Q38=""),AND(L38="نعم",R38="")),"أدخل المبالغ المتفق عليها بحيث يساوي مجموعها مبلغ المصروف.",IF(ABS(SUM($M38:$R38))&lt;0.005,"أدخل المبالغ المتفق عليها بحيث يساوي مجموعها مبلغ المصروف.",IF(SUM($M38:$R38)&lt;$D38-0.005,"يتبقى للتوزيع: "&amp;ROUND($D38-SUM($M38:$R38),2)&amp;".",IF(SUM($M38:$R38)&gt;$D38+0.005,"يزيد مجموع الحصص على المصروف بمقدار "&amp;ROUND(SUM($M38:$R38)-$D38,2)&amp;".","جاهز")))),"أدخل المبالغ المتفق عليها بحيث يساوي مجموعها مبلغ المصروف."))))))</f>
      </c>
    </row>
    <row r="39">
      <c r="A39" s="149"/>
      <c r="B39" s="138"/>
      <c r="C39" s="138"/>
      <c r="D39" s="150"/>
      <c r="E39" s="138"/>
      <c r="F39" s="138"/>
      <c r="G39" s="138"/>
      <c r="H39" s="138"/>
      <c r="I39" s="138"/>
      <c r="J39" s="138"/>
      <c r="K39" s="138"/>
      <c r="L39" s="138"/>
      <c r="M39" s="150"/>
      <c r="N39" s="150"/>
      <c r="O39" s="150"/>
      <c r="P39" s="150"/>
      <c r="Q39" s="150"/>
      <c r="R39" s="150"/>
      <c r="S39" s="138"/>
      <c r="T39" s="151" t="str">
        <f>IF(COUNTIF($A39:$S39,"&lt;&gt;")=0,"",IF($F39="بالتساوي بين المشاركين",IF(G39&lt;&gt;"نعم",0,IF(COUNTIF($H39:$L39,"نعم")=0,$D39-0,ROUND($D39/COUNTIF($G39:$L39,"نعم"),2))),IF($F39="مبالغ متفق عليها",IF(G39="نعم",M39,0),"")))</f>
      </c>
      <c r="U39" s="151" t="str">
        <f>IF(COUNTIF($A39:$S39,"&lt;&gt;")=0,"",IF($F39="بالتساوي بين المشاركين",IF(H39&lt;&gt;"نعم",0,IF(COUNTIF($I39:$L39,"نعم")=0,$D39-SUM($T39:T39),ROUND($D39/COUNTIF($G39:$L39,"نعم"),2))),IF($F39="مبالغ متفق عليها",IF(H39="نعم",N39,0),"")))</f>
      </c>
      <c r="V39" s="151" t="str">
        <f>IF(COUNTIF($A39:$S39,"&lt;&gt;")=0,"",IF($F39="بالتساوي بين المشاركين",IF(I39&lt;&gt;"نعم",0,IF(COUNTIF($J39:$L39,"نعم")=0,$D39-SUM($T39:U39),ROUND($D39/COUNTIF($G39:$L39,"نعم"),2))),IF($F39="مبالغ متفق عليها",IF(I39="نعم",O39,0),"")))</f>
      </c>
      <c r="W39" s="151" t="str">
        <f>IF(COUNTIF($A39:$S39,"&lt;&gt;")=0,"",IF($F39="بالتساوي بين المشاركين",IF(J39&lt;&gt;"نعم",0,IF(COUNTIF($K39:$L39,"نعم")=0,$D39-SUM($T39:V39),ROUND($D39/COUNTIF($G39:$L39,"نعم"),2))),IF($F39="مبالغ متفق عليها",IF(J39="نعم",P39,0),"")))</f>
      </c>
      <c r="X39" s="151" t="str">
        <f>IF(COUNTIF($A39:$S39,"&lt;&gt;")=0,"",IF($F39="بالتساوي بين المشاركين",IF(K39&lt;&gt;"نعم",0,IF(COUNTIF($L39:$L39,"نعم")=0,$D39-SUM($T39:W39),ROUND($D39/COUNTIF($G39:$L39,"نعم"),2))),IF($F39="مبالغ متفق عليها",IF(K39="نعم",Q39,0),"")))</f>
      </c>
      <c r="Y39" s="151" t="str">
        <f>IF(COUNTIF($A39:$S39,"&lt;&gt;")=0,"",IF($F39="بالتساوي بين المشاركين",IF(L39&lt;&gt;"نعم",0,IF(0=0,$D39-SUM($T39:X39),ROUND($D39/COUNTIF($G39:$L39,"نعم"),2))),IF($F39="مبالغ متفق عليها",IF(L39="نعم",R39,0),"")))</f>
      </c>
      <c r="Z39" s="165" t="str">
        <f>IF(COUNTIF($A39:$S39,"&lt;&gt;")=0,"",IF(OR($D39="",$D39&lt;=0),"أدخل مبلغًا أكبر من صفر.",IF($E39="","اختر الشخص الذي دفع المبلغ.",IF(COUNTIF($G39:$L39,"نعم")=0,"حدد شخصًا واحدًا على الأقل للمشاركة في المصروف.",IF($F39="بالتساوي بين المشاركين","جاهز",IF($F39="مبالغ متفق عليها",IF(OR(AND(G39="نعم",M39=""),AND(H39="نعم",N39=""),AND(I39="نعم",O39=""),AND(J39="نعم",P39=""),AND(K39="نعم",Q39=""),AND(L39="نعم",R39="")),"أدخل المبالغ المتفق عليها بحيث يساوي مجموعها مبلغ المصروف.",IF(ABS(SUM($M39:$R39))&lt;0.005,"أدخل المبالغ المتفق عليها بحيث يساوي مجموعها مبلغ المصروف.",IF(SUM($M39:$R39)&lt;$D39-0.005,"يتبقى للتوزيع: "&amp;ROUND($D39-SUM($M39:$R39),2)&amp;".",IF(SUM($M39:$R39)&gt;$D39+0.005,"يزيد مجموع الحصص على المصروف بمقدار "&amp;ROUND(SUM($M39:$R39)-$D39,2)&amp;".","جاهز")))),"أدخل المبالغ المتفق عليها بحيث يساوي مجموعها مبلغ المصروف."))))))</f>
      </c>
    </row>
    <row r="40">
      <c r="A40" s="149"/>
      <c r="B40" s="138"/>
      <c r="C40" s="138"/>
      <c r="D40" s="150"/>
      <c r="E40" s="138"/>
      <c r="F40" s="138"/>
      <c r="G40" s="138"/>
      <c r="H40" s="138"/>
      <c r="I40" s="138"/>
      <c r="J40" s="138"/>
      <c r="K40" s="138"/>
      <c r="L40" s="138"/>
      <c r="M40" s="150"/>
      <c r="N40" s="150"/>
      <c r="O40" s="150"/>
      <c r="P40" s="150"/>
      <c r="Q40" s="150"/>
      <c r="R40" s="150"/>
      <c r="S40" s="138"/>
      <c r="T40" s="151" t="str">
        <f>IF(COUNTIF($A40:$S40,"&lt;&gt;")=0,"",IF($F40="بالتساوي بين المشاركين",IF(G40&lt;&gt;"نعم",0,IF(COUNTIF($H40:$L40,"نعم")=0,$D40-0,ROUND($D40/COUNTIF($G40:$L40,"نعم"),2))),IF($F40="مبالغ متفق عليها",IF(G40="نعم",M40,0),"")))</f>
      </c>
      <c r="U40" s="151" t="str">
        <f>IF(COUNTIF($A40:$S40,"&lt;&gt;")=0,"",IF($F40="بالتساوي بين المشاركين",IF(H40&lt;&gt;"نعم",0,IF(COUNTIF($I40:$L40,"نعم")=0,$D40-SUM($T40:T40),ROUND($D40/COUNTIF($G40:$L40,"نعم"),2))),IF($F40="مبالغ متفق عليها",IF(H40="نعم",N40,0),"")))</f>
      </c>
      <c r="V40" s="151" t="str">
        <f>IF(COUNTIF($A40:$S40,"&lt;&gt;")=0,"",IF($F40="بالتساوي بين المشاركين",IF(I40&lt;&gt;"نعم",0,IF(COUNTIF($J40:$L40,"نعم")=0,$D40-SUM($T40:U40),ROUND($D40/COUNTIF($G40:$L40,"نعم"),2))),IF($F40="مبالغ متفق عليها",IF(I40="نعم",O40,0),"")))</f>
      </c>
      <c r="W40" s="151" t="str">
        <f>IF(COUNTIF($A40:$S40,"&lt;&gt;")=0,"",IF($F40="بالتساوي بين المشاركين",IF(J40&lt;&gt;"نعم",0,IF(COUNTIF($K40:$L40,"نعم")=0,$D40-SUM($T40:V40),ROUND($D40/COUNTIF($G40:$L40,"نعم"),2))),IF($F40="مبالغ متفق عليها",IF(J40="نعم",P40,0),"")))</f>
      </c>
      <c r="X40" s="151" t="str">
        <f>IF(COUNTIF($A40:$S40,"&lt;&gt;")=0,"",IF($F40="بالتساوي بين المشاركين",IF(K40&lt;&gt;"نعم",0,IF(COUNTIF($L40:$L40,"نعم")=0,$D40-SUM($T40:W40),ROUND($D40/COUNTIF($G40:$L40,"نعم"),2))),IF($F40="مبالغ متفق عليها",IF(K40="نعم",Q40,0),"")))</f>
      </c>
      <c r="Y40" s="151" t="str">
        <f>IF(COUNTIF($A40:$S40,"&lt;&gt;")=0,"",IF($F40="بالتساوي بين المشاركين",IF(L40&lt;&gt;"نعم",0,IF(0=0,$D40-SUM($T40:X40),ROUND($D40/COUNTIF($G40:$L40,"نعم"),2))),IF($F40="مبالغ متفق عليها",IF(L40="نعم",R40,0),"")))</f>
      </c>
      <c r="Z40" s="165" t="str">
        <f>IF(COUNTIF($A40:$S40,"&lt;&gt;")=0,"",IF(OR($D40="",$D40&lt;=0),"أدخل مبلغًا أكبر من صفر.",IF($E40="","اختر الشخص الذي دفع المبلغ.",IF(COUNTIF($G40:$L40,"نعم")=0,"حدد شخصًا واحدًا على الأقل للمشاركة في المصروف.",IF($F40="بالتساوي بين المشاركين","جاهز",IF($F40="مبالغ متفق عليها",IF(OR(AND(G40="نعم",M40=""),AND(H40="نعم",N40=""),AND(I40="نعم",O40=""),AND(J40="نعم",P40=""),AND(K40="نعم",Q40=""),AND(L40="نعم",R40="")),"أدخل المبالغ المتفق عليها بحيث يساوي مجموعها مبلغ المصروف.",IF(ABS(SUM($M40:$R40))&lt;0.005,"أدخل المبالغ المتفق عليها بحيث يساوي مجموعها مبلغ المصروف.",IF(SUM($M40:$R40)&lt;$D40-0.005,"يتبقى للتوزيع: "&amp;ROUND($D40-SUM($M40:$R40),2)&amp;".",IF(SUM($M40:$R40)&gt;$D40+0.005,"يزيد مجموع الحصص على المصروف بمقدار "&amp;ROUND(SUM($M40:$R40)-$D40,2)&amp;".","جاهز")))),"أدخل المبالغ المتفق عليها بحيث يساوي مجموعها مبلغ المصروف."))))))</f>
      </c>
    </row>
    <row r="41">
      <c r="A41" s="149"/>
      <c r="B41" s="138"/>
      <c r="C41" s="138"/>
      <c r="D41" s="150"/>
      <c r="E41" s="138"/>
      <c r="F41" s="138"/>
      <c r="G41" s="138"/>
      <c r="H41" s="138"/>
      <c r="I41" s="138"/>
      <c r="J41" s="138"/>
      <c r="K41" s="138"/>
      <c r="L41" s="138"/>
      <c r="M41" s="150"/>
      <c r="N41" s="150"/>
      <c r="O41" s="150"/>
      <c r="P41" s="150"/>
      <c r="Q41" s="150"/>
      <c r="R41" s="150"/>
      <c r="S41" s="138"/>
      <c r="T41" s="151" t="str">
        <f>IF(COUNTIF($A41:$S41,"&lt;&gt;")=0,"",IF($F41="بالتساوي بين المشاركين",IF(G41&lt;&gt;"نعم",0,IF(COUNTIF($H41:$L41,"نعم")=0,$D41-0,ROUND($D41/COUNTIF($G41:$L41,"نعم"),2))),IF($F41="مبالغ متفق عليها",IF(G41="نعم",M41,0),"")))</f>
      </c>
      <c r="U41" s="151" t="str">
        <f>IF(COUNTIF($A41:$S41,"&lt;&gt;")=0,"",IF($F41="بالتساوي بين المشاركين",IF(H41&lt;&gt;"نعم",0,IF(COUNTIF($I41:$L41,"نعم")=0,$D41-SUM($T41:T41),ROUND($D41/COUNTIF($G41:$L41,"نعم"),2))),IF($F41="مبالغ متفق عليها",IF(H41="نعم",N41,0),"")))</f>
      </c>
      <c r="V41" s="151" t="str">
        <f>IF(COUNTIF($A41:$S41,"&lt;&gt;")=0,"",IF($F41="بالتساوي بين المشاركين",IF(I41&lt;&gt;"نعم",0,IF(COUNTIF($J41:$L41,"نعم")=0,$D41-SUM($T41:U41),ROUND($D41/COUNTIF($G41:$L41,"نعم"),2))),IF($F41="مبالغ متفق عليها",IF(I41="نعم",O41,0),"")))</f>
      </c>
      <c r="W41" s="151" t="str">
        <f>IF(COUNTIF($A41:$S41,"&lt;&gt;")=0,"",IF($F41="بالتساوي بين المشاركين",IF(J41&lt;&gt;"نعم",0,IF(COUNTIF($K41:$L41,"نعم")=0,$D41-SUM($T41:V41),ROUND($D41/COUNTIF($G41:$L41,"نعم"),2))),IF($F41="مبالغ متفق عليها",IF(J41="نعم",P41,0),"")))</f>
      </c>
      <c r="X41" s="151" t="str">
        <f>IF(COUNTIF($A41:$S41,"&lt;&gt;")=0,"",IF($F41="بالتساوي بين المشاركين",IF(K41&lt;&gt;"نعم",0,IF(COUNTIF($L41:$L41,"نعم")=0,$D41-SUM($T41:W41),ROUND($D41/COUNTIF($G41:$L41,"نعم"),2))),IF($F41="مبالغ متفق عليها",IF(K41="نعم",Q41,0),"")))</f>
      </c>
      <c r="Y41" s="151" t="str">
        <f>IF(COUNTIF($A41:$S41,"&lt;&gt;")=0,"",IF($F41="بالتساوي بين المشاركين",IF(L41&lt;&gt;"نعم",0,IF(0=0,$D41-SUM($T41:X41),ROUND($D41/COUNTIF($G41:$L41,"نعم"),2))),IF($F41="مبالغ متفق عليها",IF(L41="نعم",R41,0),"")))</f>
      </c>
      <c r="Z41" s="165" t="str">
        <f>IF(COUNTIF($A41:$S41,"&lt;&gt;")=0,"",IF(OR($D41="",$D41&lt;=0),"أدخل مبلغًا أكبر من صفر.",IF($E41="","اختر الشخص الذي دفع المبلغ.",IF(COUNTIF($G41:$L41,"نعم")=0,"حدد شخصًا واحدًا على الأقل للمشاركة في المصروف.",IF($F41="بالتساوي بين المشاركين","جاهز",IF($F41="مبالغ متفق عليها",IF(OR(AND(G41="نعم",M41=""),AND(H41="نعم",N41=""),AND(I41="نعم",O41=""),AND(J41="نعم",P41=""),AND(K41="نعم",Q41=""),AND(L41="نعم",R41="")),"أدخل المبالغ المتفق عليها بحيث يساوي مجموعها مبلغ المصروف.",IF(ABS(SUM($M41:$R41))&lt;0.005,"أدخل المبالغ المتفق عليها بحيث يساوي مجموعها مبلغ المصروف.",IF(SUM($M41:$R41)&lt;$D41-0.005,"يتبقى للتوزيع: "&amp;ROUND($D41-SUM($M41:$R41),2)&amp;".",IF(SUM($M41:$R41)&gt;$D41+0.005,"يزيد مجموع الحصص على المصروف بمقدار "&amp;ROUND(SUM($M41:$R41)-$D41,2)&amp;".","جاهز")))),"أدخل المبالغ المتفق عليها بحيث يساوي مجموعها مبلغ المصروف."))))))</f>
      </c>
    </row>
    <row r="42">
      <c r="A42" s="149"/>
      <c r="B42" s="138"/>
      <c r="C42" s="138"/>
      <c r="D42" s="150"/>
      <c r="E42" s="138"/>
      <c r="F42" s="138"/>
      <c r="G42" s="138"/>
      <c r="H42" s="138"/>
      <c r="I42" s="138"/>
      <c r="J42" s="138"/>
      <c r="K42" s="138"/>
      <c r="L42" s="138"/>
      <c r="M42" s="150"/>
      <c r="N42" s="150"/>
      <c r="O42" s="150"/>
      <c r="P42" s="150"/>
      <c r="Q42" s="150"/>
      <c r="R42" s="150"/>
      <c r="S42" s="138"/>
      <c r="T42" s="151" t="str">
        <f>IF(COUNTIF($A42:$S42,"&lt;&gt;")=0,"",IF($F42="بالتساوي بين المشاركين",IF(G42&lt;&gt;"نعم",0,IF(COUNTIF($H42:$L42,"نعم")=0,$D42-0,ROUND($D42/COUNTIF($G42:$L42,"نعم"),2))),IF($F42="مبالغ متفق عليها",IF(G42="نعم",M42,0),"")))</f>
      </c>
      <c r="U42" s="151" t="str">
        <f>IF(COUNTIF($A42:$S42,"&lt;&gt;")=0,"",IF($F42="بالتساوي بين المشاركين",IF(H42&lt;&gt;"نعم",0,IF(COUNTIF($I42:$L42,"نعم")=0,$D42-SUM($T42:T42),ROUND($D42/COUNTIF($G42:$L42,"نعم"),2))),IF($F42="مبالغ متفق عليها",IF(H42="نعم",N42,0),"")))</f>
      </c>
      <c r="V42" s="151" t="str">
        <f>IF(COUNTIF($A42:$S42,"&lt;&gt;")=0,"",IF($F42="بالتساوي بين المشاركين",IF(I42&lt;&gt;"نعم",0,IF(COUNTIF($J42:$L42,"نعم")=0,$D42-SUM($T42:U42),ROUND($D42/COUNTIF($G42:$L42,"نعم"),2))),IF($F42="مبالغ متفق عليها",IF(I42="نعم",O42,0),"")))</f>
      </c>
      <c r="W42" s="151" t="str">
        <f>IF(COUNTIF($A42:$S42,"&lt;&gt;")=0,"",IF($F42="بالتساوي بين المشاركين",IF(J42&lt;&gt;"نعم",0,IF(COUNTIF($K42:$L42,"نعم")=0,$D42-SUM($T42:V42),ROUND($D42/COUNTIF($G42:$L42,"نعم"),2))),IF($F42="مبالغ متفق عليها",IF(J42="نعم",P42,0),"")))</f>
      </c>
      <c r="X42" s="151" t="str">
        <f>IF(COUNTIF($A42:$S42,"&lt;&gt;")=0,"",IF($F42="بالتساوي بين المشاركين",IF(K42&lt;&gt;"نعم",0,IF(COUNTIF($L42:$L42,"نعم")=0,$D42-SUM($T42:W42),ROUND($D42/COUNTIF($G42:$L42,"نعم"),2))),IF($F42="مبالغ متفق عليها",IF(K42="نعم",Q42,0),"")))</f>
      </c>
      <c r="Y42" s="151" t="str">
        <f>IF(COUNTIF($A42:$S42,"&lt;&gt;")=0,"",IF($F42="بالتساوي بين المشاركين",IF(L42&lt;&gt;"نعم",0,IF(0=0,$D42-SUM($T42:X42),ROUND($D42/COUNTIF($G42:$L42,"نعم"),2))),IF($F42="مبالغ متفق عليها",IF(L42="نعم",R42,0),"")))</f>
      </c>
      <c r="Z42" s="165" t="str">
        <f>IF(COUNTIF($A42:$S42,"&lt;&gt;")=0,"",IF(OR($D42="",$D42&lt;=0),"أدخل مبلغًا أكبر من صفر.",IF($E42="","اختر الشخص الذي دفع المبلغ.",IF(COUNTIF($G42:$L42,"نعم")=0,"حدد شخصًا واحدًا على الأقل للمشاركة في المصروف.",IF($F42="بالتساوي بين المشاركين","جاهز",IF($F42="مبالغ متفق عليها",IF(OR(AND(G42="نعم",M42=""),AND(H42="نعم",N42=""),AND(I42="نعم",O42=""),AND(J42="نعم",P42=""),AND(K42="نعم",Q42=""),AND(L42="نعم",R42="")),"أدخل المبالغ المتفق عليها بحيث يساوي مجموعها مبلغ المصروف.",IF(ABS(SUM($M42:$R42))&lt;0.005,"أدخل المبالغ المتفق عليها بحيث يساوي مجموعها مبلغ المصروف.",IF(SUM($M42:$R42)&lt;$D42-0.005,"يتبقى للتوزيع: "&amp;ROUND($D42-SUM($M42:$R42),2)&amp;".",IF(SUM($M42:$R42)&gt;$D42+0.005,"يزيد مجموع الحصص على المصروف بمقدار "&amp;ROUND(SUM($M42:$R42)-$D42,2)&amp;".","جاهز")))),"أدخل المبالغ المتفق عليها بحيث يساوي مجموعها مبلغ المصروف."))))))</f>
      </c>
    </row>
    <row r="43">
      <c r="A43" s="149"/>
      <c r="B43" s="138"/>
      <c r="C43" s="138"/>
      <c r="D43" s="150"/>
      <c r="E43" s="138"/>
      <c r="F43" s="138"/>
      <c r="G43" s="138"/>
      <c r="H43" s="138"/>
      <c r="I43" s="138"/>
      <c r="J43" s="138"/>
      <c r="K43" s="138"/>
      <c r="L43" s="138"/>
      <c r="M43" s="150"/>
      <c r="N43" s="150"/>
      <c r="O43" s="150"/>
      <c r="P43" s="150"/>
      <c r="Q43" s="150"/>
      <c r="R43" s="150"/>
      <c r="S43" s="138"/>
      <c r="T43" s="151" t="str">
        <f>IF(COUNTIF($A43:$S43,"&lt;&gt;")=0,"",IF($F43="بالتساوي بين المشاركين",IF(G43&lt;&gt;"نعم",0,IF(COUNTIF($H43:$L43,"نعم")=0,$D43-0,ROUND($D43/COUNTIF($G43:$L43,"نعم"),2))),IF($F43="مبالغ متفق عليها",IF(G43="نعم",M43,0),"")))</f>
      </c>
      <c r="U43" s="151" t="str">
        <f>IF(COUNTIF($A43:$S43,"&lt;&gt;")=0,"",IF($F43="بالتساوي بين المشاركين",IF(H43&lt;&gt;"نعم",0,IF(COUNTIF($I43:$L43,"نعم")=0,$D43-SUM($T43:T43),ROUND($D43/COUNTIF($G43:$L43,"نعم"),2))),IF($F43="مبالغ متفق عليها",IF(H43="نعم",N43,0),"")))</f>
      </c>
      <c r="V43" s="151" t="str">
        <f>IF(COUNTIF($A43:$S43,"&lt;&gt;")=0,"",IF($F43="بالتساوي بين المشاركين",IF(I43&lt;&gt;"نعم",0,IF(COUNTIF($J43:$L43,"نعم")=0,$D43-SUM($T43:U43),ROUND($D43/COUNTIF($G43:$L43,"نعم"),2))),IF($F43="مبالغ متفق عليها",IF(I43="نعم",O43,0),"")))</f>
      </c>
      <c r="W43" s="151" t="str">
        <f>IF(COUNTIF($A43:$S43,"&lt;&gt;")=0,"",IF($F43="بالتساوي بين المشاركين",IF(J43&lt;&gt;"نعم",0,IF(COUNTIF($K43:$L43,"نعم")=0,$D43-SUM($T43:V43),ROUND($D43/COUNTIF($G43:$L43,"نعم"),2))),IF($F43="مبالغ متفق عليها",IF(J43="نعم",P43,0),"")))</f>
      </c>
      <c r="X43" s="151" t="str">
        <f>IF(COUNTIF($A43:$S43,"&lt;&gt;")=0,"",IF($F43="بالتساوي بين المشاركين",IF(K43&lt;&gt;"نعم",0,IF(COUNTIF($L43:$L43,"نعم")=0,$D43-SUM($T43:W43),ROUND($D43/COUNTIF($G43:$L43,"نعم"),2))),IF($F43="مبالغ متفق عليها",IF(K43="نعم",Q43,0),"")))</f>
      </c>
      <c r="Y43" s="151" t="str">
        <f>IF(COUNTIF($A43:$S43,"&lt;&gt;")=0,"",IF($F43="بالتساوي بين المشاركين",IF(L43&lt;&gt;"نعم",0,IF(0=0,$D43-SUM($T43:X43),ROUND($D43/COUNTIF($G43:$L43,"نعم"),2))),IF($F43="مبالغ متفق عليها",IF(L43="نعم",R43,0),"")))</f>
      </c>
      <c r="Z43" s="165" t="str">
        <f>IF(COUNTIF($A43:$S43,"&lt;&gt;")=0,"",IF(OR($D43="",$D43&lt;=0),"أدخل مبلغًا أكبر من صفر.",IF($E43="","اختر الشخص الذي دفع المبلغ.",IF(COUNTIF($G43:$L43,"نعم")=0,"حدد شخصًا واحدًا على الأقل للمشاركة في المصروف.",IF($F43="بالتساوي بين المشاركين","جاهز",IF($F43="مبالغ متفق عليها",IF(OR(AND(G43="نعم",M43=""),AND(H43="نعم",N43=""),AND(I43="نعم",O43=""),AND(J43="نعم",P43=""),AND(K43="نعم",Q43=""),AND(L43="نعم",R43="")),"أدخل المبالغ المتفق عليها بحيث يساوي مجموعها مبلغ المصروف.",IF(ABS(SUM($M43:$R43))&lt;0.005,"أدخل المبالغ المتفق عليها بحيث يساوي مجموعها مبلغ المصروف.",IF(SUM($M43:$R43)&lt;$D43-0.005,"يتبقى للتوزيع: "&amp;ROUND($D43-SUM($M43:$R43),2)&amp;".",IF(SUM($M43:$R43)&gt;$D43+0.005,"يزيد مجموع الحصص على المصروف بمقدار "&amp;ROUND(SUM($M43:$R43)-$D43,2)&amp;".","جاهز")))),"أدخل المبالغ المتفق عليها بحيث يساوي مجموعها مبلغ المصروف."))))))</f>
      </c>
    </row>
    <row r="44">
      <c r="A44" s="149"/>
      <c r="B44" s="138"/>
      <c r="C44" s="138"/>
      <c r="D44" s="150"/>
      <c r="E44" s="138"/>
      <c r="F44" s="138"/>
      <c r="G44" s="138"/>
      <c r="H44" s="138"/>
      <c r="I44" s="138"/>
      <c r="J44" s="138"/>
      <c r="K44" s="138"/>
      <c r="L44" s="138"/>
      <c r="M44" s="150"/>
      <c r="N44" s="150"/>
      <c r="O44" s="150"/>
      <c r="P44" s="150"/>
      <c r="Q44" s="150"/>
      <c r="R44" s="150"/>
      <c r="S44" s="138"/>
      <c r="T44" s="151" t="str">
        <f>IF(COUNTIF($A44:$S44,"&lt;&gt;")=0,"",IF($F44="بالتساوي بين المشاركين",IF(G44&lt;&gt;"نعم",0,IF(COUNTIF($H44:$L44,"نعم")=0,$D44-0,ROUND($D44/COUNTIF($G44:$L44,"نعم"),2))),IF($F44="مبالغ متفق عليها",IF(G44="نعم",M44,0),"")))</f>
      </c>
      <c r="U44" s="151" t="str">
        <f>IF(COUNTIF($A44:$S44,"&lt;&gt;")=0,"",IF($F44="بالتساوي بين المشاركين",IF(H44&lt;&gt;"نعم",0,IF(COUNTIF($I44:$L44,"نعم")=0,$D44-SUM($T44:T44),ROUND($D44/COUNTIF($G44:$L44,"نعم"),2))),IF($F44="مبالغ متفق عليها",IF(H44="نعم",N44,0),"")))</f>
      </c>
      <c r="V44" s="151" t="str">
        <f>IF(COUNTIF($A44:$S44,"&lt;&gt;")=0,"",IF($F44="بالتساوي بين المشاركين",IF(I44&lt;&gt;"نعم",0,IF(COUNTIF($J44:$L44,"نعم")=0,$D44-SUM($T44:U44),ROUND($D44/COUNTIF($G44:$L44,"نعم"),2))),IF($F44="مبالغ متفق عليها",IF(I44="نعم",O44,0),"")))</f>
      </c>
      <c r="W44" s="151" t="str">
        <f>IF(COUNTIF($A44:$S44,"&lt;&gt;")=0,"",IF($F44="بالتساوي بين المشاركين",IF(J44&lt;&gt;"نعم",0,IF(COUNTIF($K44:$L44,"نعم")=0,$D44-SUM($T44:V44),ROUND($D44/COUNTIF($G44:$L44,"نعم"),2))),IF($F44="مبالغ متفق عليها",IF(J44="نعم",P44,0),"")))</f>
      </c>
      <c r="X44" s="151" t="str">
        <f>IF(COUNTIF($A44:$S44,"&lt;&gt;")=0,"",IF($F44="بالتساوي بين المشاركين",IF(K44&lt;&gt;"نعم",0,IF(COUNTIF($L44:$L44,"نعم")=0,$D44-SUM($T44:W44),ROUND($D44/COUNTIF($G44:$L44,"نعم"),2))),IF($F44="مبالغ متفق عليها",IF(K44="نعم",Q44,0),"")))</f>
      </c>
      <c r="Y44" s="151" t="str">
        <f>IF(COUNTIF($A44:$S44,"&lt;&gt;")=0,"",IF($F44="بالتساوي بين المشاركين",IF(L44&lt;&gt;"نعم",0,IF(0=0,$D44-SUM($T44:X44),ROUND($D44/COUNTIF($G44:$L44,"نعم"),2))),IF($F44="مبالغ متفق عليها",IF(L44="نعم",R44,0),"")))</f>
      </c>
      <c r="Z44" s="165" t="str">
        <f>IF(COUNTIF($A44:$S44,"&lt;&gt;")=0,"",IF(OR($D44="",$D44&lt;=0),"أدخل مبلغًا أكبر من صفر.",IF($E44="","اختر الشخص الذي دفع المبلغ.",IF(COUNTIF($G44:$L44,"نعم")=0,"حدد شخصًا واحدًا على الأقل للمشاركة في المصروف.",IF($F44="بالتساوي بين المشاركين","جاهز",IF($F44="مبالغ متفق عليها",IF(OR(AND(G44="نعم",M44=""),AND(H44="نعم",N44=""),AND(I44="نعم",O44=""),AND(J44="نعم",P44=""),AND(K44="نعم",Q44=""),AND(L44="نعم",R44="")),"أدخل المبالغ المتفق عليها بحيث يساوي مجموعها مبلغ المصروف.",IF(ABS(SUM($M44:$R44))&lt;0.005,"أدخل المبالغ المتفق عليها بحيث يساوي مجموعها مبلغ المصروف.",IF(SUM($M44:$R44)&lt;$D44-0.005,"يتبقى للتوزيع: "&amp;ROUND($D44-SUM($M44:$R44),2)&amp;".",IF(SUM($M44:$R44)&gt;$D44+0.005,"يزيد مجموع الحصص على المصروف بمقدار "&amp;ROUND(SUM($M44:$R44)-$D44,2)&amp;".","جاهز")))),"أدخل المبالغ المتفق عليها بحيث يساوي مجموعها مبلغ المصروف."))))))</f>
      </c>
    </row>
    <row r="45">
      <c r="A45" s="149"/>
      <c r="B45" s="138"/>
      <c r="C45" s="138"/>
      <c r="D45" s="150"/>
      <c r="E45" s="138"/>
      <c r="F45" s="138"/>
      <c r="G45" s="138"/>
      <c r="H45" s="138"/>
      <c r="I45" s="138"/>
      <c r="J45" s="138"/>
      <c r="K45" s="138"/>
      <c r="L45" s="138"/>
      <c r="M45" s="150"/>
      <c r="N45" s="150"/>
      <c r="O45" s="150"/>
      <c r="P45" s="150"/>
      <c r="Q45" s="150"/>
      <c r="R45" s="150"/>
      <c r="S45" s="138"/>
      <c r="T45" s="151" t="str">
        <f>IF(COUNTIF($A45:$S45,"&lt;&gt;")=0,"",IF($F45="بالتساوي بين المشاركين",IF(G45&lt;&gt;"نعم",0,IF(COUNTIF($H45:$L45,"نعم")=0,$D45-0,ROUND($D45/COUNTIF($G45:$L45,"نعم"),2))),IF($F45="مبالغ متفق عليها",IF(G45="نعم",M45,0),"")))</f>
      </c>
      <c r="U45" s="151" t="str">
        <f>IF(COUNTIF($A45:$S45,"&lt;&gt;")=0,"",IF($F45="بالتساوي بين المشاركين",IF(H45&lt;&gt;"نعم",0,IF(COUNTIF($I45:$L45,"نعم")=0,$D45-SUM($T45:T45),ROUND($D45/COUNTIF($G45:$L45,"نعم"),2))),IF($F45="مبالغ متفق عليها",IF(H45="نعم",N45,0),"")))</f>
      </c>
      <c r="V45" s="151" t="str">
        <f>IF(COUNTIF($A45:$S45,"&lt;&gt;")=0,"",IF($F45="بالتساوي بين المشاركين",IF(I45&lt;&gt;"نعم",0,IF(COUNTIF($J45:$L45,"نعم")=0,$D45-SUM($T45:U45),ROUND($D45/COUNTIF($G45:$L45,"نعم"),2))),IF($F45="مبالغ متفق عليها",IF(I45="نعم",O45,0),"")))</f>
      </c>
      <c r="W45" s="151" t="str">
        <f>IF(COUNTIF($A45:$S45,"&lt;&gt;")=0,"",IF($F45="بالتساوي بين المشاركين",IF(J45&lt;&gt;"نعم",0,IF(COUNTIF($K45:$L45,"نعم")=0,$D45-SUM($T45:V45),ROUND($D45/COUNTIF($G45:$L45,"نعم"),2))),IF($F45="مبالغ متفق عليها",IF(J45="نعم",P45,0),"")))</f>
      </c>
      <c r="X45" s="151" t="str">
        <f>IF(COUNTIF($A45:$S45,"&lt;&gt;")=0,"",IF($F45="بالتساوي بين المشاركين",IF(K45&lt;&gt;"نعم",0,IF(COUNTIF($L45:$L45,"نعم")=0,$D45-SUM($T45:W45),ROUND($D45/COUNTIF($G45:$L45,"نعم"),2))),IF($F45="مبالغ متفق عليها",IF(K45="نعم",Q45,0),"")))</f>
      </c>
      <c r="Y45" s="151" t="str">
        <f>IF(COUNTIF($A45:$S45,"&lt;&gt;")=0,"",IF($F45="بالتساوي بين المشاركين",IF(L45&lt;&gt;"نعم",0,IF(0=0,$D45-SUM($T45:X45),ROUND($D45/COUNTIF($G45:$L45,"نعم"),2))),IF($F45="مبالغ متفق عليها",IF(L45="نعم",R45,0),"")))</f>
      </c>
      <c r="Z45" s="165" t="str">
        <f>IF(COUNTIF($A45:$S45,"&lt;&gt;")=0,"",IF(OR($D45="",$D45&lt;=0),"أدخل مبلغًا أكبر من صفر.",IF($E45="","اختر الشخص الذي دفع المبلغ.",IF(COUNTIF($G45:$L45,"نعم")=0,"حدد شخصًا واحدًا على الأقل للمشاركة في المصروف.",IF($F45="بالتساوي بين المشاركين","جاهز",IF($F45="مبالغ متفق عليها",IF(OR(AND(G45="نعم",M45=""),AND(H45="نعم",N45=""),AND(I45="نعم",O45=""),AND(J45="نعم",P45=""),AND(K45="نعم",Q45=""),AND(L45="نعم",R45="")),"أدخل المبالغ المتفق عليها بحيث يساوي مجموعها مبلغ المصروف.",IF(ABS(SUM($M45:$R45))&lt;0.005,"أدخل المبالغ المتفق عليها بحيث يساوي مجموعها مبلغ المصروف.",IF(SUM($M45:$R45)&lt;$D45-0.005,"يتبقى للتوزيع: "&amp;ROUND($D45-SUM($M45:$R45),2)&amp;".",IF(SUM($M45:$R45)&gt;$D45+0.005,"يزيد مجموع الحصص على المصروف بمقدار "&amp;ROUND(SUM($M45:$R45)-$D45,2)&amp;".","جاهز")))),"أدخل المبالغ المتفق عليها بحيث يساوي مجموعها مبلغ المصروف."))))))</f>
      </c>
    </row>
    <row r="46">
      <c r="A46" s="149"/>
      <c r="B46" s="138"/>
      <c r="C46" s="138"/>
      <c r="D46" s="150"/>
      <c r="E46" s="138"/>
      <c r="F46" s="138"/>
      <c r="G46" s="138"/>
      <c r="H46" s="138"/>
      <c r="I46" s="138"/>
      <c r="J46" s="138"/>
      <c r="K46" s="138"/>
      <c r="L46" s="138"/>
      <c r="M46" s="150"/>
      <c r="N46" s="150"/>
      <c r="O46" s="150"/>
      <c r="P46" s="150"/>
      <c r="Q46" s="150"/>
      <c r="R46" s="150"/>
      <c r="S46" s="138"/>
      <c r="T46" s="151" t="str">
        <f>IF(COUNTIF($A46:$S46,"&lt;&gt;")=0,"",IF($F46="بالتساوي بين المشاركين",IF(G46&lt;&gt;"نعم",0,IF(COUNTIF($H46:$L46,"نعم")=0,$D46-0,ROUND($D46/COUNTIF($G46:$L46,"نعم"),2))),IF($F46="مبالغ متفق عليها",IF(G46="نعم",M46,0),"")))</f>
      </c>
      <c r="U46" s="151" t="str">
        <f>IF(COUNTIF($A46:$S46,"&lt;&gt;")=0,"",IF($F46="بالتساوي بين المشاركين",IF(H46&lt;&gt;"نعم",0,IF(COUNTIF($I46:$L46,"نعم")=0,$D46-SUM($T46:T46),ROUND($D46/COUNTIF($G46:$L46,"نعم"),2))),IF($F46="مبالغ متفق عليها",IF(H46="نعم",N46,0),"")))</f>
      </c>
      <c r="V46" s="151" t="str">
        <f>IF(COUNTIF($A46:$S46,"&lt;&gt;")=0,"",IF($F46="بالتساوي بين المشاركين",IF(I46&lt;&gt;"نعم",0,IF(COUNTIF($J46:$L46,"نعم")=0,$D46-SUM($T46:U46),ROUND($D46/COUNTIF($G46:$L46,"نعم"),2))),IF($F46="مبالغ متفق عليها",IF(I46="نعم",O46,0),"")))</f>
      </c>
      <c r="W46" s="151" t="str">
        <f>IF(COUNTIF($A46:$S46,"&lt;&gt;")=0,"",IF($F46="بالتساوي بين المشاركين",IF(J46&lt;&gt;"نعم",0,IF(COUNTIF($K46:$L46,"نعم")=0,$D46-SUM($T46:V46),ROUND($D46/COUNTIF($G46:$L46,"نعم"),2))),IF($F46="مبالغ متفق عليها",IF(J46="نعم",P46,0),"")))</f>
      </c>
      <c r="X46" s="151" t="str">
        <f>IF(COUNTIF($A46:$S46,"&lt;&gt;")=0,"",IF($F46="بالتساوي بين المشاركين",IF(K46&lt;&gt;"نعم",0,IF(COUNTIF($L46:$L46,"نعم")=0,$D46-SUM($T46:W46),ROUND($D46/COUNTIF($G46:$L46,"نعم"),2))),IF($F46="مبالغ متفق عليها",IF(K46="نعم",Q46,0),"")))</f>
      </c>
      <c r="Y46" s="151" t="str">
        <f>IF(COUNTIF($A46:$S46,"&lt;&gt;")=0,"",IF($F46="بالتساوي بين المشاركين",IF(L46&lt;&gt;"نعم",0,IF(0=0,$D46-SUM($T46:X46),ROUND($D46/COUNTIF($G46:$L46,"نعم"),2))),IF($F46="مبالغ متفق عليها",IF(L46="نعم",R46,0),"")))</f>
      </c>
      <c r="Z46" s="165" t="str">
        <f>IF(COUNTIF($A46:$S46,"&lt;&gt;")=0,"",IF(OR($D46="",$D46&lt;=0),"أدخل مبلغًا أكبر من صفر.",IF($E46="","اختر الشخص الذي دفع المبلغ.",IF(COUNTIF($G46:$L46,"نعم")=0,"حدد شخصًا واحدًا على الأقل للمشاركة في المصروف.",IF($F46="بالتساوي بين المشاركين","جاهز",IF($F46="مبالغ متفق عليها",IF(OR(AND(G46="نعم",M46=""),AND(H46="نعم",N46=""),AND(I46="نعم",O46=""),AND(J46="نعم",P46=""),AND(K46="نعم",Q46=""),AND(L46="نعم",R46="")),"أدخل المبالغ المتفق عليها بحيث يساوي مجموعها مبلغ المصروف.",IF(ABS(SUM($M46:$R46))&lt;0.005,"أدخل المبالغ المتفق عليها بحيث يساوي مجموعها مبلغ المصروف.",IF(SUM($M46:$R46)&lt;$D46-0.005,"يتبقى للتوزيع: "&amp;ROUND($D46-SUM($M46:$R46),2)&amp;".",IF(SUM($M46:$R46)&gt;$D46+0.005,"يزيد مجموع الحصص على المصروف بمقدار "&amp;ROUND(SUM($M46:$R46)-$D46,2)&amp;".","جاهز")))),"أدخل المبالغ المتفق عليها بحيث يساوي مجموعها مبلغ المصروف."))))))</f>
      </c>
    </row>
    <row r="47">
      <c r="A47" s="149"/>
      <c r="B47" s="138"/>
      <c r="C47" s="138"/>
      <c r="D47" s="150"/>
      <c r="E47" s="138"/>
      <c r="F47" s="138"/>
      <c r="G47" s="138"/>
      <c r="H47" s="138"/>
      <c r="I47" s="138"/>
      <c r="J47" s="138"/>
      <c r="K47" s="138"/>
      <c r="L47" s="138"/>
      <c r="M47" s="150"/>
      <c r="N47" s="150"/>
      <c r="O47" s="150"/>
      <c r="P47" s="150"/>
      <c r="Q47" s="150"/>
      <c r="R47" s="150"/>
      <c r="S47" s="138"/>
      <c r="T47" s="151" t="str">
        <f>IF(COUNTIF($A47:$S47,"&lt;&gt;")=0,"",IF($F47="بالتساوي بين المشاركين",IF(G47&lt;&gt;"نعم",0,IF(COUNTIF($H47:$L47,"نعم")=0,$D47-0,ROUND($D47/COUNTIF($G47:$L47,"نعم"),2))),IF($F47="مبالغ متفق عليها",IF(G47="نعم",M47,0),"")))</f>
      </c>
      <c r="U47" s="151" t="str">
        <f>IF(COUNTIF($A47:$S47,"&lt;&gt;")=0,"",IF($F47="بالتساوي بين المشاركين",IF(H47&lt;&gt;"نعم",0,IF(COUNTIF($I47:$L47,"نعم")=0,$D47-SUM($T47:T47),ROUND($D47/COUNTIF($G47:$L47,"نعم"),2))),IF($F47="مبالغ متفق عليها",IF(H47="نعم",N47,0),"")))</f>
      </c>
      <c r="V47" s="151" t="str">
        <f>IF(COUNTIF($A47:$S47,"&lt;&gt;")=0,"",IF($F47="بالتساوي بين المشاركين",IF(I47&lt;&gt;"نعم",0,IF(COUNTIF($J47:$L47,"نعم")=0,$D47-SUM($T47:U47),ROUND($D47/COUNTIF($G47:$L47,"نعم"),2))),IF($F47="مبالغ متفق عليها",IF(I47="نعم",O47,0),"")))</f>
      </c>
      <c r="W47" s="151" t="str">
        <f>IF(COUNTIF($A47:$S47,"&lt;&gt;")=0,"",IF($F47="بالتساوي بين المشاركين",IF(J47&lt;&gt;"نعم",0,IF(COUNTIF($K47:$L47,"نعم")=0,$D47-SUM($T47:V47),ROUND($D47/COUNTIF($G47:$L47,"نعم"),2))),IF($F47="مبالغ متفق عليها",IF(J47="نعم",P47,0),"")))</f>
      </c>
      <c r="X47" s="151" t="str">
        <f>IF(COUNTIF($A47:$S47,"&lt;&gt;")=0,"",IF($F47="بالتساوي بين المشاركين",IF(K47&lt;&gt;"نعم",0,IF(COUNTIF($L47:$L47,"نعم")=0,$D47-SUM($T47:W47),ROUND($D47/COUNTIF($G47:$L47,"نعم"),2))),IF($F47="مبالغ متفق عليها",IF(K47="نعم",Q47,0),"")))</f>
      </c>
      <c r="Y47" s="151" t="str">
        <f>IF(COUNTIF($A47:$S47,"&lt;&gt;")=0,"",IF($F47="بالتساوي بين المشاركين",IF(L47&lt;&gt;"نعم",0,IF(0=0,$D47-SUM($T47:X47),ROUND($D47/COUNTIF($G47:$L47,"نعم"),2))),IF($F47="مبالغ متفق عليها",IF(L47="نعم",R47,0),"")))</f>
      </c>
      <c r="Z47" s="165" t="str">
        <f>IF(COUNTIF($A47:$S47,"&lt;&gt;")=0,"",IF(OR($D47="",$D47&lt;=0),"أدخل مبلغًا أكبر من صفر.",IF($E47="","اختر الشخص الذي دفع المبلغ.",IF(COUNTIF($G47:$L47,"نعم")=0,"حدد شخصًا واحدًا على الأقل للمشاركة في المصروف.",IF($F47="بالتساوي بين المشاركين","جاهز",IF($F47="مبالغ متفق عليها",IF(OR(AND(G47="نعم",M47=""),AND(H47="نعم",N47=""),AND(I47="نعم",O47=""),AND(J47="نعم",P47=""),AND(K47="نعم",Q47=""),AND(L47="نعم",R47="")),"أدخل المبالغ المتفق عليها بحيث يساوي مجموعها مبلغ المصروف.",IF(ABS(SUM($M47:$R47))&lt;0.005,"أدخل المبالغ المتفق عليها بحيث يساوي مجموعها مبلغ المصروف.",IF(SUM($M47:$R47)&lt;$D47-0.005,"يتبقى للتوزيع: "&amp;ROUND($D47-SUM($M47:$R47),2)&amp;".",IF(SUM($M47:$R47)&gt;$D47+0.005,"يزيد مجموع الحصص على المصروف بمقدار "&amp;ROUND(SUM($M47:$R47)-$D47,2)&amp;".","جاهز")))),"أدخل المبالغ المتفق عليها بحيث يساوي مجموعها مبلغ المصروف."))))))</f>
      </c>
    </row>
    <row r="48">
      <c r="A48" s="149"/>
      <c r="B48" s="138"/>
      <c r="C48" s="138"/>
      <c r="D48" s="150"/>
      <c r="E48" s="138"/>
      <c r="F48" s="138"/>
      <c r="G48" s="138"/>
      <c r="H48" s="138"/>
      <c r="I48" s="138"/>
      <c r="J48" s="138"/>
      <c r="K48" s="138"/>
      <c r="L48" s="138"/>
      <c r="M48" s="150"/>
      <c r="N48" s="150"/>
      <c r="O48" s="150"/>
      <c r="P48" s="150"/>
      <c r="Q48" s="150"/>
      <c r="R48" s="150"/>
      <c r="S48" s="138"/>
      <c r="T48" s="151" t="str">
        <f>IF(COUNTIF($A48:$S48,"&lt;&gt;")=0,"",IF($F48="بالتساوي بين المشاركين",IF(G48&lt;&gt;"نعم",0,IF(COUNTIF($H48:$L48,"نعم")=0,$D48-0,ROUND($D48/COUNTIF($G48:$L48,"نعم"),2))),IF($F48="مبالغ متفق عليها",IF(G48="نعم",M48,0),"")))</f>
      </c>
      <c r="U48" s="151" t="str">
        <f>IF(COUNTIF($A48:$S48,"&lt;&gt;")=0,"",IF($F48="بالتساوي بين المشاركين",IF(H48&lt;&gt;"نعم",0,IF(COUNTIF($I48:$L48,"نعم")=0,$D48-SUM($T48:T48),ROUND($D48/COUNTIF($G48:$L48,"نعم"),2))),IF($F48="مبالغ متفق عليها",IF(H48="نعم",N48,0),"")))</f>
      </c>
      <c r="V48" s="151" t="str">
        <f>IF(COUNTIF($A48:$S48,"&lt;&gt;")=0,"",IF($F48="بالتساوي بين المشاركين",IF(I48&lt;&gt;"نعم",0,IF(COUNTIF($J48:$L48,"نعم")=0,$D48-SUM($T48:U48),ROUND($D48/COUNTIF($G48:$L48,"نعم"),2))),IF($F48="مبالغ متفق عليها",IF(I48="نعم",O48,0),"")))</f>
      </c>
      <c r="W48" s="151" t="str">
        <f>IF(COUNTIF($A48:$S48,"&lt;&gt;")=0,"",IF($F48="بالتساوي بين المشاركين",IF(J48&lt;&gt;"نعم",0,IF(COUNTIF($K48:$L48,"نعم")=0,$D48-SUM($T48:V48),ROUND($D48/COUNTIF($G48:$L48,"نعم"),2))),IF($F48="مبالغ متفق عليها",IF(J48="نعم",P48,0),"")))</f>
      </c>
      <c r="X48" s="151" t="str">
        <f>IF(COUNTIF($A48:$S48,"&lt;&gt;")=0,"",IF($F48="بالتساوي بين المشاركين",IF(K48&lt;&gt;"نعم",0,IF(COUNTIF($L48:$L48,"نعم")=0,$D48-SUM($T48:W48),ROUND($D48/COUNTIF($G48:$L48,"نعم"),2))),IF($F48="مبالغ متفق عليها",IF(K48="نعم",Q48,0),"")))</f>
      </c>
      <c r="Y48" s="151" t="str">
        <f>IF(COUNTIF($A48:$S48,"&lt;&gt;")=0,"",IF($F48="بالتساوي بين المشاركين",IF(L48&lt;&gt;"نعم",0,IF(0=0,$D48-SUM($T48:X48),ROUND($D48/COUNTIF($G48:$L48,"نعم"),2))),IF($F48="مبالغ متفق عليها",IF(L48="نعم",R48,0),"")))</f>
      </c>
      <c r="Z48" s="165" t="str">
        <f>IF(COUNTIF($A48:$S48,"&lt;&gt;")=0,"",IF(OR($D48="",$D48&lt;=0),"أدخل مبلغًا أكبر من صفر.",IF($E48="","اختر الشخص الذي دفع المبلغ.",IF(COUNTIF($G48:$L48,"نعم")=0,"حدد شخصًا واحدًا على الأقل للمشاركة في المصروف.",IF($F48="بالتساوي بين المشاركين","جاهز",IF($F48="مبالغ متفق عليها",IF(OR(AND(G48="نعم",M48=""),AND(H48="نعم",N48=""),AND(I48="نعم",O48=""),AND(J48="نعم",P48=""),AND(K48="نعم",Q48=""),AND(L48="نعم",R48="")),"أدخل المبالغ المتفق عليها بحيث يساوي مجموعها مبلغ المصروف.",IF(ABS(SUM($M48:$R48))&lt;0.005,"أدخل المبالغ المتفق عليها بحيث يساوي مجموعها مبلغ المصروف.",IF(SUM($M48:$R48)&lt;$D48-0.005,"يتبقى للتوزيع: "&amp;ROUND($D48-SUM($M48:$R48),2)&amp;".",IF(SUM($M48:$R48)&gt;$D48+0.005,"يزيد مجموع الحصص على المصروف بمقدار "&amp;ROUND(SUM($M48:$R48)-$D48,2)&amp;".","جاهز")))),"أدخل المبالغ المتفق عليها بحيث يساوي مجموعها مبلغ المصروف."))))))</f>
      </c>
    </row>
    <row r="49">
      <c r="A49" s="149"/>
      <c r="B49" s="138"/>
      <c r="C49" s="138"/>
      <c r="D49" s="150"/>
      <c r="E49" s="138"/>
      <c r="F49" s="138"/>
      <c r="G49" s="138"/>
      <c r="H49" s="138"/>
      <c r="I49" s="138"/>
      <c r="J49" s="138"/>
      <c r="K49" s="138"/>
      <c r="L49" s="138"/>
      <c r="M49" s="150"/>
      <c r="N49" s="150"/>
      <c r="O49" s="150"/>
      <c r="P49" s="150"/>
      <c r="Q49" s="150"/>
      <c r="R49" s="150"/>
      <c r="S49" s="138"/>
      <c r="T49" s="151" t="str">
        <f>IF(COUNTIF($A49:$S49,"&lt;&gt;")=0,"",IF($F49="بالتساوي بين المشاركين",IF(G49&lt;&gt;"نعم",0,IF(COUNTIF($H49:$L49,"نعم")=0,$D49-0,ROUND($D49/COUNTIF($G49:$L49,"نعم"),2))),IF($F49="مبالغ متفق عليها",IF(G49="نعم",M49,0),"")))</f>
      </c>
      <c r="U49" s="151" t="str">
        <f>IF(COUNTIF($A49:$S49,"&lt;&gt;")=0,"",IF($F49="بالتساوي بين المشاركين",IF(H49&lt;&gt;"نعم",0,IF(COUNTIF($I49:$L49,"نعم")=0,$D49-SUM($T49:T49),ROUND($D49/COUNTIF($G49:$L49,"نعم"),2))),IF($F49="مبالغ متفق عليها",IF(H49="نعم",N49,0),"")))</f>
      </c>
      <c r="V49" s="151" t="str">
        <f>IF(COUNTIF($A49:$S49,"&lt;&gt;")=0,"",IF($F49="بالتساوي بين المشاركين",IF(I49&lt;&gt;"نعم",0,IF(COUNTIF($J49:$L49,"نعم")=0,$D49-SUM($T49:U49),ROUND($D49/COUNTIF($G49:$L49,"نعم"),2))),IF($F49="مبالغ متفق عليها",IF(I49="نعم",O49,0),"")))</f>
      </c>
      <c r="W49" s="151" t="str">
        <f>IF(COUNTIF($A49:$S49,"&lt;&gt;")=0,"",IF($F49="بالتساوي بين المشاركين",IF(J49&lt;&gt;"نعم",0,IF(COUNTIF($K49:$L49,"نعم")=0,$D49-SUM($T49:V49),ROUND($D49/COUNTIF($G49:$L49,"نعم"),2))),IF($F49="مبالغ متفق عليها",IF(J49="نعم",P49,0),"")))</f>
      </c>
      <c r="X49" s="151" t="str">
        <f>IF(COUNTIF($A49:$S49,"&lt;&gt;")=0,"",IF($F49="بالتساوي بين المشاركين",IF(K49&lt;&gt;"نعم",0,IF(COUNTIF($L49:$L49,"نعم")=0,$D49-SUM($T49:W49),ROUND($D49/COUNTIF($G49:$L49,"نعم"),2))),IF($F49="مبالغ متفق عليها",IF(K49="نعم",Q49,0),"")))</f>
      </c>
      <c r="Y49" s="151" t="str">
        <f>IF(COUNTIF($A49:$S49,"&lt;&gt;")=0,"",IF($F49="بالتساوي بين المشاركين",IF(L49&lt;&gt;"نعم",0,IF(0=0,$D49-SUM($T49:X49),ROUND($D49/COUNTIF($G49:$L49,"نعم"),2))),IF($F49="مبالغ متفق عليها",IF(L49="نعم",R49,0),"")))</f>
      </c>
      <c r="Z49" s="165" t="str">
        <f>IF(COUNTIF($A49:$S49,"&lt;&gt;")=0,"",IF(OR($D49="",$D49&lt;=0),"أدخل مبلغًا أكبر من صفر.",IF($E49="","اختر الشخص الذي دفع المبلغ.",IF(COUNTIF($G49:$L49,"نعم")=0,"حدد شخصًا واحدًا على الأقل للمشاركة في المصروف.",IF($F49="بالتساوي بين المشاركين","جاهز",IF($F49="مبالغ متفق عليها",IF(OR(AND(G49="نعم",M49=""),AND(H49="نعم",N49=""),AND(I49="نعم",O49=""),AND(J49="نعم",P49=""),AND(K49="نعم",Q49=""),AND(L49="نعم",R49="")),"أدخل المبالغ المتفق عليها بحيث يساوي مجموعها مبلغ المصروف.",IF(ABS(SUM($M49:$R49))&lt;0.005,"أدخل المبالغ المتفق عليها بحيث يساوي مجموعها مبلغ المصروف.",IF(SUM($M49:$R49)&lt;$D49-0.005,"يتبقى للتوزيع: "&amp;ROUND($D49-SUM($M49:$R49),2)&amp;".",IF(SUM($M49:$R49)&gt;$D49+0.005,"يزيد مجموع الحصص على المصروف بمقدار "&amp;ROUND(SUM($M49:$R49)-$D49,2)&amp;".","جاهز")))),"أدخل المبالغ المتفق عليها بحيث يساوي مجموعها مبلغ المصروف."))))))</f>
      </c>
    </row>
    <row r="50">
      <c r="A50" s="149"/>
      <c r="B50" s="138"/>
      <c r="C50" s="138"/>
      <c r="D50" s="150"/>
      <c r="E50" s="138"/>
      <c r="F50" s="138"/>
      <c r="G50" s="138"/>
      <c r="H50" s="138"/>
      <c r="I50" s="138"/>
      <c r="J50" s="138"/>
      <c r="K50" s="138"/>
      <c r="L50" s="138"/>
      <c r="M50" s="150"/>
      <c r="N50" s="150"/>
      <c r="O50" s="150"/>
      <c r="P50" s="150"/>
      <c r="Q50" s="150"/>
      <c r="R50" s="150"/>
      <c r="S50" s="138"/>
      <c r="T50" s="151" t="str">
        <f>IF(COUNTIF($A50:$S50,"&lt;&gt;")=0,"",IF($F50="بالتساوي بين المشاركين",IF(G50&lt;&gt;"نعم",0,IF(COUNTIF($H50:$L50,"نعم")=0,$D50-0,ROUND($D50/COUNTIF($G50:$L50,"نعم"),2))),IF($F50="مبالغ متفق عليها",IF(G50="نعم",M50,0),"")))</f>
      </c>
      <c r="U50" s="151" t="str">
        <f>IF(COUNTIF($A50:$S50,"&lt;&gt;")=0,"",IF($F50="بالتساوي بين المشاركين",IF(H50&lt;&gt;"نعم",0,IF(COUNTIF($I50:$L50,"نعم")=0,$D50-SUM($T50:T50),ROUND($D50/COUNTIF($G50:$L50,"نعم"),2))),IF($F50="مبالغ متفق عليها",IF(H50="نعم",N50,0),"")))</f>
      </c>
      <c r="V50" s="151" t="str">
        <f>IF(COUNTIF($A50:$S50,"&lt;&gt;")=0,"",IF($F50="بالتساوي بين المشاركين",IF(I50&lt;&gt;"نعم",0,IF(COUNTIF($J50:$L50,"نعم")=0,$D50-SUM($T50:U50),ROUND($D50/COUNTIF($G50:$L50,"نعم"),2))),IF($F50="مبالغ متفق عليها",IF(I50="نعم",O50,0),"")))</f>
      </c>
      <c r="W50" s="151" t="str">
        <f>IF(COUNTIF($A50:$S50,"&lt;&gt;")=0,"",IF($F50="بالتساوي بين المشاركين",IF(J50&lt;&gt;"نعم",0,IF(COUNTIF($K50:$L50,"نعم")=0,$D50-SUM($T50:V50),ROUND($D50/COUNTIF($G50:$L50,"نعم"),2))),IF($F50="مبالغ متفق عليها",IF(J50="نعم",P50,0),"")))</f>
      </c>
      <c r="X50" s="151" t="str">
        <f>IF(COUNTIF($A50:$S50,"&lt;&gt;")=0,"",IF($F50="بالتساوي بين المشاركين",IF(K50&lt;&gt;"نعم",0,IF(COUNTIF($L50:$L50,"نعم")=0,$D50-SUM($T50:W50),ROUND($D50/COUNTIF($G50:$L50,"نعم"),2))),IF($F50="مبالغ متفق عليها",IF(K50="نعم",Q50,0),"")))</f>
      </c>
      <c r="Y50" s="151" t="str">
        <f>IF(COUNTIF($A50:$S50,"&lt;&gt;")=0,"",IF($F50="بالتساوي بين المشاركين",IF(L50&lt;&gt;"نعم",0,IF(0=0,$D50-SUM($T50:X50),ROUND($D50/COUNTIF($G50:$L50,"نعم"),2))),IF($F50="مبالغ متفق عليها",IF(L50="نعم",R50,0),"")))</f>
      </c>
      <c r="Z50" s="165" t="str">
        <f>IF(COUNTIF($A50:$S50,"&lt;&gt;")=0,"",IF(OR($D50="",$D50&lt;=0),"أدخل مبلغًا أكبر من صفر.",IF($E50="","اختر الشخص الذي دفع المبلغ.",IF(COUNTIF($G50:$L50,"نعم")=0,"حدد شخصًا واحدًا على الأقل للمشاركة في المصروف.",IF($F50="بالتساوي بين المشاركين","جاهز",IF($F50="مبالغ متفق عليها",IF(OR(AND(G50="نعم",M50=""),AND(H50="نعم",N50=""),AND(I50="نعم",O50=""),AND(J50="نعم",P50=""),AND(K50="نعم",Q50=""),AND(L50="نعم",R50="")),"أدخل المبالغ المتفق عليها بحيث يساوي مجموعها مبلغ المصروف.",IF(ABS(SUM($M50:$R50))&lt;0.005,"أدخل المبالغ المتفق عليها بحيث يساوي مجموعها مبلغ المصروف.",IF(SUM($M50:$R50)&lt;$D50-0.005,"يتبقى للتوزيع: "&amp;ROUND($D50-SUM($M50:$R50),2)&amp;".",IF(SUM($M50:$R50)&gt;$D50+0.005,"يزيد مجموع الحصص على المصروف بمقدار "&amp;ROUND(SUM($M50:$R50)-$D50,2)&amp;".","جاهز")))),"أدخل المبالغ المتفق عليها بحيث يساوي مجموعها مبلغ المصروف."))))))</f>
      </c>
    </row>
    <row r="51">
      <c r="A51" s="149"/>
      <c r="B51" s="138"/>
      <c r="C51" s="138"/>
      <c r="D51" s="150"/>
      <c r="E51" s="138"/>
      <c r="F51" s="138"/>
      <c r="G51" s="138"/>
      <c r="H51" s="138"/>
      <c r="I51" s="138"/>
      <c r="J51" s="138"/>
      <c r="K51" s="138"/>
      <c r="L51" s="138"/>
      <c r="M51" s="150"/>
      <c r="N51" s="150"/>
      <c r="O51" s="150"/>
      <c r="P51" s="150"/>
      <c r="Q51" s="150"/>
      <c r="R51" s="150"/>
      <c r="S51" s="138"/>
      <c r="T51" s="151" t="str">
        <f>IF(COUNTIF($A51:$S51,"&lt;&gt;")=0,"",IF($F51="بالتساوي بين المشاركين",IF(G51&lt;&gt;"نعم",0,IF(COUNTIF($H51:$L51,"نعم")=0,$D51-0,ROUND($D51/COUNTIF($G51:$L51,"نعم"),2))),IF($F51="مبالغ متفق عليها",IF(G51="نعم",M51,0),"")))</f>
      </c>
      <c r="U51" s="151" t="str">
        <f>IF(COUNTIF($A51:$S51,"&lt;&gt;")=0,"",IF($F51="بالتساوي بين المشاركين",IF(H51&lt;&gt;"نعم",0,IF(COUNTIF($I51:$L51,"نعم")=0,$D51-SUM($T51:T51),ROUND($D51/COUNTIF($G51:$L51,"نعم"),2))),IF($F51="مبالغ متفق عليها",IF(H51="نعم",N51,0),"")))</f>
      </c>
      <c r="V51" s="151" t="str">
        <f>IF(COUNTIF($A51:$S51,"&lt;&gt;")=0,"",IF($F51="بالتساوي بين المشاركين",IF(I51&lt;&gt;"نعم",0,IF(COUNTIF($J51:$L51,"نعم")=0,$D51-SUM($T51:U51),ROUND($D51/COUNTIF($G51:$L51,"نعم"),2))),IF($F51="مبالغ متفق عليها",IF(I51="نعم",O51,0),"")))</f>
      </c>
      <c r="W51" s="151" t="str">
        <f>IF(COUNTIF($A51:$S51,"&lt;&gt;")=0,"",IF($F51="بالتساوي بين المشاركين",IF(J51&lt;&gt;"نعم",0,IF(COUNTIF($K51:$L51,"نعم")=0,$D51-SUM($T51:V51),ROUND($D51/COUNTIF($G51:$L51,"نعم"),2))),IF($F51="مبالغ متفق عليها",IF(J51="نعم",P51,0),"")))</f>
      </c>
      <c r="X51" s="151" t="str">
        <f>IF(COUNTIF($A51:$S51,"&lt;&gt;")=0,"",IF($F51="بالتساوي بين المشاركين",IF(K51&lt;&gt;"نعم",0,IF(COUNTIF($L51:$L51,"نعم")=0,$D51-SUM($T51:W51),ROUND($D51/COUNTIF($G51:$L51,"نعم"),2))),IF($F51="مبالغ متفق عليها",IF(K51="نعم",Q51,0),"")))</f>
      </c>
      <c r="Y51" s="151" t="str">
        <f>IF(COUNTIF($A51:$S51,"&lt;&gt;")=0,"",IF($F51="بالتساوي بين المشاركين",IF(L51&lt;&gt;"نعم",0,IF(0=0,$D51-SUM($T51:X51),ROUND($D51/COUNTIF($G51:$L51,"نعم"),2))),IF($F51="مبالغ متفق عليها",IF(L51="نعم",R51,0),"")))</f>
      </c>
      <c r="Z51" s="165" t="str">
        <f>IF(COUNTIF($A51:$S51,"&lt;&gt;")=0,"",IF(OR($D51="",$D51&lt;=0),"أدخل مبلغًا أكبر من صفر.",IF($E51="","اختر الشخص الذي دفع المبلغ.",IF(COUNTIF($G51:$L51,"نعم")=0,"حدد شخصًا واحدًا على الأقل للمشاركة في المصروف.",IF($F51="بالتساوي بين المشاركين","جاهز",IF($F51="مبالغ متفق عليها",IF(OR(AND(G51="نعم",M51=""),AND(H51="نعم",N51=""),AND(I51="نعم",O51=""),AND(J51="نعم",P51=""),AND(K51="نعم",Q51=""),AND(L51="نعم",R51="")),"أدخل المبالغ المتفق عليها بحيث يساوي مجموعها مبلغ المصروف.",IF(ABS(SUM($M51:$R51))&lt;0.005,"أدخل المبالغ المتفق عليها بحيث يساوي مجموعها مبلغ المصروف.",IF(SUM($M51:$R51)&lt;$D51-0.005,"يتبقى للتوزيع: "&amp;ROUND($D51-SUM($M51:$R51),2)&amp;".",IF(SUM($M51:$R51)&gt;$D51+0.005,"يزيد مجموع الحصص على المصروف بمقدار "&amp;ROUND(SUM($M51:$R51)-$D51,2)&amp;".","جاهز")))),"أدخل المبالغ المتفق عليها بحيث يساوي مجموعها مبلغ المصروف."))))))</f>
      </c>
    </row>
    <row r="52">
      <c r="A52" s="149"/>
      <c r="B52" s="138"/>
      <c r="C52" s="138"/>
      <c r="D52" s="150"/>
      <c r="E52" s="138"/>
      <c r="F52" s="138"/>
      <c r="G52" s="138"/>
      <c r="H52" s="138"/>
      <c r="I52" s="138"/>
      <c r="J52" s="138"/>
      <c r="K52" s="138"/>
      <c r="L52" s="138"/>
      <c r="M52" s="150"/>
      <c r="N52" s="150"/>
      <c r="O52" s="150"/>
      <c r="P52" s="150"/>
      <c r="Q52" s="150"/>
      <c r="R52" s="150"/>
      <c r="S52" s="138"/>
      <c r="T52" s="151" t="str">
        <f>IF(COUNTIF($A52:$S52,"&lt;&gt;")=0,"",IF($F52="بالتساوي بين المشاركين",IF(G52&lt;&gt;"نعم",0,IF(COUNTIF($H52:$L52,"نعم")=0,$D52-0,ROUND($D52/COUNTIF($G52:$L52,"نعم"),2))),IF($F52="مبالغ متفق عليها",IF(G52="نعم",M52,0),"")))</f>
      </c>
      <c r="U52" s="151" t="str">
        <f>IF(COUNTIF($A52:$S52,"&lt;&gt;")=0,"",IF($F52="بالتساوي بين المشاركين",IF(H52&lt;&gt;"نعم",0,IF(COUNTIF($I52:$L52,"نعم")=0,$D52-SUM($T52:T52),ROUND($D52/COUNTIF($G52:$L52,"نعم"),2))),IF($F52="مبالغ متفق عليها",IF(H52="نعم",N52,0),"")))</f>
      </c>
      <c r="V52" s="151" t="str">
        <f>IF(COUNTIF($A52:$S52,"&lt;&gt;")=0,"",IF($F52="بالتساوي بين المشاركين",IF(I52&lt;&gt;"نعم",0,IF(COUNTIF($J52:$L52,"نعم")=0,$D52-SUM($T52:U52),ROUND($D52/COUNTIF($G52:$L52,"نعم"),2))),IF($F52="مبالغ متفق عليها",IF(I52="نعم",O52,0),"")))</f>
      </c>
      <c r="W52" s="151" t="str">
        <f>IF(COUNTIF($A52:$S52,"&lt;&gt;")=0,"",IF($F52="بالتساوي بين المشاركين",IF(J52&lt;&gt;"نعم",0,IF(COUNTIF($K52:$L52,"نعم")=0,$D52-SUM($T52:V52),ROUND($D52/COUNTIF($G52:$L52,"نعم"),2))),IF($F52="مبالغ متفق عليها",IF(J52="نعم",P52,0),"")))</f>
      </c>
      <c r="X52" s="151" t="str">
        <f>IF(COUNTIF($A52:$S52,"&lt;&gt;")=0,"",IF($F52="بالتساوي بين المشاركين",IF(K52&lt;&gt;"نعم",0,IF(COUNTIF($L52:$L52,"نعم")=0,$D52-SUM($T52:W52),ROUND($D52/COUNTIF($G52:$L52,"نعم"),2))),IF($F52="مبالغ متفق عليها",IF(K52="نعم",Q52,0),"")))</f>
      </c>
      <c r="Y52" s="151" t="str">
        <f>IF(COUNTIF($A52:$S52,"&lt;&gt;")=0,"",IF($F52="بالتساوي بين المشاركين",IF(L52&lt;&gt;"نعم",0,IF(0=0,$D52-SUM($T52:X52),ROUND($D52/COUNTIF($G52:$L52,"نعم"),2))),IF($F52="مبالغ متفق عليها",IF(L52="نعم",R52,0),"")))</f>
      </c>
      <c r="Z52" s="165" t="str">
        <f>IF(COUNTIF($A52:$S52,"&lt;&gt;")=0,"",IF(OR($D52="",$D52&lt;=0),"أدخل مبلغًا أكبر من صفر.",IF($E52="","اختر الشخص الذي دفع المبلغ.",IF(COUNTIF($G52:$L52,"نعم")=0,"حدد شخصًا واحدًا على الأقل للمشاركة في المصروف.",IF($F52="بالتساوي بين المشاركين","جاهز",IF($F52="مبالغ متفق عليها",IF(OR(AND(G52="نعم",M52=""),AND(H52="نعم",N52=""),AND(I52="نعم",O52=""),AND(J52="نعم",P52=""),AND(K52="نعم",Q52=""),AND(L52="نعم",R52="")),"أدخل المبالغ المتفق عليها بحيث يساوي مجموعها مبلغ المصروف.",IF(ABS(SUM($M52:$R52))&lt;0.005,"أدخل المبالغ المتفق عليها بحيث يساوي مجموعها مبلغ المصروف.",IF(SUM($M52:$R52)&lt;$D52-0.005,"يتبقى للتوزيع: "&amp;ROUND($D52-SUM($M52:$R52),2)&amp;".",IF(SUM($M52:$R52)&gt;$D52+0.005,"يزيد مجموع الحصص على المصروف بمقدار "&amp;ROUND(SUM($M52:$R52)-$D52,2)&amp;".","جاهز")))),"أدخل المبالغ المتفق عليها بحيث يساوي مجموعها مبلغ المصروف."))))))</f>
      </c>
    </row>
    <row r="53">
      <c r="A53" s="149"/>
      <c r="B53" s="138"/>
      <c r="C53" s="138"/>
      <c r="D53" s="150"/>
      <c r="E53" s="138"/>
      <c r="F53" s="138"/>
      <c r="G53" s="138"/>
      <c r="H53" s="138"/>
      <c r="I53" s="138"/>
      <c r="J53" s="138"/>
      <c r="K53" s="138"/>
      <c r="L53" s="138"/>
      <c r="M53" s="150"/>
      <c r="N53" s="150"/>
      <c r="O53" s="150"/>
      <c r="P53" s="150"/>
      <c r="Q53" s="150"/>
      <c r="R53" s="150"/>
      <c r="S53" s="138"/>
      <c r="T53" s="151" t="str">
        <f>IF(COUNTIF($A53:$S53,"&lt;&gt;")=0,"",IF($F53="بالتساوي بين المشاركين",IF(G53&lt;&gt;"نعم",0,IF(COUNTIF($H53:$L53,"نعم")=0,$D53-0,ROUND($D53/COUNTIF($G53:$L53,"نعم"),2))),IF($F53="مبالغ متفق عليها",IF(G53="نعم",M53,0),"")))</f>
      </c>
      <c r="U53" s="151" t="str">
        <f>IF(COUNTIF($A53:$S53,"&lt;&gt;")=0,"",IF($F53="بالتساوي بين المشاركين",IF(H53&lt;&gt;"نعم",0,IF(COUNTIF($I53:$L53,"نعم")=0,$D53-SUM($T53:T53),ROUND($D53/COUNTIF($G53:$L53,"نعم"),2))),IF($F53="مبالغ متفق عليها",IF(H53="نعم",N53,0),"")))</f>
      </c>
      <c r="V53" s="151" t="str">
        <f>IF(COUNTIF($A53:$S53,"&lt;&gt;")=0,"",IF($F53="بالتساوي بين المشاركين",IF(I53&lt;&gt;"نعم",0,IF(COUNTIF($J53:$L53,"نعم")=0,$D53-SUM($T53:U53),ROUND($D53/COUNTIF($G53:$L53,"نعم"),2))),IF($F53="مبالغ متفق عليها",IF(I53="نعم",O53,0),"")))</f>
      </c>
      <c r="W53" s="151" t="str">
        <f>IF(COUNTIF($A53:$S53,"&lt;&gt;")=0,"",IF($F53="بالتساوي بين المشاركين",IF(J53&lt;&gt;"نعم",0,IF(COUNTIF($K53:$L53,"نعم")=0,$D53-SUM($T53:V53),ROUND($D53/COUNTIF($G53:$L53,"نعم"),2))),IF($F53="مبالغ متفق عليها",IF(J53="نعم",P53,0),"")))</f>
      </c>
      <c r="X53" s="151" t="str">
        <f>IF(COUNTIF($A53:$S53,"&lt;&gt;")=0,"",IF($F53="بالتساوي بين المشاركين",IF(K53&lt;&gt;"نعم",0,IF(COUNTIF($L53:$L53,"نعم")=0,$D53-SUM($T53:W53),ROUND($D53/COUNTIF($G53:$L53,"نعم"),2))),IF($F53="مبالغ متفق عليها",IF(K53="نعم",Q53,0),"")))</f>
      </c>
      <c r="Y53" s="151" t="str">
        <f>IF(COUNTIF($A53:$S53,"&lt;&gt;")=0,"",IF($F53="بالتساوي بين المشاركين",IF(L53&lt;&gt;"نعم",0,IF(0=0,$D53-SUM($T53:X53),ROUND($D53/COUNTIF($G53:$L53,"نعم"),2))),IF($F53="مبالغ متفق عليها",IF(L53="نعم",R53,0),"")))</f>
      </c>
      <c r="Z53" s="165" t="str">
        <f>IF(COUNTIF($A53:$S53,"&lt;&gt;")=0,"",IF(OR($D53="",$D53&lt;=0),"أدخل مبلغًا أكبر من صفر.",IF($E53="","اختر الشخص الذي دفع المبلغ.",IF(COUNTIF($G53:$L53,"نعم")=0,"حدد شخصًا واحدًا على الأقل للمشاركة في المصروف.",IF($F53="بالتساوي بين المشاركين","جاهز",IF($F53="مبالغ متفق عليها",IF(OR(AND(G53="نعم",M53=""),AND(H53="نعم",N53=""),AND(I53="نعم",O53=""),AND(J53="نعم",P53=""),AND(K53="نعم",Q53=""),AND(L53="نعم",R53="")),"أدخل المبالغ المتفق عليها بحيث يساوي مجموعها مبلغ المصروف.",IF(ABS(SUM($M53:$R53))&lt;0.005,"أدخل المبالغ المتفق عليها بحيث يساوي مجموعها مبلغ المصروف.",IF(SUM($M53:$R53)&lt;$D53-0.005,"يتبقى للتوزيع: "&amp;ROUND($D53-SUM($M53:$R53),2)&amp;".",IF(SUM($M53:$R53)&gt;$D53+0.005,"يزيد مجموع الحصص على المصروف بمقدار "&amp;ROUND(SUM($M53:$R53)-$D53,2)&amp;".","جاهز")))),"أدخل المبالغ المتفق عليها بحيث يساوي مجموعها مبلغ المصروف."))))))</f>
      </c>
    </row>
    <row r="54">
      <c r="A54" s="149"/>
      <c r="B54" s="138"/>
      <c r="C54" s="138"/>
      <c r="D54" s="150"/>
      <c r="E54" s="138"/>
      <c r="F54" s="138"/>
      <c r="G54" s="138"/>
      <c r="H54" s="138"/>
      <c r="I54" s="138"/>
      <c r="J54" s="138"/>
      <c r="K54" s="138"/>
      <c r="L54" s="138"/>
      <c r="M54" s="150"/>
      <c r="N54" s="150"/>
      <c r="O54" s="150"/>
      <c r="P54" s="150"/>
      <c r="Q54" s="150"/>
      <c r="R54" s="150"/>
      <c r="S54" s="138"/>
      <c r="T54" s="151" t="str">
        <f>IF(COUNTIF($A54:$S54,"&lt;&gt;")=0,"",IF($F54="بالتساوي بين المشاركين",IF(G54&lt;&gt;"نعم",0,IF(COUNTIF($H54:$L54,"نعم")=0,$D54-0,ROUND($D54/COUNTIF($G54:$L54,"نعم"),2))),IF($F54="مبالغ متفق عليها",IF(G54="نعم",M54,0),"")))</f>
      </c>
      <c r="U54" s="151" t="str">
        <f>IF(COUNTIF($A54:$S54,"&lt;&gt;")=0,"",IF($F54="بالتساوي بين المشاركين",IF(H54&lt;&gt;"نعم",0,IF(COUNTIF($I54:$L54,"نعم")=0,$D54-SUM($T54:T54),ROUND($D54/COUNTIF($G54:$L54,"نعم"),2))),IF($F54="مبالغ متفق عليها",IF(H54="نعم",N54,0),"")))</f>
      </c>
      <c r="V54" s="151" t="str">
        <f>IF(COUNTIF($A54:$S54,"&lt;&gt;")=0,"",IF($F54="بالتساوي بين المشاركين",IF(I54&lt;&gt;"نعم",0,IF(COUNTIF($J54:$L54,"نعم")=0,$D54-SUM($T54:U54),ROUND($D54/COUNTIF($G54:$L54,"نعم"),2))),IF($F54="مبالغ متفق عليها",IF(I54="نعم",O54,0),"")))</f>
      </c>
      <c r="W54" s="151" t="str">
        <f>IF(COUNTIF($A54:$S54,"&lt;&gt;")=0,"",IF($F54="بالتساوي بين المشاركين",IF(J54&lt;&gt;"نعم",0,IF(COUNTIF($K54:$L54,"نعم")=0,$D54-SUM($T54:V54),ROUND($D54/COUNTIF($G54:$L54,"نعم"),2))),IF($F54="مبالغ متفق عليها",IF(J54="نعم",P54,0),"")))</f>
      </c>
      <c r="X54" s="151" t="str">
        <f>IF(COUNTIF($A54:$S54,"&lt;&gt;")=0,"",IF($F54="بالتساوي بين المشاركين",IF(K54&lt;&gt;"نعم",0,IF(COUNTIF($L54:$L54,"نعم")=0,$D54-SUM($T54:W54),ROUND($D54/COUNTIF($G54:$L54,"نعم"),2))),IF($F54="مبالغ متفق عليها",IF(K54="نعم",Q54,0),"")))</f>
      </c>
      <c r="Y54" s="151" t="str">
        <f>IF(COUNTIF($A54:$S54,"&lt;&gt;")=0,"",IF($F54="بالتساوي بين المشاركين",IF(L54&lt;&gt;"نعم",0,IF(0=0,$D54-SUM($T54:X54),ROUND($D54/COUNTIF($G54:$L54,"نعم"),2))),IF($F54="مبالغ متفق عليها",IF(L54="نعم",R54,0),"")))</f>
      </c>
      <c r="Z54" s="165" t="str">
        <f>IF(COUNTIF($A54:$S54,"&lt;&gt;")=0,"",IF(OR($D54="",$D54&lt;=0),"أدخل مبلغًا أكبر من صفر.",IF($E54="","اختر الشخص الذي دفع المبلغ.",IF(COUNTIF($G54:$L54,"نعم")=0,"حدد شخصًا واحدًا على الأقل للمشاركة في المصروف.",IF($F54="بالتساوي بين المشاركين","جاهز",IF($F54="مبالغ متفق عليها",IF(OR(AND(G54="نعم",M54=""),AND(H54="نعم",N54=""),AND(I54="نعم",O54=""),AND(J54="نعم",P54=""),AND(K54="نعم",Q54=""),AND(L54="نعم",R54="")),"أدخل المبالغ المتفق عليها بحيث يساوي مجموعها مبلغ المصروف.",IF(ABS(SUM($M54:$R54))&lt;0.005,"أدخل المبالغ المتفق عليها بحيث يساوي مجموعها مبلغ المصروف.",IF(SUM($M54:$R54)&lt;$D54-0.005,"يتبقى للتوزيع: "&amp;ROUND($D54-SUM($M54:$R54),2)&amp;".",IF(SUM($M54:$R54)&gt;$D54+0.005,"يزيد مجموع الحصص على المصروف بمقدار "&amp;ROUND(SUM($M54:$R54)-$D54,2)&amp;".","جاهز")))),"أدخل المبالغ المتفق عليها بحيث يساوي مجموعها مبلغ المصروف."))))))</f>
      </c>
    </row>
    <row r="55">
      <c r="A55" s="149"/>
      <c r="B55" s="138"/>
      <c r="C55" s="138"/>
      <c r="D55" s="150"/>
      <c r="E55" s="138"/>
      <c r="F55" s="138"/>
      <c r="G55" s="138"/>
      <c r="H55" s="138"/>
      <c r="I55" s="138"/>
      <c r="J55" s="138"/>
      <c r="K55" s="138"/>
      <c r="L55" s="138"/>
      <c r="M55" s="150"/>
      <c r="N55" s="150"/>
      <c r="O55" s="150"/>
      <c r="P55" s="150"/>
      <c r="Q55" s="150"/>
      <c r="R55" s="150"/>
      <c r="S55" s="138"/>
      <c r="T55" s="151" t="str">
        <f>IF(COUNTIF($A55:$S55,"&lt;&gt;")=0,"",IF($F55="بالتساوي بين المشاركين",IF(G55&lt;&gt;"نعم",0,IF(COUNTIF($H55:$L55,"نعم")=0,$D55-0,ROUND($D55/COUNTIF($G55:$L55,"نعم"),2))),IF($F55="مبالغ متفق عليها",IF(G55="نعم",M55,0),"")))</f>
      </c>
      <c r="U55" s="151" t="str">
        <f>IF(COUNTIF($A55:$S55,"&lt;&gt;")=0,"",IF($F55="بالتساوي بين المشاركين",IF(H55&lt;&gt;"نعم",0,IF(COUNTIF($I55:$L55,"نعم")=0,$D55-SUM($T55:T55),ROUND($D55/COUNTIF($G55:$L55,"نعم"),2))),IF($F55="مبالغ متفق عليها",IF(H55="نعم",N55,0),"")))</f>
      </c>
      <c r="V55" s="151" t="str">
        <f>IF(COUNTIF($A55:$S55,"&lt;&gt;")=0,"",IF($F55="بالتساوي بين المشاركين",IF(I55&lt;&gt;"نعم",0,IF(COUNTIF($J55:$L55,"نعم")=0,$D55-SUM($T55:U55),ROUND($D55/COUNTIF($G55:$L55,"نعم"),2))),IF($F55="مبالغ متفق عليها",IF(I55="نعم",O55,0),"")))</f>
      </c>
      <c r="W55" s="151" t="str">
        <f>IF(COUNTIF($A55:$S55,"&lt;&gt;")=0,"",IF($F55="بالتساوي بين المشاركين",IF(J55&lt;&gt;"نعم",0,IF(COUNTIF($K55:$L55,"نعم")=0,$D55-SUM($T55:V55),ROUND($D55/COUNTIF($G55:$L55,"نعم"),2))),IF($F55="مبالغ متفق عليها",IF(J55="نعم",P55,0),"")))</f>
      </c>
      <c r="X55" s="151" t="str">
        <f>IF(COUNTIF($A55:$S55,"&lt;&gt;")=0,"",IF($F55="بالتساوي بين المشاركين",IF(K55&lt;&gt;"نعم",0,IF(COUNTIF($L55:$L55,"نعم")=0,$D55-SUM($T55:W55),ROUND($D55/COUNTIF($G55:$L55,"نعم"),2))),IF($F55="مبالغ متفق عليها",IF(K55="نعم",Q55,0),"")))</f>
      </c>
      <c r="Y55" s="151" t="str">
        <f>IF(COUNTIF($A55:$S55,"&lt;&gt;")=0,"",IF($F55="بالتساوي بين المشاركين",IF(L55&lt;&gt;"نعم",0,IF(0=0,$D55-SUM($T55:X55),ROUND($D55/COUNTIF($G55:$L55,"نعم"),2))),IF($F55="مبالغ متفق عليها",IF(L55="نعم",R55,0),"")))</f>
      </c>
      <c r="Z55" s="165" t="str">
        <f>IF(COUNTIF($A55:$S55,"&lt;&gt;")=0,"",IF(OR($D55="",$D55&lt;=0),"أدخل مبلغًا أكبر من صفر.",IF($E55="","اختر الشخص الذي دفع المبلغ.",IF(COUNTIF($G55:$L55,"نعم")=0,"حدد شخصًا واحدًا على الأقل للمشاركة في المصروف.",IF($F55="بالتساوي بين المشاركين","جاهز",IF($F55="مبالغ متفق عليها",IF(OR(AND(G55="نعم",M55=""),AND(H55="نعم",N55=""),AND(I55="نعم",O55=""),AND(J55="نعم",P55=""),AND(K55="نعم",Q55=""),AND(L55="نعم",R55="")),"أدخل المبالغ المتفق عليها بحيث يساوي مجموعها مبلغ المصروف.",IF(ABS(SUM($M55:$R55))&lt;0.005,"أدخل المبالغ المتفق عليها بحيث يساوي مجموعها مبلغ المصروف.",IF(SUM($M55:$R55)&lt;$D55-0.005,"يتبقى للتوزيع: "&amp;ROUND($D55-SUM($M55:$R55),2)&amp;".",IF(SUM($M55:$R55)&gt;$D55+0.005,"يزيد مجموع الحصص على المصروف بمقدار "&amp;ROUND(SUM($M55:$R55)-$D55,2)&amp;".","جاهز")))),"أدخل المبالغ المتفق عليها بحيث يساوي مجموعها مبلغ المصروف."))))))</f>
      </c>
    </row>
    <row r="56">
      <c r="A56" s="149"/>
      <c r="B56" s="138"/>
      <c r="C56" s="138"/>
      <c r="D56" s="150"/>
      <c r="E56" s="138"/>
      <c r="F56" s="138"/>
      <c r="G56" s="138"/>
      <c r="H56" s="138"/>
      <c r="I56" s="138"/>
      <c r="J56" s="138"/>
      <c r="K56" s="138"/>
      <c r="L56" s="138"/>
      <c r="M56" s="150"/>
      <c r="N56" s="150"/>
      <c r="O56" s="150"/>
      <c r="P56" s="150"/>
      <c r="Q56" s="150"/>
      <c r="R56" s="150"/>
      <c r="S56" s="138"/>
      <c r="T56" s="151" t="str">
        <f>IF(COUNTIF($A56:$S56,"&lt;&gt;")=0,"",IF($F56="بالتساوي بين المشاركين",IF(G56&lt;&gt;"نعم",0,IF(COUNTIF($H56:$L56,"نعم")=0,$D56-0,ROUND($D56/COUNTIF($G56:$L56,"نعم"),2))),IF($F56="مبالغ متفق عليها",IF(G56="نعم",M56,0),"")))</f>
      </c>
      <c r="U56" s="151" t="str">
        <f>IF(COUNTIF($A56:$S56,"&lt;&gt;")=0,"",IF($F56="بالتساوي بين المشاركين",IF(H56&lt;&gt;"نعم",0,IF(COUNTIF($I56:$L56,"نعم")=0,$D56-SUM($T56:T56),ROUND($D56/COUNTIF($G56:$L56,"نعم"),2))),IF($F56="مبالغ متفق عليها",IF(H56="نعم",N56,0),"")))</f>
      </c>
      <c r="V56" s="151" t="str">
        <f>IF(COUNTIF($A56:$S56,"&lt;&gt;")=0,"",IF($F56="بالتساوي بين المشاركين",IF(I56&lt;&gt;"نعم",0,IF(COUNTIF($J56:$L56,"نعم")=0,$D56-SUM($T56:U56),ROUND($D56/COUNTIF($G56:$L56,"نعم"),2))),IF($F56="مبالغ متفق عليها",IF(I56="نعم",O56,0),"")))</f>
      </c>
      <c r="W56" s="151" t="str">
        <f>IF(COUNTIF($A56:$S56,"&lt;&gt;")=0,"",IF($F56="بالتساوي بين المشاركين",IF(J56&lt;&gt;"نعم",0,IF(COUNTIF($K56:$L56,"نعم")=0,$D56-SUM($T56:V56),ROUND($D56/COUNTIF($G56:$L56,"نعم"),2))),IF($F56="مبالغ متفق عليها",IF(J56="نعم",P56,0),"")))</f>
      </c>
      <c r="X56" s="151" t="str">
        <f>IF(COUNTIF($A56:$S56,"&lt;&gt;")=0,"",IF($F56="بالتساوي بين المشاركين",IF(K56&lt;&gt;"نعم",0,IF(COUNTIF($L56:$L56,"نعم")=0,$D56-SUM($T56:W56),ROUND($D56/COUNTIF($G56:$L56,"نعم"),2))),IF($F56="مبالغ متفق عليها",IF(K56="نعم",Q56,0),"")))</f>
      </c>
      <c r="Y56" s="151" t="str">
        <f>IF(COUNTIF($A56:$S56,"&lt;&gt;")=0,"",IF($F56="بالتساوي بين المشاركين",IF(L56&lt;&gt;"نعم",0,IF(0=0,$D56-SUM($T56:X56),ROUND($D56/COUNTIF($G56:$L56,"نعم"),2))),IF($F56="مبالغ متفق عليها",IF(L56="نعم",R56,0),"")))</f>
      </c>
      <c r="Z56" s="165" t="str">
        <f>IF(COUNTIF($A56:$S56,"&lt;&gt;")=0,"",IF(OR($D56="",$D56&lt;=0),"أدخل مبلغًا أكبر من صفر.",IF($E56="","اختر الشخص الذي دفع المبلغ.",IF(COUNTIF($G56:$L56,"نعم")=0,"حدد شخصًا واحدًا على الأقل للمشاركة في المصروف.",IF($F56="بالتساوي بين المشاركين","جاهز",IF($F56="مبالغ متفق عليها",IF(OR(AND(G56="نعم",M56=""),AND(H56="نعم",N56=""),AND(I56="نعم",O56=""),AND(J56="نعم",P56=""),AND(K56="نعم",Q56=""),AND(L56="نعم",R56="")),"أدخل المبالغ المتفق عليها بحيث يساوي مجموعها مبلغ المصروف.",IF(ABS(SUM($M56:$R56))&lt;0.005,"أدخل المبالغ المتفق عليها بحيث يساوي مجموعها مبلغ المصروف.",IF(SUM($M56:$R56)&lt;$D56-0.005,"يتبقى للتوزيع: "&amp;ROUND($D56-SUM($M56:$R56),2)&amp;".",IF(SUM($M56:$R56)&gt;$D56+0.005,"يزيد مجموع الحصص على المصروف بمقدار "&amp;ROUND(SUM($M56:$R56)-$D56,2)&amp;".","جاهز")))),"أدخل المبالغ المتفق عليها بحيث يساوي مجموعها مبلغ المصروف."))))))</f>
      </c>
    </row>
    <row r="57">
      <c r="A57" s="149"/>
      <c r="B57" s="138"/>
      <c r="C57" s="138"/>
      <c r="D57" s="150"/>
      <c r="E57" s="138"/>
      <c r="F57" s="138"/>
      <c r="G57" s="138"/>
      <c r="H57" s="138"/>
      <c r="I57" s="138"/>
      <c r="J57" s="138"/>
      <c r="K57" s="138"/>
      <c r="L57" s="138"/>
      <c r="M57" s="150"/>
      <c r="N57" s="150"/>
      <c r="O57" s="150"/>
      <c r="P57" s="150"/>
      <c r="Q57" s="150"/>
      <c r="R57" s="150"/>
      <c r="S57" s="138"/>
      <c r="T57" s="151" t="str">
        <f>IF(COUNTIF($A57:$S57,"&lt;&gt;")=0,"",IF($F57="بالتساوي بين المشاركين",IF(G57&lt;&gt;"نعم",0,IF(COUNTIF($H57:$L57,"نعم")=0,$D57-0,ROUND($D57/COUNTIF($G57:$L57,"نعم"),2))),IF($F57="مبالغ متفق عليها",IF(G57="نعم",M57,0),"")))</f>
      </c>
      <c r="U57" s="151" t="str">
        <f>IF(COUNTIF($A57:$S57,"&lt;&gt;")=0,"",IF($F57="بالتساوي بين المشاركين",IF(H57&lt;&gt;"نعم",0,IF(COUNTIF($I57:$L57,"نعم")=0,$D57-SUM($T57:T57),ROUND($D57/COUNTIF($G57:$L57,"نعم"),2))),IF($F57="مبالغ متفق عليها",IF(H57="نعم",N57,0),"")))</f>
      </c>
      <c r="V57" s="151" t="str">
        <f>IF(COUNTIF($A57:$S57,"&lt;&gt;")=0,"",IF($F57="بالتساوي بين المشاركين",IF(I57&lt;&gt;"نعم",0,IF(COUNTIF($J57:$L57,"نعم")=0,$D57-SUM($T57:U57),ROUND($D57/COUNTIF($G57:$L57,"نعم"),2))),IF($F57="مبالغ متفق عليها",IF(I57="نعم",O57,0),"")))</f>
      </c>
      <c r="W57" s="151" t="str">
        <f>IF(COUNTIF($A57:$S57,"&lt;&gt;")=0,"",IF($F57="بالتساوي بين المشاركين",IF(J57&lt;&gt;"نعم",0,IF(COUNTIF($K57:$L57,"نعم")=0,$D57-SUM($T57:V57),ROUND($D57/COUNTIF($G57:$L57,"نعم"),2))),IF($F57="مبالغ متفق عليها",IF(J57="نعم",P57,0),"")))</f>
      </c>
      <c r="X57" s="151" t="str">
        <f>IF(COUNTIF($A57:$S57,"&lt;&gt;")=0,"",IF($F57="بالتساوي بين المشاركين",IF(K57&lt;&gt;"نعم",0,IF(COUNTIF($L57:$L57,"نعم")=0,$D57-SUM($T57:W57),ROUND($D57/COUNTIF($G57:$L57,"نعم"),2))),IF($F57="مبالغ متفق عليها",IF(K57="نعم",Q57,0),"")))</f>
      </c>
      <c r="Y57" s="151" t="str">
        <f>IF(COUNTIF($A57:$S57,"&lt;&gt;")=0,"",IF($F57="بالتساوي بين المشاركين",IF(L57&lt;&gt;"نعم",0,IF(0=0,$D57-SUM($T57:X57),ROUND($D57/COUNTIF($G57:$L57,"نعم"),2))),IF($F57="مبالغ متفق عليها",IF(L57="نعم",R57,0),"")))</f>
      </c>
      <c r="Z57" s="165" t="str">
        <f>IF(COUNTIF($A57:$S57,"&lt;&gt;")=0,"",IF(OR($D57="",$D57&lt;=0),"أدخل مبلغًا أكبر من صفر.",IF($E57="","اختر الشخص الذي دفع المبلغ.",IF(COUNTIF($G57:$L57,"نعم")=0,"حدد شخصًا واحدًا على الأقل للمشاركة في المصروف.",IF($F57="بالتساوي بين المشاركين","جاهز",IF($F57="مبالغ متفق عليها",IF(OR(AND(G57="نعم",M57=""),AND(H57="نعم",N57=""),AND(I57="نعم",O57=""),AND(J57="نعم",P57=""),AND(K57="نعم",Q57=""),AND(L57="نعم",R57="")),"أدخل المبالغ المتفق عليها بحيث يساوي مجموعها مبلغ المصروف.",IF(ABS(SUM($M57:$R57))&lt;0.005,"أدخل المبالغ المتفق عليها بحيث يساوي مجموعها مبلغ المصروف.",IF(SUM($M57:$R57)&lt;$D57-0.005,"يتبقى للتوزيع: "&amp;ROUND($D57-SUM($M57:$R57),2)&amp;".",IF(SUM($M57:$R57)&gt;$D57+0.005,"يزيد مجموع الحصص على المصروف بمقدار "&amp;ROUND(SUM($M57:$R57)-$D57,2)&amp;".","جاهز")))),"أدخل المبالغ المتفق عليها بحيث يساوي مجموعها مبلغ المصروف."))))))</f>
      </c>
    </row>
    <row r="58">
      <c r="A58" s="149"/>
      <c r="B58" s="138"/>
      <c r="C58" s="138"/>
      <c r="D58" s="150"/>
      <c r="E58" s="138"/>
      <c r="F58" s="138"/>
      <c r="G58" s="138"/>
      <c r="H58" s="138"/>
      <c r="I58" s="138"/>
      <c r="J58" s="138"/>
      <c r="K58" s="138"/>
      <c r="L58" s="138"/>
      <c r="M58" s="150"/>
      <c r="N58" s="150"/>
      <c r="O58" s="150"/>
      <c r="P58" s="150"/>
      <c r="Q58" s="150"/>
      <c r="R58" s="150"/>
      <c r="S58" s="138"/>
      <c r="T58" s="151" t="str">
        <f>IF(COUNTIF($A58:$S58,"&lt;&gt;")=0,"",IF($F58="بالتساوي بين المشاركين",IF(G58&lt;&gt;"نعم",0,IF(COUNTIF($H58:$L58,"نعم")=0,$D58-0,ROUND($D58/COUNTIF($G58:$L58,"نعم"),2))),IF($F58="مبالغ متفق عليها",IF(G58="نعم",M58,0),"")))</f>
      </c>
      <c r="U58" s="151" t="str">
        <f>IF(COUNTIF($A58:$S58,"&lt;&gt;")=0,"",IF($F58="بالتساوي بين المشاركين",IF(H58&lt;&gt;"نعم",0,IF(COUNTIF($I58:$L58,"نعم")=0,$D58-SUM($T58:T58),ROUND($D58/COUNTIF($G58:$L58,"نعم"),2))),IF($F58="مبالغ متفق عليها",IF(H58="نعم",N58,0),"")))</f>
      </c>
      <c r="V58" s="151" t="str">
        <f>IF(COUNTIF($A58:$S58,"&lt;&gt;")=0,"",IF($F58="بالتساوي بين المشاركين",IF(I58&lt;&gt;"نعم",0,IF(COUNTIF($J58:$L58,"نعم")=0,$D58-SUM($T58:U58),ROUND($D58/COUNTIF($G58:$L58,"نعم"),2))),IF($F58="مبالغ متفق عليها",IF(I58="نعم",O58,0),"")))</f>
      </c>
      <c r="W58" s="151" t="str">
        <f>IF(COUNTIF($A58:$S58,"&lt;&gt;")=0,"",IF($F58="بالتساوي بين المشاركين",IF(J58&lt;&gt;"نعم",0,IF(COUNTIF($K58:$L58,"نعم")=0,$D58-SUM($T58:V58),ROUND($D58/COUNTIF($G58:$L58,"نعم"),2))),IF($F58="مبالغ متفق عليها",IF(J58="نعم",P58,0),"")))</f>
      </c>
      <c r="X58" s="151" t="str">
        <f>IF(COUNTIF($A58:$S58,"&lt;&gt;")=0,"",IF($F58="بالتساوي بين المشاركين",IF(K58&lt;&gt;"نعم",0,IF(COUNTIF($L58:$L58,"نعم")=0,$D58-SUM($T58:W58),ROUND($D58/COUNTIF($G58:$L58,"نعم"),2))),IF($F58="مبالغ متفق عليها",IF(K58="نعم",Q58,0),"")))</f>
      </c>
      <c r="Y58" s="151" t="str">
        <f>IF(COUNTIF($A58:$S58,"&lt;&gt;")=0,"",IF($F58="بالتساوي بين المشاركين",IF(L58&lt;&gt;"نعم",0,IF(0=0,$D58-SUM($T58:X58),ROUND($D58/COUNTIF($G58:$L58,"نعم"),2))),IF($F58="مبالغ متفق عليها",IF(L58="نعم",R58,0),"")))</f>
      </c>
      <c r="Z58" s="165" t="str">
        <f>IF(COUNTIF($A58:$S58,"&lt;&gt;")=0,"",IF(OR($D58="",$D58&lt;=0),"أدخل مبلغًا أكبر من صفر.",IF($E58="","اختر الشخص الذي دفع المبلغ.",IF(COUNTIF($G58:$L58,"نعم")=0,"حدد شخصًا واحدًا على الأقل للمشاركة في المصروف.",IF($F58="بالتساوي بين المشاركين","جاهز",IF($F58="مبالغ متفق عليها",IF(OR(AND(G58="نعم",M58=""),AND(H58="نعم",N58=""),AND(I58="نعم",O58=""),AND(J58="نعم",P58=""),AND(K58="نعم",Q58=""),AND(L58="نعم",R58="")),"أدخل المبالغ المتفق عليها بحيث يساوي مجموعها مبلغ المصروف.",IF(ABS(SUM($M58:$R58))&lt;0.005,"أدخل المبالغ المتفق عليها بحيث يساوي مجموعها مبلغ المصروف.",IF(SUM($M58:$R58)&lt;$D58-0.005,"يتبقى للتوزيع: "&amp;ROUND($D58-SUM($M58:$R58),2)&amp;".",IF(SUM($M58:$R58)&gt;$D58+0.005,"يزيد مجموع الحصص على المصروف بمقدار "&amp;ROUND(SUM($M58:$R58)-$D58,2)&amp;".","جاهز")))),"أدخل المبالغ المتفق عليها بحيث يساوي مجموعها مبلغ المصروف."))))))</f>
      </c>
    </row>
    <row r="59">
      <c r="A59" s="149"/>
      <c r="B59" s="138"/>
      <c r="C59" s="138"/>
      <c r="D59" s="150"/>
      <c r="E59" s="138"/>
      <c r="F59" s="138"/>
      <c r="G59" s="138"/>
      <c r="H59" s="138"/>
      <c r="I59" s="138"/>
      <c r="J59" s="138"/>
      <c r="K59" s="138"/>
      <c r="L59" s="138"/>
      <c r="M59" s="150"/>
      <c r="N59" s="150"/>
      <c r="O59" s="150"/>
      <c r="P59" s="150"/>
      <c r="Q59" s="150"/>
      <c r="R59" s="150"/>
      <c r="S59" s="138"/>
      <c r="T59" s="151" t="str">
        <f>IF(COUNTIF($A59:$S59,"&lt;&gt;")=0,"",IF($F59="بالتساوي بين المشاركين",IF(G59&lt;&gt;"نعم",0,IF(COUNTIF($H59:$L59,"نعم")=0,$D59-0,ROUND($D59/COUNTIF($G59:$L59,"نعم"),2))),IF($F59="مبالغ متفق عليها",IF(G59="نعم",M59,0),"")))</f>
      </c>
      <c r="U59" s="151" t="str">
        <f>IF(COUNTIF($A59:$S59,"&lt;&gt;")=0,"",IF($F59="بالتساوي بين المشاركين",IF(H59&lt;&gt;"نعم",0,IF(COUNTIF($I59:$L59,"نعم")=0,$D59-SUM($T59:T59),ROUND($D59/COUNTIF($G59:$L59,"نعم"),2))),IF($F59="مبالغ متفق عليها",IF(H59="نعم",N59,0),"")))</f>
      </c>
      <c r="V59" s="151" t="str">
        <f>IF(COUNTIF($A59:$S59,"&lt;&gt;")=0,"",IF($F59="بالتساوي بين المشاركين",IF(I59&lt;&gt;"نعم",0,IF(COUNTIF($J59:$L59,"نعم")=0,$D59-SUM($T59:U59),ROUND($D59/COUNTIF($G59:$L59,"نعم"),2))),IF($F59="مبالغ متفق عليها",IF(I59="نعم",O59,0),"")))</f>
      </c>
      <c r="W59" s="151" t="str">
        <f>IF(COUNTIF($A59:$S59,"&lt;&gt;")=0,"",IF($F59="بالتساوي بين المشاركين",IF(J59&lt;&gt;"نعم",0,IF(COUNTIF($K59:$L59,"نعم")=0,$D59-SUM($T59:V59),ROUND($D59/COUNTIF($G59:$L59,"نعم"),2))),IF($F59="مبالغ متفق عليها",IF(J59="نعم",P59,0),"")))</f>
      </c>
      <c r="X59" s="151" t="str">
        <f>IF(COUNTIF($A59:$S59,"&lt;&gt;")=0,"",IF($F59="بالتساوي بين المشاركين",IF(K59&lt;&gt;"نعم",0,IF(COUNTIF($L59:$L59,"نعم")=0,$D59-SUM($T59:W59),ROUND($D59/COUNTIF($G59:$L59,"نعم"),2))),IF($F59="مبالغ متفق عليها",IF(K59="نعم",Q59,0),"")))</f>
      </c>
      <c r="Y59" s="151" t="str">
        <f>IF(COUNTIF($A59:$S59,"&lt;&gt;")=0,"",IF($F59="بالتساوي بين المشاركين",IF(L59&lt;&gt;"نعم",0,IF(0=0,$D59-SUM($T59:X59),ROUND($D59/COUNTIF($G59:$L59,"نعم"),2))),IF($F59="مبالغ متفق عليها",IF(L59="نعم",R59,0),"")))</f>
      </c>
      <c r="Z59" s="165" t="str">
        <f>IF(COUNTIF($A59:$S59,"&lt;&gt;")=0,"",IF(OR($D59="",$D59&lt;=0),"أدخل مبلغًا أكبر من صفر.",IF($E59="","اختر الشخص الذي دفع المبلغ.",IF(COUNTIF($G59:$L59,"نعم")=0,"حدد شخصًا واحدًا على الأقل للمشاركة في المصروف.",IF($F59="بالتساوي بين المشاركين","جاهز",IF($F59="مبالغ متفق عليها",IF(OR(AND(G59="نعم",M59=""),AND(H59="نعم",N59=""),AND(I59="نعم",O59=""),AND(J59="نعم",P59=""),AND(K59="نعم",Q59=""),AND(L59="نعم",R59="")),"أدخل المبالغ المتفق عليها بحيث يساوي مجموعها مبلغ المصروف.",IF(ABS(SUM($M59:$R59))&lt;0.005,"أدخل المبالغ المتفق عليها بحيث يساوي مجموعها مبلغ المصروف.",IF(SUM($M59:$R59)&lt;$D59-0.005,"يتبقى للتوزيع: "&amp;ROUND($D59-SUM($M59:$R59),2)&amp;".",IF(SUM($M59:$R59)&gt;$D59+0.005,"يزيد مجموع الحصص على المصروف بمقدار "&amp;ROUND(SUM($M59:$R59)-$D59,2)&amp;".","جاهز")))),"أدخل المبالغ المتفق عليها بحيث يساوي مجموعها مبلغ المصروف."))))))</f>
      </c>
    </row>
    <row r="60">
      <c r="A60" s="149"/>
      <c r="B60" s="138"/>
      <c r="C60" s="138"/>
      <c r="D60" s="150"/>
      <c r="E60" s="138"/>
      <c r="F60" s="138"/>
      <c r="G60" s="138"/>
      <c r="H60" s="138"/>
      <c r="I60" s="138"/>
      <c r="J60" s="138"/>
      <c r="K60" s="138"/>
      <c r="L60" s="138"/>
      <c r="M60" s="150"/>
      <c r="N60" s="150"/>
      <c r="O60" s="150"/>
      <c r="P60" s="150"/>
      <c r="Q60" s="150"/>
      <c r="R60" s="150"/>
      <c r="S60" s="138"/>
      <c r="T60" s="151" t="str">
        <f>IF(COUNTIF($A60:$S60,"&lt;&gt;")=0,"",IF($F60="بالتساوي بين المشاركين",IF(G60&lt;&gt;"نعم",0,IF(COUNTIF($H60:$L60,"نعم")=0,$D60-0,ROUND($D60/COUNTIF($G60:$L60,"نعم"),2))),IF($F60="مبالغ متفق عليها",IF(G60="نعم",M60,0),"")))</f>
      </c>
      <c r="U60" s="151" t="str">
        <f>IF(COUNTIF($A60:$S60,"&lt;&gt;")=0,"",IF($F60="بالتساوي بين المشاركين",IF(H60&lt;&gt;"نعم",0,IF(COUNTIF($I60:$L60,"نعم")=0,$D60-SUM($T60:T60),ROUND($D60/COUNTIF($G60:$L60,"نعم"),2))),IF($F60="مبالغ متفق عليها",IF(H60="نعم",N60,0),"")))</f>
      </c>
      <c r="V60" s="151" t="str">
        <f>IF(COUNTIF($A60:$S60,"&lt;&gt;")=0,"",IF($F60="بالتساوي بين المشاركين",IF(I60&lt;&gt;"نعم",0,IF(COUNTIF($J60:$L60,"نعم")=0,$D60-SUM($T60:U60),ROUND($D60/COUNTIF($G60:$L60,"نعم"),2))),IF($F60="مبالغ متفق عليها",IF(I60="نعم",O60,0),"")))</f>
      </c>
      <c r="W60" s="151" t="str">
        <f>IF(COUNTIF($A60:$S60,"&lt;&gt;")=0,"",IF($F60="بالتساوي بين المشاركين",IF(J60&lt;&gt;"نعم",0,IF(COUNTIF($K60:$L60,"نعم")=0,$D60-SUM($T60:V60),ROUND($D60/COUNTIF($G60:$L60,"نعم"),2))),IF($F60="مبالغ متفق عليها",IF(J60="نعم",P60,0),"")))</f>
      </c>
      <c r="X60" s="151" t="str">
        <f>IF(COUNTIF($A60:$S60,"&lt;&gt;")=0,"",IF($F60="بالتساوي بين المشاركين",IF(K60&lt;&gt;"نعم",0,IF(COUNTIF($L60:$L60,"نعم")=0,$D60-SUM($T60:W60),ROUND($D60/COUNTIF($G60:$L60,"نعم"),2))),IF($F60="مبالغ متفق عليها",IF(K60="نعم",Q60,0),"")))</f>
      </c>
      <c r="Y60" s="151" t="str">
        <f>IF(COUNTIF($A60:$S60,"&lt;&gt;")=0,"",IF($F60="بالتساوي بين المشاركين",IF(L60&lt;&gt;"نعم",0,IF(0=0,$D60-SUM($T60:X60),ROUND($D60/COUNTIF($G60:$L60,"نعم"),2))),IF($F60="مبالغ متفق عليها",IF(L60="نعم",R60,0),"")))</f>
      </c>
      <c r="Z60" s="165" t="str">
        <f>IF(COUNTIF($A60:$S60,"&lt;&gt;")=0,"",IF(OR($D60="",$D60&lt;=0),"أدخل مبلغًا أكبر من صفر.",IF($E60="","اختر الشخص الذي دفع المبلغ.",IF(COUNTIF($G60:$L60,"نعم")=0,"حدد شخصًا واحدًا على الأقل للمشاركة في المصروف.",IF($F60="بالتساوي بين المشاركين","جاهز",IF($F60="مبالغ متفق عليها",IF(OR(AND(G60="نعم",M60=""),AND(H60="نعم",N60=""),AND(I60="نعم",O60=""),AND(J60="نعم",P60=""),AND(K60="نعم",Q60=""),AND(L60="نعم",R60="")),"أدخل المبالغ المتفق عليها بحيث يساوي مجموعها مبلغ المصروف.",IF(ABS(SUM($M60:$R60))&lt;0.005,"أدخل المبالغ المتفق عليها بحيث يساوي مجموعها مبلغ المصروف.",IF(SUM($M60:$R60)&lt;$D60-0.005,"يتبقى للتوزيع: "&amp;ROUND($D60-SUM($M60:$R60),2)&amp;".",IF(SUM($M60:$R60)&gt;$D60+0.005,"يزيد مجموع الحصص على المصروف بمقدار "&amp;ROUND(SUM($M60:$R60)-$D60,2)&amp;".","جاهز")))),"أدخل المبالغ المتفق عليها بحيث يساوي مجموعها مبلغ المصروف."))))))</f>
      </c>
    </row>
    <row r="61">
      <c r="A61" s="149"/>
      <c r="B61" s="138"/>
      <c r="C61" s="138"/>
      <c r="D61" s="150"/>
      <c r="E61" s="138"/>
      <c r="F61" s="138"/>
      <c r="G61" s="138"/>
      <c r="H61" s="138"/>
      <c r="I61" s="138"/>
      <c r="J61" s="138"/>
      <c r="K61" s="138"/>
      <c r="L61" s="138"/>
      <c r="M61" s="150"/>
      <c r="N61" s="150"/>
      <c r="O61" s="150"/>
      <c r="P61" s="150"/>
      <c r="Q61" s="150"/>
      <c r="R61" s="150"/>
      <c r="S61" s="138"/>
      <c r="T61" s="151" t="str">
        <f>IF(COUNTIF($A61:$S61,"&lt;&gt;")=0,"",IF($F61="بالتساوي بين المشاركين",IF(G61&lt;&gt;"نعم",0,IF(COUNTIF($H61:$L61,"نعم")=0,$D61-0,ROUND($D61/COUNTIF($G61:$L61,"نعم"),2))),IF($F61="مبالغ متفق عليها",IF(G61="نعم",M61,0),"")))</f>
      </c>
      <c r="U61" s="151" t="str">
        <f>IF(COUNTIF($A61:$S61,"&lt;&gt;")=0,"",IF($F61="بالتساوي بين المشاركين",IF(H61&lt;&gt;"نعم",0,IF(COUNTIF($I61:$L61,"نعم")=0,$D61-SUM($T61:T61),ROUND($D61/COUNTIF($G61:$L61,"نعم"),2))),IF($F61="مبالغ متفق عليها",IF(H61="نعم",N61,0),"")))</f>
      </c>
      <c r="V61" s="151" t="str">
        <f>IF(COUNTIF($A61:$S61,"&lt;&gt;")=0,"",IF($F61="بالتساوي بين المشاركين",IF(I61&lt;&gt;"نعم",0,IF(COUNTIF($J61:$L61,"نعم")=0,$D61-SUM($T61:U61),ROUND($D61/COUNTIF($G61:$L61,"نعم"),2))),IF($F61="مبالغ متفق عليها",IF(I61="نعم",O61,0),"")))</f>
      </c>
      <c r="W61" s="151" t="str">
        <f>IF(COUNTIF($A61:$S61,"&lt;&gt;")=0,"",IF($F61="بالتساوي بين المشاركين",IF(J61&lt;&gt;"نعم",0,IF(COUNTIF($K61:$L61,"نعم")=0,$D61-SUM($T61:V61),ROUND($D61/COUNTIF($G61:$L61,"نعم"),2))),IF($F61="مبالغ متفق عليها",IF(J61="نعم",P61,0),"")))</f>
      </c>
      <c r="X61" s="151" t="str">
        <f>IF(COUNTIF($A61:$S61,"&lt;&gt;")=0,"",IF($F61="بالتساوي بين المشاركين",IF(K61&lt;&gt;"نعم",0,IF(COUNTIF($L61:$L61,"نعم")=0,$D61-SUM($T61:W61),ROUND($D61/COUNTIF($G61:$L61,"نعم"),2))),IF($F61="مبالغ متفق عليها",IF(K61="نعم",Q61,0),"")))</f>
      </c>
      <c r="Y61" s="151" t="str">
        <f>IF(COUNTIF($A61:$S61,"&lt;&gt;")=0,"",IF($F61="بالتساوي بين المشاركين",IF(L61&lt;&gt;"نعم",0,IF(0=0,$D61-SUM($T61:X61),ROUND($D61/COUNTIF($G61:$L61,"نعم"),2))),IF($F61="مبالغ متفق عليها",IF(L61="نعم",R61,0),"")))</f>
      </c>
      <c r="Z61" s="165" t="str">
        <f>IF(COUNTIF($A61:$S61,"&lt;&gt;")=0,"",IF(OR($D61="",$D61&lt;=0),"أدخل مبلغًا أكبر من صفر.",IF($E61="","اختر الشخص الذي دفع المبلغ.",IF(COUNTIF($G61:$L61,"نعم")=0,"حدد شخصًا واحدًا على الأقل للمشاركة في المصروف.",IF($F61="بالتساوي بين المشاركين","جاهز",IF($F61="مبالغ متفق عليها",IF(OR(AND(G61="نعم",M61=""),AND(H61="نعم",N61=""),AND(I61="نعم",O61=""),AND(J61="نعم",P61=""),AND(K61="نعم",Q61=""),AND(L61="نعم",R61="")),"أدخل المبالغ المتفق عليها بحيث يساوي مجموعها مبلغ المصروف.",IF(ABS(SUM($M61:$R61))&lt;0.005,"أدخل المبالغ المتفق عليها بحيث يساوي مجموعها مبلغ المصروف.",IF(SUM($M61:$R61)&lt;$D61-0.005,"يتبقى للتوزيع: "&amp;ROUND($D61-SUM($M61:$R61),2)&amp;".",IF(SUM($M61:$R61)&gt;$D61+0.005,"يزيد مجموع الحصص على المصروف بمقدار "&amp;ROUND(SUM($M61:$R61)-$D61,2)&amp;".","جاهز")))),"أدخل المبالغ المتفق عليها بحيث يساوي مجموعها مبلغ المصروف."))))))</f>
      </c>
    </row>
    <row r="62">
      <c r="A62" s="149"/>
      <c r="B62" s="138"/>
      <c r="C62" s="138"/>
      <c r="D62" s="150"/>
      <c r="E62" s="138"/>
      <c r="F62" s="138"/>
      <c r="G62" s="138"/>
      <c r="H62" s="138"/>
      <c r="I62" s="138"/>
      <c r="J62" s="138"/>
      <c r="K62" s="138"/>
      <c r="L62" s="138"/>
      <c r="M62" s="150"/>
      <c r="N62" s="150"/>
      <c r="O62" s="150"/>
      <c r="P62" s="150"/>
      <c r="Q62" s="150"/>
      <c r="R62" s="150"/>
      <c r="S62" s="138"/>
      <c r="T62" s="151" t="str">
        <f>IF(COUNTIF($A62:$S62,"&lt;&gt;")=0,"",IF($F62="بالتساوي بين المشاركين",IF(G62&lt;&gt;"نعم",0,IF(COUNTIF($H62:$L62,"نعم")=0,$D62-0,ROUND($D62/COUNTIF($G62:$L62,"نعم"),2))),IF($F62="مبالغ متفق عليها",IF(G62="نعم",M62,0),"")))</f>
      </c>
      <c r="U62" s="151" t="str">
        <f>IF(COUNTIF($A62:$S62,"&lt;&gt;")=0,"",IF($F62="بالتساوي بين المشاركين",IF(H62&lt;&gt;"نعم",0,IF(COUNTIF($I62:$L62,"نعم")=0,$D62-SUM($T62:T62),ROUND($D62/COUNTIF($G62:$L62,"نعم"),2))),IF($F62="مبالغ متفق عليها",IF(H62="نعم",N62,0),"")))</f>
      </c>
      <c r="V62" s="151" t="str">
        <f>IF(COUNTIF($A62:$S62,"&lt;&gt;")=0,"",IF($F62="بالتساوي بين المشاركين",IF(I62&lt;&gt;"نعم",0,IF(COUNTIF($J62:$L62,"نعم")=0,$D62-SUM($T62:U62),ROUND($D62/COUNTIF($G62:$L62,"نعم"),2))),IF($F62="مبالغ متفق عليها",IF(I62="نعم",O62,0),"")))</f>
      </c>
      <c r="W62" s="151" t="str">
        <f>IF(COUNTIF($A62:$S62,"&lt;&gt;")=0,"",IF($F62="بالتساوي بين المشاركين",IF(J62&lt;&gt;"نعم",0,IF(COUNTIF($K62:$L62,"نعم")=0,$D62-SUM($T62:V62),ROUND($D62/COUNTIF($G62:$L62,"نعم"),2))),IF($F62="مبالغ متفق عليها",IF(J62="نعم",P62,0),"")))</f>
      </c>
      <c r="X62" s="151" t="str">
        <f>IF(COUNTIF($A62:$S62,"&lt;&gt;")=0,"",IF($F62="بالتساوي بين المشاركين",IF(K62&lt;&gt;"نعم",0,IF(COUNTIF($L62:$L62,"نعم")=0,$D62-SUM($T62:W62),ROUND($D62/COUNTIF($G62:$L62,"نعم"),2))),IF($F62="مبالغ متفق عليها",IF(K62="نعم",Q62,0),"")))</f>
      </c>
      <c r="Y62" s="151" t="str">
        <f>IF(COUNTIF($A62:$S62,"&lt;&gt;")=0,"",IF($F62="بالتساوي بين المشاركين",IF(L62&lt;&gt;"نعم",0,IF(0=0,$D62-SUM($T62:X62),ROUND($D62/COUNTIF($G62:$L62,"نعم"),2))),IF($F62="مبالغ متفق عليها",IF(L62="نعم",R62,0),"")))</f>
      </c>
      <c r="Z62" s="165" t="str">
        <f>IF(COUNTIF($A62:$S62,"&lt;&gt;")=0,"",IF(OR($D62="",$D62&lt;=0),"أدخل مبلغًا أكبر من صفر.",IF($E62="","اختر الشخص الذي دفع المبلغ.",IF(COUNTIF($G62:$L62,"نعم")=0,"حدد شخصًا واحدًا على الأقل للمشاركة في المصروف.",IF($F62="بالتساوي بين المشاركين","جاهز",IF($F62="مبالغ متفق عليها",IF(OR(AND(G62="نعم",M62=""),AND(H62="نعم",N62=""),AND(I62="نعم",O62=""),AND(J62="نعم",P62=""),AND(K62="نعم",Q62=""),AND(L62="نعم",R62="")),"أدخل المبالغ المتفق عليها بحيث يساوي مجموعها مبلغ المصروف.",IF(ABS(SUM($M62:$R62))&lt;0.005,"أدخل المبالغ المتفق عليها بحيث يساوي مجموعها مبلغ المصروف.",IF(SUM($M62:$R62)&lt;$D62-0.005,"يتبقى للتوزيع: "&amp;ROUND($D62-SUM($M62:$R62),2)&amp;".",IF(SUM($M62:$R62)&gt;$D62+0.005,"يزيد مجموع الحصص على المصروف بمقدار "&amp;ROUND(SUM($M62:$R62)-$D62,2)&amp;".","جاهز")))),"أدخل المبالغ المتفق عليها بحيث يساوي مجموعها مبلغ المصروف."))))))</f>
      </c>
    </row>
    <row r="63">
      <c r="A63" s="149"/>
      <c r="B63" s="138"/>
      <c r="C63" s="138"/>
      <c r="D63" s="150"/>
      <c r="E63" s="138"/>
      <c r="F63" s="138"/>
      <c r="G63" s="138"/>
      <c r="H63" s="138"/>
      <c r="I63" s="138"/>
      <c r="J63" s="138"/>
      <c r="K63" s="138"/>
      <c r="L63" s="138"/>
      <c r="M63" s="150"/>
      <c r="N63" s="150"/>
      <c r="O63" s="150"/>
      <c r="P63" s="150"/>
      <c r="Q63" s="150"/>
      <c r="R63" s="150"/>
      <c r="S63" s="138"/>
      <c r="T63" s="151" t="str">
        <f>IF(COUNTIF($A63:$S63,"&lt;&gt;")=0,"",IF($F63="بالتساوي بين المشاركين",IF(G63&lt;&gt;"نعم",0,IF(COUNTIF($H63:$L63,"نعم")=0,$D63-0,ROUND($D63/COUNTIF($G63:$L63,"نعم"),2))),IF($F63="مبالغ متفق عليها",IF(G63="نعم",M63,0),"")))</f>
      </c>
      <c r="U63" s="151" t="str">
        <f>IF(COUNTIF($A63:$S63,"&lt;&gt;")=0,"",IF($F63="بالتساوي بين المشاركين",IF(H63&lt;&gt;"نعم",0,IF(COUNTIF($I63:$L63,"نعم")=0,$D63-SUM($T63:T63),ROUND($D63/COUNTIF($G63:$L63,"نعم"),2))),IF($F63="مبالغ متفق عليها",IF(H63="نعم",N63,0),"")))</f>
      </c>
      <c r="V63" s="151" t="str">
        <f>IF(COUNTIF($A63:$S63,"&lt;&gt;")=0,"",IF($F63="بالتساوي بين المشاركين",IF(I63&lt;&gt;"نعم",0,IF(COUNTIF($J63:$L63,"نعم")=0,$D63-SUM($T63:U63),ROUND($D63/COUNTIF($G63:$L63,"نعم"),2))),IF($F63="مبالغ متفق عليها",IF(I63="نعم",O63,0),"")))</f>
      </c>
      <c r="W63" s="151" t="str">
        <f>IF(COUNTIF($A63:$S63,"&lt;&gt;")=0,"",IF($F63="بالتساوي بين المشاركين",IF(J63&lt;&gt;"نعم",0,IF(COUNTIF($K63:$L63,"نعم")=0,$D63-SUM($T63:V63),ROUND($D63/COUNTIF($G63:$L63,"نعم"),2))),IF($F63="مبالغ متفق عليها",IF(J63="نعم",P63,0),"")))</f>
      </c>
      <c r="X63" s="151" t="str">
        <f>IF(COUNTIF($A63:$S63,"&lt;&gt;")=0,"",IF($F63="بالتساوي بين المشاركين",IF(K63&lt;&gt;"نعم",0,IF(COUNTIF($L63:$L63,"نعم")=0,$D63-SUM($T63:W63),ROUND($D63/COUNTIF($G63:$L63,"نعم"),2))),IF($F63="مبالغ متفق عليها",IF(K63="نعم",Q63,0),"")))</f>
      </c>
      <c r="Y63" s="151" t="str">
        <f>IF(COUNTIF($A63:$S63,"&lt;&gt;")=0,"",IF($F63="بالتساوي بين المشاركين",IF(L63&lt;&gt;"نعم",0,IF(0=0,$D63-SUM($T63:X63),ROUND($D63/COUNTIF($G63:$L63,"نعم"),2))),IF($F63="مبالغ متفق عليها",IF(L63="نعم",R63,0),"")))</f>
      </c>
      <c r="Z63" s="165" t="str">
        <f>IF(COUNTIF($A63:$S63,"&lt;&gt;")=0,"",IF(OR($D63="",$D63&lt;=0),"أدخل مبلغًا أكبر من صفر.",IF($E63="","اختر الشخص الذي دفع المبلغ.",IF(COUNTIF($G63:$L63,"نعم")=0,"حدد شخصًا واحدًا على الأقل للمشاركة في المصروف.",IF($F63="بالتساوي بين المشاركين","جاهز",IF($F63="مبالغ متفق عليها",IF(OR(AND(G63="نعم",M63=""),AND(H63="نعم",N63=""),AND(I63="نعم",O63=""),AND(J63="نعم",P63=""),AND(K63="نعم",Q63=""),AND(L63="نعم",R63="")),"أدخل المبالغ المتفق عليها بحيث يساوي مجموعها مبلغ المصروف.",IF(ABS(SUM($M63:$R63))&lt;0.005,"أدخل المبالغ المتفق عليها بحيث يساوي مجموعها مبلغ المصروف.",IF(SUM($M63:$R63)&lt;$D63-0.005,"يتبقى للتوزيع: "&amp;ROUND($D63-SUM($M63:$R63),2)&amp;".",IF(SUM($M63:$R63)&gt;$D63+0.005,"يزيد مجموع الحصص على المصروف بمقدار "&amp;ROUND(SUM($M63:$R63)-$D63,2)&amp;".","جاهز")))),"أدخل المبالغ المتفق عليها بحيث يساوي مجموعها مبلغ المصروف."))))))</f>
      </c>
    </row>
    <row r="64">
      <c r="A64" s="149"/>
      <c r="B64" s="138"/>
      <c r="C64" s="138"/>
      <c r="D64" s="150"/>
      <c r="E64" s="138"/>
      <c r="F64" s="138"/>
      <c r="G64" s="138"/>
      <c r="H64" s="138"/>
      <c r="I64" s="138"/>
      <c r="J64" s="138"/>
      <c r="K64" s="138"/>
      <c r="L64" s="138"/>
      <c r="M64" s="150"/>
      <c r="N64" s="150"/>
      <c r="O64" s="150"/>
      <c r="P64" s="150"/>
      <c r="Q64" s="150"/>
      <c r="R64" s="150"/>
      <c r="S64" s="138"/>
      <c r="T64" s="151" t="str">
        <f>IF(COUNTIF($A64:$S64,"&lt;&gt;")=0,"",IF($F64="بالتساوي بين المشاركين",IF(G64&lt;&gt;"نعم",0,IF(COUNTIF($H64:$L64,"نعم")=0,$D64-0,ROUND($D64/COUNTIF($G64:$L64,"نعم"),2))),IF($F64="مبالغ متفق عليها",IF(G64="نعم",M64,0),"")))</f>
      </c>
      <c r="U64" s="151" t="str">
        <f>IF(COUNTIF($A64:$S64,"&lt;&gt;")=0,"",IF($F64="بالتساوي بين المشاركين",IF(H64&lt;&gt;"نعم",0,IF(COUNTIF($I64:$L64,"نعم")=0,$D64-SUM($T64:T64),ROUND($D64/COUNTIF($G64:$L64,"نعم"),2))),IF($F64="مبالغ متفق عليها",IF(H64="نعم",N64,0),"")))</f>
      </c>
      <c r="V64" s="151" t="str">
        <f>IF(COUNTIF($A64:$S64,"&lt;&gt;")=0,"",IF($F64="بالتساوي بين المشاركين",IF(I64&lt;&gt;"نعم",0,IF(COUNTIF($J64:$L64,"نعم")=0,$D64-SUM($T64:U64),ROUND($D64/COUNTIF($G64:$L64,"نعم"),2))),IF($F64="مبالغ متفق عليها",IF(I64="نعم",O64,0),"")))</f>
      </c>
      <c r="W64" s="151" t="str">
        <f>IF(COUNTIF($A64:$S64,"&lt;&gt;")=0,"",IF($F64="بالتساوي بين المشاركين",IF(J64&lt;&gt;"نعم",0,IF(COUNTIF($K64:$L64,"نعم")=0,$D64-SUM($T64:V64),ROUND($D64/COUNTIF($G64:$L64,"نعم"),2))),IF($F64="مبالغ متفق عليها",IF(J64="نعم",P64,0),"")))</f>
      </c>
      <c r="X64" s="151" t="str">
        <f>IF(COUNTIF($A64:$S64,"&lt;&gt;")=0,"",IF($F64="بالتساوي بين المشاركين",IF(K64&lt;&gt;"نعم",0,IF(COUNTIF($L64:$L64,"نعم")=0,$D64-SUM($T64:W64),ROUND($D64/COUNTIF($G64:$L64,"نعم"),2))),IF($F64="مبالغ متفق عليها",IF(K64="نعم",Q64,0),"")))</f>
      </c>
      <c r="Y64" s="151" t="str">
        <f>IF(COUNTIF($A64:$S64,"&lt;&gt;")=0,"",IF($F64="بالتساوي بين المشاركين",IF(L64&lt;&gt;"نعم",0,IF(0=0,$D64-SUM($T64:X64),ROUND($D64/COUNTIF($G64:$L64,"نعم"),2))),IF($F64="مبالغ متفق عليها",IF(L64="نعم",R64,0),"")))</f>
      </c>
      <c r="Z64" s="165" t="str">
        <f>IF(COUNTIF($A64:$S64,"&lt;&gt;")=0,"",IF(OR($D64="",$D64&lt;=0),"أدخل مبلغًا أكبر من صفر.",IF($E64="","اختر الشخص الذي دفع المبلغ.",IF(COUNTIF($G64:$L64,"نعم")=0,"حدد شخصًا واحدًا على الأقل للمشاركة في المصروف.",IF($F64="بالتساوي بين المشاركين","جاهز",IF($F64="مبالغ متفق عليها",IF(OR(AND(G64="نعم",M64=""),AND(H64="نعم",N64=""),AND(I64="نعم",O64=""),AND(J64="نعم",P64=""),AND(K64="نعم",Q64=""),AND(L64="نعم",R64="")),"أدخل المبالغ المتفق عليها بحيث يساوي مجموعها مبلغ المصروف.",IF(ABS(SUM($M64:$R64))&lt;0.005,"أدخل المبالغ المتفق عليها بحيث يساوي مجموعها مبلغ المصروف.",IF(SUM($M64:$R64)&lt;$D64-0.005,"يتبقى للتوزيع: "&amp;ROUND($D64-SUM($M64:$R64),2)&amp;".",IF(SUM($M64:$R64)&gt;$D64+0.005,"يزيد مجموع الحصص على المصروف بمقدار "&amp;ROUND(SUM($M64:$R64)-$D64,2)&amp;".","جاهز")))),"أدخل المبالغ المتفق عليها بحيث يساوي مجموعها مبلغ المصروف."))))))</f>
      </c>
    </row>
    <row r="65">
      <c r="A65" s="149"/>
      <c r="B65" s="138"/>
      <c r="C65" s="138"/>
      <c r="D65" s="150"/>
      <c r="E65" s="138"/>
      <c r="F65" s="138"/>
      <c r="G65" s="138"/>
      <c r="H65" s="138"/>
      <c r="I65" s="138"/>
      <c r="J65" s="138"/>
      <c r="K65" s="138"/>
      <c r="L65" s="138"/>
      <c r="M65" s="150"/>
      <c r="N65" s="150"/>
      <c r="O65" s="150"/>
      <c r="P65" s="150"/>
      <c r="Q65" s="150"/>
      <c r="R65" s="150"/>
      <c r="S65" s="138"/>
      <c r="T65" s="151" t="str">
        <f>IF(COUNTIF($A65:$S65,"&lt;&gt;")=0,"",IF($F65="بالتساوي بين المشاركين",IF(G65&lt;&gt;"نعم",0,IF(COUNTIF($H65:$L65,"نعم")=0,$D65-0,ROUND($D65/COUNTIF($G65:$L65,"نعم"),2))),IF($F65="مبالغ متفق عليها",IF(G65="نعم",M65,0),"")))</f>
      </c>
      <c r="U65" s="151" t="str">
        <f>IF(COUNTIF($A65:$S65,"&lt;&gt;")=0,"",IF($F65="بالتساوي بين المشاركين",IF(H65&lt;&gt;"نعم",0,IF(COUNTIF($I65:$L65,"نعم")=0,$D65-SUM($T65:T65),ROUND($D65/COUNTIF($G65:$L65,"نعم"),2))),IF($F65="مبالغ متفق عليها",IF(H65="نعم",N65,0),"")))</f>
      </c>
      <c r="V65" s="151" t="str">
        <f>IF(COUNTIF($A65:$S65,"&lt;&gt;")=0,"",IF($F65="بالتساوي بين المشاركين",IF(I65&lt;&gt;"نعم",0,IF(COUNTIF($J65:$L65,"نعم")=0,$D65-SUM($T65:U65),ROUND($D65/COUNTIF($G65:$L65,"نعم"),2))),IF($F65="مبالغ متفق عليها",IF(I65="نعم",O65,0),"")))</f>
      </c>
      <c r="W65" s="151" t="str">
        <f>IF(COUNTIF($A65:$S65,"&lt;&gt;")=0,"",IF($F65="بالتساوي بين المشاركين",IF(J65&lt;&gt;"نعم",0,IF(COUNTIF($K65:$L65,"نعم")=0,$D65-SUM($T65:V65),ROUND($D65/COUNTIF($G65:$L65,"نعم"),2))),IF($F65="مبالغ متفق عليها",IF(J65="نعم",P65,0),"")))</f>
      </c>
      <c r="X65" s="151" t="str">
        <f>IF(COUNTIF($A65:$S65,"&lt;&gt;")=0,"",IF($F65="بالتساوي بين المشاركين",IF(K65&lt;&gt;"نعم",0,IF(COUNTIF($L65:$L65,"نعم")=0,$D65-SUM($T65:W65),ROUND($D65/COUNTIF($G65:$L65,"نعم"),2))),IF($F65="مبالغ متفق عليها",IF(K65="نعم",Q65,0),"")))</f>
      </c>
      <c r="Y65" s="151" t="str">
        <f>IF(COUNTIF($A65:$S65,"&lt;&gt;")=0,"",IF($F65="بالتساوي بين المشاركين",IF(L65&lt;&gt;"نعم",0,IF(0=0,$D65-SUM($T65:X65),ROUND($D65/COUNTIF($G65:$L65,"نعم"),2))),IF($F65="مبالغ متفق عليها",IF(L65="نعم",R65,0),"")))</f>
      </c>
      <c r="Z65" s="165" t="str">
        <f>IF(COUNTIF($A65:$S65,"&lt;&gt;")=0,"",IF(OR($D65="",$D65&lt;=0),"أدخل مبلغًا أكبر من صفر.",IF($E65="","اختر الشخص الذي دفع المبلغ.",IF(COUNTIF($G65:$L65,"نعم")=0,"حدد شخصًا واحدًا على الأقل للمشاركة في المصروف.",IF($F65="بالتساوي بين المشاركين","جاهز",IF($F65="مبالغ متفق عليها",IF(OR(AND(G65="نعم",M65=""),AND(H65="نعم",N65=""),AND(I65="نعم",O65=""),AND(J65="نعم",P65=""),AND(K65="نعم",Q65=""),AND(L65="نعم",R65="")),"أدخل المبالغ المتفق عليها بحيث يساوي مجموعها مبلغ المصروف.",IF(ABS(SUM($M65:$R65))&lt;0.005,"أدخل المبالغ المتفق عليها بحيث يساوي مجموعها مبلغ المصروف.",IF(SUM($M65:$R65)&lt;$D65-0.005,"يتبقى للتوزيع: "&amp;ROUND($D65-SUM($M65:$R65),2)&amp;".",IF(SUM($M65:$R65)&gt;$D65+0.005,"يزيد مجموع الحصص على المصروف بمقدار "&amp;ROUND(SUM($M65:$R65)-$D65,2)&amp;".","جاهز")))),"أدخل المبالغ المتفق عليها بحيث يساوي مجموعها مبلغ المصروف."))))))</f>
      </c>
    </row>
    <row r="66">
      <c r="A66" s="149"/>
      <c r="B66" s="138"/>
      <c r="C66" s="138"/>
      <c r="D66" s="150"/>
      <c r="E66" s="138"/>
      <c r="F66" s="138"/>
      <c r="G66" s="138"/>
      <c r="H66" s="138"/>
      <c r="I66" s="138"/>
      <c r="J66" s="138"/>
      <c r="K66" s="138"/>
      <c r="L66" s="138"/>
      <c r="M66" s="150"/>
      <c r="N66" s="150"/>
      <c r="O66" s="150"/>
      <c r="P66" s="150"/>
      <c r="Q66" s="150"/>
      <c r="R66" s="150"/>
      <c r="S66" s="138"/>
      <c r="T66" s="151" t="str">
        <f>IF(COUNTIF($A66:$S66,"&lt;&gt;")=0,"",IF($F66="بالتساوي بين المشاركين",IF(G66&lt;&gt;"نعم",0,IF(COUNTIF($H66:$L66,"نعم")=0,$D66-0,ROUND($D66/COUNTIF($G66:$L66,"نعم"),2))),IF($F66="مبالغ متفق عليها",IF(G66="نعم",M66,0),"")))</f>
      </c>
      <c r="U66" s="151" t="str">
        <f>IF(COUNTIF($A66:$S66,"&lt;&gt;")=0,"",IF($F66="بالتساوي بين المشاركين",IF(H66&lt;&gt;"نعم",0,IF(COUNTIF($I66:$L66,"نعم")=0,$D66-SUM($T66:T66),ROUND($D66/COUNTIF($G66:$L66,"نعم"),2))),IF($F66="مبالغ متفق عليها",IF(H66="نعم",N66,0),"")))</f>
      </c>
      <c r="V66" s="151" t="str">
        <f>IF(COUNTIF($A66:$S66,"&lt;&gt;")=0,"",IF($F66="بالتساوي بين المشاركين",IF(I66&lt;&gt;"نعم",0,IF(COUNTIF($J66:$L66,"نعم")=0,$D66-SUM($T66:U66),ROUND($D66/COUNTIF($G66:$L66,"نعم"),2))),IF($F66="مبالغ متفق عليها",IF(I66="نعم",O66,0),"")))</f>
      </c>
      <c r="W66" s="151" t="str">
        <f>IF(COUNTIF($A66:$S66,"&lt;&gt;")=0,"",IF($F66="بالتساوي بين المشاركين",IF(J66&lt;&gt;"نعم",0,IF(COUNTIF($K66:$L66,"نعم")=0,$D66-SUM($T66:V66),ROUND($D66/COUNTIF($G66:$L66,"نعم"),2))),IF($F66="مبالغ متفق عليها",IF(J66="نعم",P66,0),"")))</f>
      </c>
      <c r="X66" s="151" t="str">
        <f>IF(COUNTIF($A66:$S66,"&lt;&gt;")=0,"",IF($F66="بالتساوي بين المشاركين",IF(K66&lt;&gt;"نعم",0,IF(COUNTIF($L66:$L66,"نعم")=0,$D66-SUM($T66:W66),ROUND($D66/COUNTIF($G66:$L66,"نعم"),2))),IF($F66="مبالغ متفق عليها",IF(K66="نعم",Q66,0),"")))</f>
      </c>
      <c r="Y66" s="151" t="str">
        <f>IF(COUNTIF($A66:$S66,"&lt;&gt;")=0,"",IF($F66="بالتساوي بين المشاركين",IF(L66&lt;&gt;"نعم",0,IF(0=0,$D66-SUM($T66:X66),ROUND($D66/COUNTIF($G66:$L66,"نعم"),2))),IF($F66="مبالغ متفق عليها",IF(L66="نعم",R66,0),"")))</f>
      </c>
      <c r="Z66" s="165" t="str">
        <f>IF(COUNTIF($A66:$S66,"&lt;&gt;")=0,"",IF(OR($D66="",$D66&lt;=0),"أدخل مبلغًا أكبر من صفر.",IF($E66="","اختر الشخص الذي دفع المبلغ.",IF(COUNTIF($G66:$L66,"نعم")=0,"حدد شخصًا واحدًا على الأقل للمشاركة في المصروف.",IF($F66="بالتساوي بين المشاركين","جاهز",IF($F66="مبالغ متفق عليها",IF(OR(AND(G66="نعم",M66=""),AND(H66="نعم",N66=""),AND(I66="نعم",O66=""),AND(J66="نعم",P66=""),AND(K66="نعم",Q66=""),AND(L66="نعم",R66="")),"أدخل المبالغ المتفق عليها بحيث يساوي مجموعها مبلغ المصروف.",IF(ABS(SUM($M66:$R66))&lt;0.005,"أدخل المبالغ المتفق عليها بحيث يساوي مجموعها مبلغ المصروف.",IF(SUM($M66:$R66)&lt;$D66-0.005,"يتبقى للتوزيع: "&amp;ROUND($D66-SUM($M66:$R66),2)&amp;".",IF(SUM($M66:$R66)&gt;$D66+0.005,"يزيد مجموع الحصص على المصروف بمقدار "&amp;ROUND(SUM($M66:$R66)-$D66,2)&amp;".","جاهز")))),"أدخل المبالغ المتفق عليها بحيث يساوي مجموعها مبلغ المصروف."))))))</f>
      </c>
    </row>
    <row r="67">
      <c r="A67" s="149"/>
      <c r="B67" s="138"/>
      <c r="C67" s="138"/>
      <c r="D67" s="150"/>
      <c r="E67" s="138"/>
      <c r="F67" s="138"/>
      <c r="G67" s="138"/>
      <c r="H67" s="138"/>
      <c r="I67" s="138"/>
      <c r="J67" s="138"/>
      <c r="K67" s="138"/>
      <c r="L67" s="138"/>
      <c r="M67" s="150"/>
      <c r="N67" s="150"/>
      <c r="O67" s="150"/>
      <c r="P67" s="150"/>
      <c r="Q67" s="150"/>
      <c r="R67" s="150"/>
      <c r="S67" s="138"/>
      <c r="T67" s="151" t="str">
        <f>IF(COUNTIF($A67:$S67,"&lt;&gt;")=0,"",IF($F67="بالتساوي بين المشاركين",IF(G67&lt;&gt;"نعم",0,IF(COUNTIF($H67:$L67,"نعم")=0,$D67-0,ROUND($D67/COUNTIF($G67:$L67,"نعم"),2))),IF($F67="مبالغ متفق عليها",IF(G67="نعم",M67,0),"")))</f>
      </c>
      <c r="U67" s="151" t="str">
        <f>IF(COUNTIF($A67:$S67,"&lt;&gt;")=0,"",IF($F67="بالتساوي بين المشاركين",IF(H67&lt;&gt;"نعم",0,IF(COUNTIF($I67:$L67,"نعم")=0,$D67-SUM($T67:T67),ROUND($D67/COUNTIF($G67:$L67,"نعم"),2))),IF($F67="مبالغ متفق عليها",IF(H67="نعم",N67,0),"")))</f>
      </c>
      <c r="V67" s="151" t="str">
        <f>IF(COUNTIF($A67:$S67,"&lt;&gt;")=0,"",IF($F67="بالتساوي بين المشاركين",IF(I67&lt;&gt;"نعم",0,IF(COUNTIF($J67:$L67,"نعم")=0,$D67-SUM($T67:U67),ROUND($D67/COUNTIF($G67:$L67,"نعم"),2))),IF($F67="مبالغ متفق عليها",IF(I67="نعم",O67,0),"")))</f>
      </c>
      <c r="W67" s="151" t="str">
        <f>IF(COUNTIF($A67:$S67,"&lt;&gt;")=0,"",IF($F67="بالتساوي بين المشاركين",IF(J67&lt;&gt;"نعم",0,IF(COUNTIF($K67:$L67,"نعم")=0,$D67-SUM($T67:V67),ROUND($D67/COUNTIF($G67:$L67,"نعم"),2))),IF($F67="مبالغ متفق عليها",IF(J67="نعم",P67,0),"")))</f>
      </c>
      <c r="X67" s="151" t="str">
        <f>IF(COUNTIF($A67:$S67,"&lt;&gt;")=0,"",IF($F67="بالتساوي بين المشاركين",IF(K67&lt;&gt;"نعم",0,IF(COUNTIF($L67:$L67,"نعم")=0,$D67-SUM($T67:W67),ROUND($D67/COUNTIF($G67:$L67,"نعم"),2))),IF($F67="مبالغ متفق عليها",IF(K67="نعم",Q67,0),"")))</f>
      </c>
      <c r="Y67" s="151" t="str">
        <f>IF(COUNTIF($A67:$S67,"&lt;&gt;")=0,"",IF($F67="بالتساوي بين المشاركين",IF(L67&lt;&gt;"نعم",0,IF(0=0,$D67-SUM($T67:X67),ROUND($D67/COUNTIF($G67:$L67,"نعم"),2))),IF($F67="مبالغ متفق عليها",IF(L67="نعم",R67,0),"")))</f>
      </c>
      <c r="Z67" s="165" t="str">
        <f>IF(COUNTIF($A67:$S67,"&lt;&gt;")=0,"",IF(OR($D67="",$D67&lt;=0),"أدخل مبلغًا أكبر من صفر.",IF($E67="","اختر الشخص الذي دفع المبلغ.",IF(COUNTIF($G67:$L67,"نعم")=0,"حدد شخصًا واحدًا على الأقل للمشاركة في المصروف.",IF($F67="بالتساوي بين المشاركين","جاهز",IF($F67="مبالغ متفق عليها",IF(OR(AND(G67="نعم",M67=""),AND(H67="نعم",N67=""),AND(I67="نعم",O67=""),AND(J67="نعم",P67=""),AND(K67="نعم",Q67=""),AND(L67="نعم",R67="")),"أدخل المبالغ المتفق عليها بحيث يساوي مجموعها مبلغ المصروف.",IF(ABS(SUM($M67:$R67))&lt;0.005,"أدخل المبالغ المتفق عليها بحيث يساوي مجموعها مبلغ المصروف.",IF(SUM($M67:$R67)&lt;$D67-0.005,"يتبقى للتوزيع: "&amp;ROUND($D67-SUM($M67:$R67),2)&amp;".",IF(SUM($M67:$R67)&gt;$D67+0.005,"يزيد مجموع الحصص على المصروف بمقدار "&amp;ROUND(SUM($M67:$R67)-$D67,2)&amp;".","جاهز")))),"أدخل المبالغ المتفق عليها بحيث يساوي مجموعها مبلغ المصروف."))))))</f>
      </c>
    </row>
    <row r="68">
      <c r="A68" s="149"/>
      <c r="B68" s="138"/>
      <c r="C68" s="138"/>
      <c r="D68" s="150"/>
      <c r="E68" s="138"/>
      <c r="F68" s="138"/>
      <c r="G68" s="138"/>
      <c r="H68" s="138"/>
      <c r="I68" s="138"/>
      <c r="J68" s="138"/>
      <c r="K68" s="138"/>
      <c r="L68" s="138"/>
      <c r="M68" s="150"/>
      <c r="N68" s="150"/>
      <c r="O68" s="150"/>
      <c r="P68" s="150"/>
      <c r="Q68" s="150"/>
      <c r="R68" s="150"/>
      <c r="S68" s="138"/>
      <c r="T68" s="151" t="str">
        <f>IF(COUNTIF($A68:$S68,"&lt;&gt;")=0,"",IF($F68="بالتساوي بين المشاركين",IF(G68&lt;&gt;"نعم",0,IF(COUNTIF($H68:$L68,"نعم")=0,$D68-0,ROUND($D68/COUNTIF($G68:$L68,"نعم"),2))),IF($F68="مبالغ متفق عليها",IF(G68="نعم",M68,0),"")))</f>
      </c>
      <c r="U68" s="151" t="str">
        <f>IF(COUNTIF($A68:$S68,"&lt;&gt;")=0,"",IF($F68="بالتساوي بين المشاركين",IF(H68&lt;&gt;"نعم",0,IF(COUNTIF($I68:$L68,"نعم")=0,$D68-SUM($T68:T68),ROUND($D68/COUNTIF($G68:$L68,"نعم"),2))),IF($F68="مبالغ متفق عليها",IF(H68="نعم",N68,0),"")))</f>
      </c>
      <c r="V68" s="151" t="str">
        <f>IF(COUNTIF($A68:$S68,"&lt;&gt;")=0,"",IF($F68="بالتساوي بين المشاركين",IF(I68&lt;&gt;"نعم",0,IF(COUNTIF($J68:$L68,"نعم")=0,$D68-SUM($T68:U68),ROUND($D68/COUNTIF($G68:$L68,"نعم"),2))),IF($F68="مبالغ متفق عليها",IF(I68="نعم",O68,0),"")))</f>
      </c>
      <c r="W68" s="151" t="str">
        <f>IF(COUNTIF($A68:$S68,"&lt;&gt;")=0,"",IF($F68="بالتساوي بين المشاركين",IF(J68&lt;&gt;"نعم",0,IF(COUNTIF($K68:$L68,"نعم")=0,$D68-SUM($T68:V68),ROUND($D68/COUNTIF($G68:$L68,"نعم"),2))),IF($F68="مبالغ متفق عليها",IF(J68="نعم",P68,0),"")))</f>
      </c>
      <c r="X68" s="151" t="str">
        <f>IF(COUNTIF($A68:$S68,"&lt;&gt;")=0,"",IF($F68="بالتساوي بين المشاركين",IF(K68&lt;&gt;"نعم",0,IF(COUNTIF($L68:$L68,"نعم")=0,$D68-SUM($T68:W68),ROUND($D68/COUNTIF($G68:$L68,"نعم"),2))),IF($F68="مبالغ متفق عليها",IF(K68="نعم",Q68,0),"")))</f>
      </c>
      <c r="Y68" s="151" t="str">
        <f>IF(COUNTIF($A68:$S68,"&lt;&gt;")=0,"",IF($F68="بالتساوي بين المشاركين",IF(L68&lt;&gt;"نعم",0,IF(0=0,$D68-SUM($T68:X68),ROUND($D68/COUNTIF($G68:$L68,"نعم"),2))),IF($F68="مبالغ متفق عليها",IF(L68="نعم",R68,0),"")))</f>
      </c>
      <c r="Z68" s="165" t="str">
        <f>IF(COUNTIF($A68:$S68,"&lt;&gt;")=0,"",IF(OR($D68="",$D68&lt;=0),"أدخل مبلغًا أكبر من صفر.",IF($E68="","اختر الشخص الذي دفع المبلغ.",IF(COUNTIF($G68:$L68,"نعم")=0,"حدد شخصًا واحدًا على الأقل للمشاركة في المصروف.",IF($F68="بالتساوي بين المشاركين","جاهز",IF($F68="مبالغ متفق عليها",IF(OR(AND(G68="نعم",M68=""),AND(H68="نعم",N68=""),AND(I68="نعم",O68=""),AND(J68="نعم",P68=""),AND(K68="نعم",Q68=""),AND(L68="نعم",R68="")),"أدخل المبالغ المتفق عليها بحيث يساوي مجموعها مبلغ المصروف.",IF(ABS(SUM($M68:$R68))&lt;0.005,"أدخل المبالغ المتفق عليها بحيث يساوي مجموعها مبلغ المصروف.",IF(SUM($M68:$R68)&lt;$D68-0.005,"يتبقى للتوزيع: "&amp;ROUND($D68-SUM($M68:$R68),2)&amp;".",IF(SUM($M68:$R68)&gt;$D68+0.005,"يزيد مجموع الحصص على المصروف بمقدار "&amp;ROUND(SUM($M68:$R68)-$D68,2)&amp;".","جاهز")))),"أدخل المبالغ المتفق عليها بحيث يساوي مجموعها مبلغ المصروف."))))))</f>
      </c>
    </row>
    <row r="69">
      <c r="A69" s="149"/>
      <c r="B69" s="138"/>
      <c r="C69" s="138"/>
      <c r="D69" s="150"/>
      <c r="E69" s="138"/>
      <c r="F69" s="138"/>
      <c r="G69" s="138"/>
      <c r="H69" s="138"/>
      <c r="I69" s="138"/>
      <c r="J69" s="138"/>
      <c r="K69" s="138"/>
      <c r="L69" s="138"/>
      <c r="M69" s="150"/>
      <c r="N69" s="150"/>
      <c r="O69" s="150"/>
      <c r="P69" s="150"/>
      <c r="Q69" s="150"/>
      <c r="R69" s="150"/>
      <c r="S69" s="138"/>
      <c r="T69" s="151" t="str">
        <f>IF(COUNTIF($A69:$S69,"&lt;&gt;")=0,"",IF($F69="بالتساوي بين المشاركين",IF(G69&lt;&gt;"نعم",0,IF(COUNTIF($H69:$L69,"نعم")=0,$D69-0,ROUND($D69/COUNTIF($G69:$L69,"نعم"),2))),IF($F69="مبالغ متفق عليها",IF(G69="نعم",M69,0),"")))</f>
      </c>
      <c r="U69" s="151" t="str">
        <f>IF(COUNTIF($A69:$S69,"&lt;&gt;")=0,"",IF($F69="بالتساوي بين المشاركين",IF(H69&lt;&gt;"نعم",0,IF(COUNTIF($I69:$L69,"نعم")=0,$D69-SUM($T69:T69),ROUND($D69/COUNTIF($G69:$L69,"نعم"),2))),IF($F69="مبالغ متفق عليها",IF(H69="نعم",N69,0),"")))</f>
      </c>
      <c r="V69" s="151" t="str">
        <f>IF(COUNTIF($A69:$S69,"&lt;&gt;")=0,"",IF($F69="بالتساوي بين المشاركين",IF(I69&lt;&gt;"نعم",0,IF(COUNTIF($J69:$L69,"نعم")=0,$D69-SUM($T69:U69),ROUND($D69/COUNTIF($G69:$L69,"نعم"),2))),IF($F69="مبالغ متفق عليها",IF(I69="نعم",O69,0),"")))</f>
      </c>
      <c r="W69" s="151" t="str">
        <f>IF(COUNTIF($A69:$S69,"&lt;&gt;")=0,"",IF($F69="بالتساوي بين المشاركين",IF(J69&lt;&gt;"نعم",0,IF(COUNTIF($K69:$L69,"نعم")=0,$D69-SUM($T69:V69),ROUND($D69/COUNTIF($G69:$L69,"نعم"),2))),IF($F69="مبالغ متفق عليها",IF(J69="نعم",P69,0),"")))</f>
      </c>
      <c r="X69" s="151" t="str">
        <f>IF(COUNTIF($A69:$S69,"&lt;&gt;")=0,"",IF($F69="بالتساوي بين المشاركين",IF(K69&lt;&gt;"نعم",0,IF(COUNTIF($L69:$L69,"نعم")=0,$D69-SUM($T69:W69),ROUND($D69/COUNTIF($G69:$L69,"نعم"),2))),IF($F69="مبالغ متفق عليها",IF(K69="نعم",Q69,0),"")))</f>
      </c>
      <c r="Y69" s="151" t="str">
        <f>IF(COUNTIF($A69:$S69,"&lt;&gt;")=0,"",IF($F69="بالتساوي بين المشاركين",IF(L69&lt;&gt;"نعم",0,IF(0=0,$D69-SUM($T69:X69),ROUND($D69/COUNTIF($G69:$L69,"نعم"),2))),IF($F69="مبالغ متفق عليها",IF(L69="نعم",R69,0),"")))</f>
      </c>
      <c r="Z69" s="165" t="str">
        <f>IF(COUNTIF($A69:$S69,"&lt;&gt;")=0,"",IF(OR($D69="",$D69&lt;=0),"أدخل مبلغًا أكبر من صفر.",IF($E69="","اختر الشخص الذي دفع المبلغ.",IF(COUNTIF($G69:$L69,"نعم")=0,"حدد شخصًا واحدًا على الأقل للمشاركة في المصروف.",IF($F69="بالتساوي بين المشاركين","جاهز",IF($F69="مبالغ متفق عليها",IF(OR(AND(G69="نعم",M69=""),AND(H69="نعم",N69=""),AND(I69="نعم",O69=""),AND(J69="نعم",P69=""),AND(K69="نعم",Q69=""),AND(L69="نعم",R69="")),"أدخل المبالغ المتفق عليها بحيث يساوي مجموعها مبلغ المصروف.",IF(ABS(SUM($M69:$R69))&lt;0.005,"أدخل المبالغ المتفق عليها بحيث يساوي مجموعها مبلغ المصروف.",IF(SUM($M69:$R69)&lt;$D69-0.005,"يتبقى للتوزيع: "&amp;ROUND($D69-SUM($M69:$R69),2)&amp;".",IF(SUM($M69:$R69)&gt;$D69+0.005,"يزيد مجموع الحصص على المصروف بمقدار "&amp;ROUND(SUM($M69:$R69)-$D69,2)&amp;".","جاهز")))),"أدخل المبالغ المتفق عليها بحيث يساوي مجموعها مبلغ المصروف."))))))</f>
      </c>
    </row>
    <row r="70">
      <c r="A70" s="149"/>
      <c r="B70" s="138"/>
      <c r="C70" s="138"/>
      <c r="D70" s="150"/>
      <c r="E70" s="138"/>
      <c r="F70" s="138"/>
      <c r="G70" s="138"/>
      <c r="H70" s="138"/>
      <c r="I70" s="138"/>
      <c r="J70" s="138"/>
      <c r="K70" s="138"/>
      <c r="L70" s="138"/>
      <c r="M70" s="150"/>
      <c r="N70" s="150"/>
      <c r="O70" s="150"/>
      <c r="P70" s="150"/>
      <c r="Q70" s="150"/>
      <c r="R70" s="150"/>
      <c r="S70" s="138"/>
      <c r="T70" s="151" t="str">
        <f>IF(COUNTIF($A70:$S70,"&lt;&gt;")=0,"",IF($F70="بالتساوي بين المشاركين",IF(G70&lt;&gt;"نعم",0,IF(COUNTIF($H70:$L70,"نعم")=0,$D70-0,ROUND($D70/COUNTIF($G70:$L70,"نعم"),2))),IF($F70="مبالغ متفق عليها",IF(G70="نعم",M70,0),"")))</f>
      </c>
      <c r="U70" s="151" t="str">
        <f>IF(COUNTIF($A70:$S70,"&lt;&gt;")=0,"",IF($F70="بالتساوي بين المشاركين",IF(H70&lt;&gt;"نعم",0,IF(COUNTIF($I70:$L70,"نعم")=0,$D70-SUM($T70:T70),ROUND($D70/COUNTIF($G70:$L70,"نعم"),2))),IF($F70="مبالغ متفق عليها",IF(H70="نعم",N70,0),"")))</f>
      </c>
      <c r="V70" s="151" t="str">
        <f>IF(COUNTIF($A70:$S70,"&lt;&gt;")=0,"",IF($F70="بالتساوي بين المشاركين",IF(I70&lt;&gt;"نعم",0,IF(COUNTIF($J70:$L70,"نعم")=0,$D70-SUM($T70:U70),ROUND($D70/COUNTIF($G70:$L70,"نعم"),2))),IF($F70="مبالغ متفق عليها",IF(I70="نعم",O70,0),"")))</f>
      </c>
      <c r="W70" s="151" t="str">
        <f>IF(COUNTIF($A70:$S70,"&lt;&gt;")=0,"",IF($F70="بالتساوي بين المشاركين",IF(J70&lt;&gt;"نعم",0,IF(COUNTIF($K70:$L70,"نعم")=0,$D70-SUM($T70:V70),ROUND($D70/COUNTIF($G70:$L70,"نعم"),2))),IF($F70="مبالغ متفق عليها",IF(J70="نعم",P70,0),"")))</f>
      </c>
      <c r="X70" s="151" t="str">
        <f>IF(COUNTIF($A70:$S70,"&lt;&gt;")=0,"",IF($F70="بالتساوي بين المشاركين",IF(K70&lt;&gt;"نعم",0,IF(COUNTIF($L70:$L70,"نعم")=0,$D70-SUM($T70:W70),ROUND($D70/COUNTIF($G70:$L70,"نعم"),2))),IF($F70="مبالغ متفق عليها",IF(K70="نعم",Q70,0),"")))</f>
      </c>
      <c r="Y70" s="151" t="str">
        <f>IF(COUNTIF($A70:$S70,"&lt;&gt;")=0,"",IF($F70="بالتساوي بين المشاركين",IF(L70&lt;&gt;"نعم",0,IF(0=0,$D70-SUM($T70:X70),ROUND($D70/COUNTIF($G70:$L70,"نعم"),2))),IF($F70="مبالغ متفق عليها",IF(L70="نعم",R70,0),"")))</f>
      </c>
      <c r="Z70" s="165" t="str">
        <f>IF(COUNTIF($A70:$S70,"&lt;&gt;")=0,"",IF(OR($D70="",$D70&lt;=0),"أدخل مبلغًا أكبر من صفر.",IF($E70="","اختر الشخص الذي دفع المبلغ.",IF(COUNTIF($G70:$L70,"نعم")=0,"حدد شخصًا واحدًا على الأقل للمشاركة في المصروف.",IF($F70="بالتساوي بين المشاركين","جاهز",IF($F70="مبالغ متفق عليها",IF(OR(AND(G70="نعم",M70=""),AND(H70="نعم",N70=""),AND(I70="نعم",O70=""),AND(J70="نعم",P70=""),AND(K70="نعم",Q70=""),AND(L70="نعم",R70="")),"أدخل المبالغ المتفق عليها بحيث يساوي مجموعها مبلغ المصروف.",IF(ABS(SUM($M70:$R70))&lt;0.005,"أدخل المبالغ المتفق عليها بحيث يساوي مجموعها مبلغ المصروف.",IF(SUM($M70:$R70)&lt;$D70-0.005,"يتبقى للتوزيع: "&amp;ROUND($D70-SUM($M70:$R70),2)&amp;".",IF(SUM($M70:$R70)&gt;$D70+0.005,"يزيد مجموع الحصص على المصروف بمقدار "&amp;ROUND(SUM($M70:$R70)-$D70,2)&amp;".","جاهز")))),"أدخل المبالغ المتفق عليها بحيث يساوي مجموعها مبلغ المصروف."))))))</f>
      </c>
    </row>
    <row r="71">
      <c r="A71" s="149"/>
      <c r="B71" s="138"/>
      <c r="C71" s="138"/>
      <c r="D71" s="150"/>
      <c r="E71" s="138"/>
      <c r="F71" s="138"/>
      <c r="G71" s="138"/>
      <c r="H71" s="138"/>
      <c r="I71" s="138"/>
      <c r="J71" s="138"/>
      <c r="K71" s="138"/>
      <c r="L71" s="138"/>
      <c r="M71" s="150"/>
      <c r="N71" s="150"/>
      <c r="O71" s="150"/>
      <c r="P71" s="150"/>
      <c r="Q71" s="150"/>
      <c r="R71" s="150"/>
      <c r="S71" s="138"/>
      <c r="T71" s="151" t="str">
        <f>IF(COUNTIF($A71:$S71,"&lt;&gt;")=0,"",IF($F71="بالتساوي بين المشاركين",IF(G71&lt;&gt;"نعم",0,IF(COUNTIF($H71:$L71,"نعم")=0,$D71-0,ROUND($D71/COUNTIF($G71:$L71,"نعم"),2))),IF($F71="مبالغ متفق عليها",IF(G71="نعم",M71,0),"")))</f>
      </c>
      <c r="U71" s="151" t="str">
        <f>IF(COUNTIF($A71:$S71,"&lt;&gt;")=0,"",IF($F71="بالتساوي بين المشاركين",IF(H71&lt;&gt;"نعم",0,IF(COUNTIF($I71:$L71,"نعم")=0,$D71-SUM($T71:T71),ROUND($D71/COUNTIF($G71:$L71,"نعم"),2))),IF($F71="مبالغ متفق عليها",IF(H71="نعم",N71,0),"")))</f>
      </c>
      <c r="V71" s="151" t="str">
        <f>IF(COUNTIF($A71:$S71,"&lt;&gt;")=0,"",IF($F71="بالتساوي بين المشاركين",IF(I71&lt;&gt;"نعم",0,IF(COUNTIF($J71:$L71,"نعم")=0,$D71-SUM($T71:U71),ROUND($D71/COUNTIF($G71:$L71,"نعم"),2))),IF($F71="مبالغ متفق عليها",IF(I71="نعم",O71,0),"")))</f>
      </c>
      <c r="W71" s="151" t="str">
        <f>IF(COUNTIF($A71:$S71,"&lt;&gt;")=0,"",IF($F71="بالتساوي بين المشاركين",IF(J71&lt;&gt;"نعم",0,IF(COUNTIF($K71:$L71,"نعم")=0,$D71-SUM($T71:V71),ROUND($D71/COUNTIF($G71:$L71,"نعم"),2))),IF($F71="مبالغ متفق عليها",IF(J71="نعم",P71,0),"")))</f>
      </c>
      <c r="X71" s="151" t="str">
        <f>IF(COUNTIF($A71:$S71,"&lt;&gt;")=0,"",IF($F71="بالتساوي بين المشاركين",IF(K71&lt;&gt;"نعم",0,IF(COUNTIF($L71:$L71,"نعم")=0,$D71-SUM($T71:W71),ROUND($D71/COUNTIF($G71:$L71,"نعم"),2))),IF($F71="مبالغ متفق عليها",IF(K71="نعم",Q71,0),"")))</f>
      </c>
      <c r="Y71" s="151" t="str">
        <f>IF(COUNTIF($A71:$S71,"&lt;&gt;")=0,"",IF($F71="بالتساوي بين المشاركين",IF(L71&lt;&gt;"نعم",0,IF(0=0,$D71-SUM($T71:X71),ROUND($D71/COUNTIF($G71:$L71,"نعم"),2))),IF($F71="مبالغ متفق عليها",IF(L71="نعم",R71,0),"")))</f>
      </c>
      <c r="Z71" s="165" t="str">
        <f>IF(COUNTIF($A71:$S71,"&lt;&gt;")=0,"",IF(OR($D71="",$D71&lt;=0),"أدخل مبلغًا أكبر من صفر.",IF($E71="","اختر الشخص الذي دفع المبلغ.",IF(COUNTIF($G71:$L71,"نعم")=0,"حدد شخصًا واحدًا على الأقل للمشاركة في المصروف.",IF($F71="بالتساوي بين المشاركين","جاهز",IF($F71="مبالغ متفق عليها",IF(OR(AND(G71="نعم",M71=""),AND(H71="نعم",N71=""),AND(I71="نعم",O71=""),AND(J71="نعم",P71=""),AND(K71="نعم",Q71=""),AND(L71="نعم",R71="")),"أدخل المبالغ المتفق عليها بحيث يساوي مجموعها مبلغ المصروف.",IF(ABS(SUM($M71:$R71))&lt;0.005,"أدخل المبالغ المتفق عليها بحيث يساوي مجموعها مبلغ المصروف.",IF(SUM($M71:$R71)&lt;$D71-0.005,"يتبقى للتوزيع: "&amp;ROUND($D71-SUM($M71:$R71),2)&amp;".",IF(SUM($M71:$R71)&gt;$D71+0.005,"يزيد مجموع الحصص على المصروف بمقدار "&amp;ROUND(SUM($M71:$R71)-$D71,2)&amp;".","جاهز")))),"أدخل المبالغ المتفق عليها بحيث يساوي مجموعها مبلغ المصروف."))))))</f>
      </c>
    </row>
    <row r="72">
      <c r="A72" s="149"/>
      <c r="B72" s="138"/>
      <c r="C72" s="138"/>
      <c r="D72" s="150"/>
      <c r="E72" s="138"/>
      <c r="F72" s="138"/>
      <c r="G72" s="138"/>
      <c r="H72" s="138"/>
      <c r="I72" s="138"/>
      <c r="J72" s="138"/>
      <c r="K72" s="138"/>
      <c r="L72" s="138"/>
      <c r="M72" s="150"/>
      <c r="N72" s="150"/>
      <c r="O72" s="150"/>
      <c r="P72" s="150"/>
      <c r="Q72" s="150"/>
      <c r="R72" s="150"/>
      <c r="S72" s="138"/>
      <c r="T72" s="151" t="str">
        <f>IF(COUNTIF($A72:$S72,"&lt;&gt;")=0,"",IF($F72="بالتساوي بين المشاركين",IF(G72&lt;&gt;"نعم",0,IF(COUNTIF($H72:$L72,"نعم")=0,$D72-0,ROUND($D72/COUNTIF($G72:$L72,"نعم"),2))),IF($F72="مبالغ متفق عليها",IF(G72="نعم",M72,0),"")))</f>
      </c>
      <c r="U72" s="151" t="str">
        <f>IF(COUNTIF($A72:$S72,"&lt;&gt;")=0,"",IF($F72="بالتساوي بين المشاركين",IF(H72&lt;&gt;"نعم",0,IF(COUNTIF($I72:$L72,"نعم")=0,$D72-SUM($T72:T72),ROUND($D72/COUNTIF($G72:$L72,"نعم"),2))),IF($F72="مبالغ متفق عليها",IF(H72="نعم",N72,0),"")))</f>
      </c>
      <c r="V72" s="151" t="str">
        <f>IF(COUNTIF($A72:$S72,"&lt;&gt;")=0,"",IF($F72="بالتساوي بين المشاركين",IF(I72&lt;&gt;"نعم",0,IF(COUNTIF($J72:$L72,"نعم")=0,$D72-SUM($T72:U72),ROUND($D72/COUNTIF($G72:$L72,"نعم"),2))),IF($F72="مبالغ متفق عليها",IF(I72="نعم",O72,0),"")))</f>
      </c>
      <c r="W72" s="151" t="str">
        <f>IF(COUNTIF($A72:$S72,"&lt;&gt;")=0,"",IF($F72="بالتساوي بين المشاركين",IF(J72&lt;&gt;"نعم",0,IF(COUNTIF($K72:$L72,"نعم")=0,$D72-SUM($T72:V72),ROUND($D72/COUNTIF($G72:$L72,"نعم"),2))),IF($F72="مبالغ متفق عليها",IF(J72="نعم",P72,0),"")))</f>
      </c>
      <c r="X72" s="151" t="str">
        <f>IF(COUNTIF($A72:$S72,"&lt;&gt;")=0,"",IF($F72="بالتساوي بين المشاركين",IF(K72&lt;&gt;"نعم",0,IF(COUNTIF($L72:$L72,"نعم")=0,$D72-SUM($T72:W72),ROUND($D72/COUNTIF($G72:$L72,"نعم"),2))),IF($F72="مبالغ متفق عليها",IF(K72="نعم",Q72,0),"")))</f>
      </c>
      <c r="Y72" s="151" t="str">
        <f>IF(COUNTIF($A72:$S72,"&lt;&gt;")=0,"",IF($F72="بالتساوي بين المشاركين",IF(L72&lt;&gt;"نعم",0,IF(0=0,$D72-SUM($T72:X72),ROUND($D72/COUNTIF($G72:$L72,"نعم"),2))),IF($F72="مبالغ متفق عليها",IF(L72="نعم",R72,0),"")))</f>
      </c>
      <c r="Z72" s="165" t="str">
        <f>IF(COUNTIF($A72:$S72,"&lt;&gt;")=0,"",IF(OR($D72="",$D72&lt;=0),"أدخل مبلغًا أكبر من صفر.",IF($E72="","اختر الشخص الذي دفع المبلغ.",IF(COUNTIF($G72:$L72,"نعم")=0,"حدد شخصًا واحدًا على الأقل للمشاركة في المصروف.",IF($F72="بالتساوي بين المشاركين","جاهز",IF($F72="مبالغ متفق عليها",IF(OR(AND(G72="نعم",M72=""),AND(H72="نعم",N72=""),AND(I72="نعم",O72=""),AND(J72="نعم",P72=""),AND(K72="نعم",Q72=""),AND(L72="نعم",R72="")),"أدخل المبالغ المتفق عليها بحيث يساوي مجموعها مبلغ المصروف.",IF(ABS(SUM($M72:$R72))&lt;0.005,"أدخل المبالغ المتفق عليها بحيث يساوي مجموعها مبلغ المصروف.",IF(SUM($M72:$R72)&lt;$D72-0.005,"يتبقى للتوزيع: "&amp;ROUND($D72-SUM($M72:$R72),2)&amp;".",IF(SUM($M72:$R72)&gt;$D72+0.005,"يزيد مجموع الحصص على المصروف بمقدار "&amp;ROUND(SUM($M72:$R72)-$D72,2)&amp;".","جاهز")))),"أدخل المبالغ المتفق عليها بحيث يساوي مجموعها مبلغ المصروف."))))))</f>
      </c>
    </row>
    <row r="73">
      <c r="A73" s="149"/>
      <c r="B73" s="138"/>
      <c r="C73" s="138"/>
      <c r="D73" s="150"/>
      <c r="E73" s="138"/>
      <c r="F73" s="138"/>
      <c r="G73" s="138"/>
      <c r="H73" s="138"/>
      <c r="I73" s="138"/>
      <c r="J73" s="138"/>
      <c r="K73" s="138"/>
      <c r="L73" s="138"/>
      <c r="M73" s="150"/>
      <c r="N73" s="150"/>
      <c r="O73" s="150"/>
      <c r="P73" s="150"/>
      <c r="Q73" s="150"/>
      <c r="R73" s="150"/>
      <c r="S73" s="138"/>
      <c r="T73" s="151" t="str">
        <f>IF(COUNTIF($A73:$S73,"&lt;&gt;")=0,"",IF($F73="بالتساوي بين المشاركين",IF(G73&lt;&gt;"نعم",0,IF(COUNTIF($H73:$L73,"نعم")=0,$D73-0,ROUND($D73/COUNTIF($G73:$L73,"نعم"),2))),IF($F73="مبالغ متفق عليها",IF(G73="نعم",M73,0),"")))</f>
      </c>
      <c r="U73" s="151" t="str">
        <f>IF(COUNTIF($A73:$S73,"&lt;&gt;")=0,"",IF($F73="بالتساوي بين المشاركين",IF(H73&lt;&gt;"نعم",0,IF(COUNTIF($I73:$L73,"نعم")=0,$D73-SUM($T73:T73),ROUND($D73/COUNTIF($G73:$L73,"نعم"),2))),IF($F73="مبالغ متفق عليها",IF(H73="نعم",N73,0),"")))</f>
      </c>
      <c r="V73" s="151" t="str">
        <f>IF(COUNTIF($A73:$S73,"&lt;&gt;")=0,"",IF($F73="بالتساوي بين المشاركين",IF(I73&lt;&gt;"نعم",0,IF(COUNTIF($J73:$L73,"نعم")=0,$D73-SUM($T73:U73),ROUND($D73/COUNTIF($G73:$L73,"نعم"),2))),IF($F73="مبالغ متفق عليها",IF(I73="نعم",O73,0),"")))</f>
      </c>
      <c r="W73" s="151" t="str">
        <f>IF(COUNTIF($A73:$S73,"&lt;&gt;")=0,"",IF($F73="بالتساوي بين المشاركين",IF(J73&lt;&gt;"نعم",0,IF(COUNTIF($K73:$L73,"نعم")=0,$D73-SUM($T73:V73),ROUND($D73/COUNTIF($G73:$L73,"نعم"),2))),IF($F73="مبالغ متفق عليها",IF(J73="نعم",P73,0),"")))</f>
      </c>
      <c r="X73" s="151" t="str">
        <f>IF(COUNTIF($A73:$S73,"&lt;&gt;")=0,"",IF($F73="بالتساوي بين المشاركين",IF(K73&lt;&gt;"نعم",0,IF(COUNTIF($L73:$L73,"نعم")=0,$D73-SUM($T73:W73),ROUND($D73/COUNTIF($G73:$L73,"نعم"),2))),IF($F73="مبالغ متفق عليها",IF(K73="نعم",Q73,0),"")))</f>
      </c>
      <c r="Y73" s="151" t="str">
        <f>IF(COUNTIF($A73:$S73,"&lt;&gt;")=0,"",IF($F73="بالتساوي بين المشاركين",IF(L73&lt;&gt;"نعم",0,IF(0=0,$D73-SUM($T73:X73),ROUND($D73/COUNTIF($G73:$L73,"نعم"),2))),IF($F73="مبالغ متفق عليها",IF(L73="نعم",R73,0),"")))</f>
      </c>
      <c r="Z73" s="165" t="str">
        <f>IF(COUNTIF($A73:$S73,"&lt;&gt;")=0,"",IF(OR($D73="",$D73&lt;=0),"أدخل مبلغًا أكبر من صفر.",IF($E73="","اختر الشخص الذي دفع المبلغ.",IF(COUNTIF($G73:$L73,"نعم")=0,"حدد شخصًا واحدًا على الأقل للمشاركة في المصروف.",IF($F73="بالتساوي بين المشاركين","جاهز",IF($F73="مبالغ متفق عليها",IF(OR(AND(G73="نعم",M73=""),AND(H73="نعم",N73=""),AND(I73="نعم",O73=""),AND(J73="نعم",P73=""),AND(K73="نعم",Q73=""),AND(L73="نعم",R73="")),"أدخل المبالغ المتفق عليها بحيث يساوي مجموعها مبلغ المصروف.",IF(ABS(SUM($M73:$R73))&lt;0.005,"أدخل المبالغ المتفق عليها بحيث يساوي مجموعها مبلغ المصروف.",IF(SUM($M73:$R73)&lt;$D73-0.005,"يتبقى للتوزيع: "&amp;ROUND($D73-SUM($M73:$R73),2)&amp;".",IF(SUM($M73:$R73)&gt;$D73+0.005,"يزيد مجموع الحصص على المصروف بمقدار "&amp;ROUND(SUM($M73:$R73)-$D73,2)&amp;".","جاهز")))),"أدخل المبالغ المتفق عليها بحيث يساوي مجموعها مبلغ المصروف."))))))</f>
      </c>
    </row>
    <row r="74">
      <c r="A74" s="149"/>
      <c r="B74" s="138"/>
      <c r="C74" s="138"/>
      <c r="D74" s="150"/>
      <c r="E74" s="138"/>
      <c r="F74" s="138"/>
      <c r="G74" s="138"/>
      <c r="H74" s="138"/>
      <c r="I74" s="138"/>
      <c r="J74" s="138"/>
      <c r="K74" s="138"/>
      <c r="L74" s="138"/>
      <c r="M74" s="150"/>
      <c r="N74" s="150"/>
      <c r="O74" s="150"/>
      <c r="P74" s="150"/>
      <c r="Q74" s="150"/>
      <c r="R74" s="150"/>
      <c r="S74" s="138"/>
      <c r="T74" s="151" t="str">
        <f>IF(COUNTIF($A74:$S74,"&lt;&gt;")=0,"",IF($F74="بالتساوي بين المشاركين",IF(G74&lt;&gt;"نعم",0,IF(COUNTIF($H74:$L74,"نعم")=0,$D74-0,ROUND($D74/COUNTIF($G74:$L74,"نعم"),2))),IF($F74="مبالغ متفق عليها",IF(G74="نعم",M74,0),"")))</f>
      </c>
      <c r="U74" s="151" t="str">
        <f>IF(COUNTIF($A74:$S74,"&lt;&gt;")=0,"",IF($F74="بالتساوي بين المشاركين",IF(H74&lt;&gt;"نعم",0,IF(COUNTIF($I74:$L74,"نعم")=0,$D74-SUM($T74:T74),ROUND($D74/COUNTIF($G74:$L74,"نعم"),2))),IF($F74="مبالغ متفق عليها",IF(H74="نعم",N74,0),"")))</f>
      </c>
      <c r="V74" s="151" t="str">
        <f>IF(COUNTIF($A74:$S74,"&lt;&gt;")=0,"",IF($F74="بالتساوي بين المشاركين",IF(I74&lt;&gt;"نعم",0,IF(COUNTIF($J74:$L74,"نعم")=0,$D74-SUM($T74:U74),ROUND($D74/COUNTIF($G74:$L74,"نعم"),2))),IF($F74="مبالغ متفق عليها",IF(I74="نعم",O74,0),"")))</f>
      </c>
      <c r="W74" s="151" t="str">
        <f>IF(COUNTIF($A74:$S74,"&lt;&gt;")=0,"",IF($F74="بالتساوي بين المشاركين",IF(J74&lt;&gt;"نعم",0,IF(COUNTIF($K74:$L74,"نعم")=0,$D74-SUM($T74:V74),ROUND($D74/COUNTIF($G74:$L74,"نعم"),2))),IF($F74="مبالغ متفق عليها",IF(J74="نعم",P74,0),"")))</f>
      </c>
      <c r="X74" s="151" t="str">
        <f>IF(COUNTIF($A74:$S74,"&lt;&gt;")=0,"",IF($F74="بالتساوي بين المشاركين",IF(K74&lt;&gt;"نعم",0,IF(COUNTIF($L74:$L74,"نعم")=0,$D74-SUM($T74:W74),ROUND($D74/COUNTIF($G74:$L74,"نعم"),2))),IF($F74="مبالغ متفق عليها",IF(K74="نعم",Q74,0),"")))</f>
      </c>
      <c r="Y74" s="151" t="str">
        <f>IF(COUNTIF($A74:$S74,"&lt;&gt;")=0,"",IF($F74="بالتساوي بين المشاركين",IF(L74&lt;&gt;"نعم",0,IF(0=0,$D74-SUM($T74:X74),ROUND($D74/COUNTIF($G74:$L74,"نعم"),2))),IF($F74="مبالغ متفق عليها",IF(L74="نعم",R74,0),"")))</f>
      </c>
      <c r="Z74" s="165" t="str">
        <f>IF(COUNTIF($A74:$S74,"&lt;&gt;")=0,"",IF(OR($D74="",$D74&lt;=0),"أدخل مبلغًا أكبر من صفر.",IF($E74="","اختر الشخص الذي دفع المبلغ.",IF(COUNTIF($G74:$L74,"نعم")=0,"حدد شخصًا واحدًا على الأقل للمشاركة في المصروف.",IF($F74="بالتساوي بين المشاركين","جاهز",IF($F74="مبالغ متفق عليها",IF(OR(AND(G74="نعم",M74=""),AND(H74="نعم",N74=""),AND(I74="نعم",O74=""),AND(J74="نعم",P74=""),AND(K74="نعم",Q74=""),AND(L74="نعم",R74="")),"أدخل المبالغ المتفق عليها بحيث يساوي مجموعها مبلغ المصروف.",IF(ABS(SUM($M74:$R74))&lt;0.005,"أدخل المبالغ المتفق عليها بحيث يساوي مجموعها مبلغ المصروف.",IF(SUM($M74:$R74)&lt;$D74-0.005,"يتبقى للتوزيع: "&amp;ROUND($D74-SUM($M74:$R74),2)&amp;".",IF(SUM($M74:$R74)&gt;$D74+0.005,"يزيد مجموع الحصص على المصروف بمقدار "&amp;ROUND(SUM($M74:$R74)-$D74,2)&amp;".","جاهز")))),"أدخل المبالغ المتفق عليها بحيث يساوي مجموعها مبلغ المصروف."))))))</f>
      </c>
    </row>
    <row r="75">
      <c r="A75" s="149"/>
      <c r="B75" s="138"/>
      <c r="C75" s="138"/>
      <c r="D75" s="150"/>
      <c r="E75" s="138"/>
      <c r="F75" s="138"/>
      <c r="G75" s="138"/>
      <c r="H75" s="138"/>
      <c r="I75" s="138"/>
      <c r="J75" s="138"/>
      <c r="K75" s="138"/>
      <c r="L75" s="138"/>
      <c r="M75" s="150"/>
      <c r="N75" s="150"/>
      <c r="O75" s="150"/>
      <c r="P75" s="150"/>
      <c r="Q75" s="150"/>
      <c r="R75" s="150"/>
      <c r="S75" s="138"/>
      <c r="T75" s="151" t="str">
        <f>IF(COUNTIF($A75:$S75,"&lt;&gt;")=0,"",IF($F75="بالتساوي بين المشاركين",IF(G75&lt;&gt;"نعم",0,IF(COUNTIF($H75:$L75,"نعم")=0,$D75-0,ROUND($D75/COUNTIF($G75:$L75,"نعم"),2))),IF($F75="مبالغ متفق عليها",IF(G75="نعم",M75,0),"")))</f>
      </c>
      <c r="U75" s="151" t="str">
        <f>IF(COUNTIF($A75:$S75,"&lt;&gt;")=0,"",IF($F75="بالتساوي بين المشاركين",IF(H75&lt;&gt;"نعم",0,IF(COUNTIF($I75:$L75,"نعم")=0,$D75-SUM($T75:T75),ROUND($D75/COUNTIF($G75:$L75,"نعم"),2))),IF($F75="مبالغ متفق عليها",IF(H75="نعم",N75,0),"")))</f>
      </c>
      <c r="V75" s="151" t="str">
        <f>IF(COUNTIF($A75:$S75,"&lt;&gt;")=0,"",IF($F75="بالتساوي بين المشاركين",IF(I75&lt;&gt;"نعم",0,IF(COUNTIF($J75:$L75,"نعم")=0,$D75-SUM($T75:U75),ROUND($D75/COUNTIF($G75:$L75,"نعم"),2))),IF($F75="مبالغ متفق عليها",IF(I75="نعم",O75,0),"")))</f>
      </c>
      <c r="W75" s="151" t="str">
        <f>IF(COUNTIF($A75:$S75,"&lt;&gt;")=0,"",IF($F75="بالتساوي بين المشاركين",IF(J75&lt;&gt;"نعم",0,IF(COUNTIF($K75:$L75,"نعم")=0,$D75-SUM($T75:V75),ROUND($D75/COUNTIF($G75:$L75,"نعم"),2))),IF($F75="مبالغ متفق عليها",IF(J75="نعم",P75,0),"")))</f>
      </c>
      <c r="X75" s="151" t="str">
        <f>IF(COUNTIF($A75:$S75,"&lt;&gt;")=0,"",IF($F75="بالتساوي بين المشاركين",IF(K75&lt;&gt;"نعم",0,IF(COUNTIF($L75:$L75,"نعم")=0,$D75-SUM($T75:W75),ROUND($D75/COUNTIF($G75:$L75,"نعم"),2))),IF($F75="مبالغ متفق عليها",IF(K75="نعم",Q75,0),"")))</f>
      </c>
      <c r="Y75" s="151" t="str">
        <f>IF(COUNTIF($A75:$S75,"&lt;&gt;")=0,"",IF($F75="بالتساوي بين المشاركين",IF(L75&lt;&gt;"نعم",0,IF(0=0,$D75-SUM($T75:X75),ROUND($D75/COUNTIF($G75:$L75,"نعم"),2))),IF($F75="مبالغ متفق عليها",IF(L75="نعم",R75,0),"")))</f>
      </c>
      <c r="Z75" s="165" t="str">
        <f>IF(COUNTIF($A75:$S75,"&lt;&gt;")=0,"",IF(OR($D75="",$D75&lt;=0),"أدخل مبلغًا أكبر من صفر.",IF($E75="","اختر الشخص الذي دفع المبلغ.",IF(COUNTIF($G75:$L75,"نعم")=0,"حدد شخصًا واحدًا على الأقل للمشاركة في المصروف.",IF($F75="بالتساوي بين المشاركين","جاهز",IF($F75="مبالغ متفق عليها",IF(OR(AND(G75="نعم",M75=""),AND(H75="نعم",N75=""),AND(I75="نعم",O75=""),AND(J75="نعم",P75=""),AND(K75="نعم",Q75=""),AND(L75="نعم",R75="")),"أدخل المبالغ المتفق عليها بحيث يساوي مجموعها مبلغ المصروف.",IF(ABS(SUM($M75:$R75))&lt;0.005,"أدخل المبالغ المتفق عليها بحيث يساوي مجموعها مبلغ المصروف.",IF(SUM($M75:$R75)&lt;$D75-0.005,"يتبقى للتوزيع: "&amp;ROUND($D75-SUM($M75:$R75),2)&amp;".",IF(SUM($M75:$R75)&gt;$D75+0.005,"يزيد مجموع الحصص على المصروف بمقدار "&amp;ROUND(SUM($M75:$R75)-$D75,2)&amp;".","جاهز")))),"أدخل المبالغ المتفق عليها بحيث يساوي مجموعها مبلغ المصروف."))))))</f>
      </c>
    </row>
    <row r="76">
      <c r="A76" s="149"/>
      <c r="B76" s="138"/>
      <c r="C76" s="138"/>
      <c r="D76" s="150"/>
      <c r="E76" s="138"/>
      <c r="F76" s="138"/>
      <c r="G76" s="138"/>
      <c r="H76" s="138"/>
      <c r="I76" s="138"/>
      <c r="J76" s="138"/>
      <c r="K76" s="138"/>
      <c r="L76" s="138"/>
      <c r="M76" s="150"/>
      <c r="N76" s="150"/>
      <c r="O76" s="150"/>
      <c r="P76" s="150"/>
      <c r="Q76" s="150"/>
      <c r="R76" s="150"/>
      <c r="S76" s="138"/>
      <c r="T76" s="151" t="str">
        <f>IF(COUNTIF($A76:$S76,"&lt;&gt;")=0,"",IF($F76="بالتساوي بين المشاركين",IF(G76&lt;&gt;"نعم",0,IF(COUNTIF($H76:$L76,"نعم")=0,$D76-0,ROUND($D76/COUNTIF($G76:$L76,"نعم"),2))),IF($F76="مبالغ متفق عليها",IF(G76="نعم",M76,0),"")))</f>
      </c>
      <c r="U76" s="151" t="str">
        <f>IF(COUNTIF($A76:$S76,"&lt;&gt;")=0,"",IF($F76="بالتساوي بين المشاركين",IF(H76&lt;&gt;"نعم",0,IF(COUNTIF($I76:$L76,"نعم")=0,$D76-SUM($T76:T76),ROUND($D76/COUNTIF($G76:$L76,"نعم"),2))),IF($F76="مبالغ متفق عليها",IF(H76="نعم",N76,0),"")))</f>
      </c>
      <c r="V76" s="151" t="str">
        <f>IF(COUNTIF($A76:$S76,"&lt;&gt;")=0,"",IF($F76="بالتساوي بين المشاركين",IF(I76&lt;&gt;"نعم",0,IF(COUNTIF($J76:$L76,"نعم")=0,$D76-SUM($T76:U76),ROUND($D76/COUNTIF($G76:$L76,"نعم"),2))),IF($F76="مبالغ متفق عليها",IF(I76="نعم",O76,0),"")))</f>
      </c>
      <c r="W76" s="151" t="str">
        <f>IF(COUNTIF($A76:$S76,"&lt;&gt;")=0,"",IF($F76="بالتساوي بين المشاركين",IF(J76&lt;&gt;"نعم",0,IF(COUNTIF($K76:$L76,"نعم")=0,$D76-SUM($T76:V76),ROUND($D76/COUNTIF($G76:$L76,"نعم"),2))),IF($F76="مبالغ متفق عليها",IF(J76="نعم",P76,0),"")))</f>
      </c>
      <c r="X76" s="151" t="str">
        <f>IF(COUNTIF($A76:$S76,"&lt;&gt;")=0,"",IF($F76="بالتساوي بين المشاركين",IF(K76&lt;&gt;"نعم",0,IF(COUNTIF($L76:$L76,"نعم")=0,$D76-SUM($T76:W76),ROUND($D76/COUNTIF($G76:$L76,"نعم"),2))),IF($F76="مبالغ متفق عليها",IF(K76="نعم",Q76,0),"")))</f>
      </c>
      <c r="Y76" s="151" t="str">
        <f>IF(COUNTIF($A76:$S76,"&lt;&gt;")=0,"",IF($F76="بالتساوي بين المشاركين",IF(L76&lt;&gt;"نعم",0,IF(0=0,$D76-SUM($T76:X76),ROUND($D76/COUNTIF($G76:$L76,"نعم"),2))),IF($F76="مبالغ متفق عليها",IF(L76="نعم",R76,0),"")))</f>
      </c>
      <c r="Z76" s="165" t="str">
        <f>IF(COUNTIF($A76:$S76,"&lt;&gt;")=0,"",IF(OR($D76="",$D76&lt;=0),"أدخل مبلغًا أكبر من صفر.",IF($E76="","اختر الشخص الذي دفع المبلغ.",IF(COUNTIF($G76:$L76,"نعم")=0,"حدد شخصًا واحدًا على الأقل للمشاركة في المصروف.",IF($F76="بالتساوي بين المشاركين","جاهز",IF($F76="مبالغ متفق عليها",IF(OR(AND(G76="نعم",M76=""),AND(H76="نعم",N76=""),AND(I76="نعم",O76=""),AND(J76="نعم",P76=""),AND(K76="نعم",Q76=""),AND(L76="نعم",R76="")),"أدخل المبالغ المتفق عليها بحيث يساوي مجموعها مبلغ المصروف.",IF(ABS(SUM($M76:$R76))&lt;0.005,"أدخل المبالغ المتفق عليها بحيث يساوي مجموعها مبلغ المصروف.",IF(SUM($M76:$R76)&lt;$D76-0.005,"يتبقى للتوزيع: "&amp;ROUND($D76-SUM($M76:$R76),2)&amp;".",IF(SUM($M76:$R76)&gt;$D76+0.005,"يزيد مجموع الحصص على المصروف بمقدار "&amp;ROUND(SUM($M76:$R76)-$D76,2)&amp;".","جاهز")))),"أدخل المبالغ المتفق عليها بحيث يساوي مجموعها مبلغ المصروف."))))))</f>
      </c>
    </row>
    <row r="77">
      <c r="A77" s="149"/>
      <c r="B77" s="138"/>
      <c r="C77" s="138"/>
      <c r="D77" s="150"/>
      <c r="E77" s="138"/>
      <c r="F77" s="138"/>
      <c r="G77" s="138"/>
      <c r="H77" s="138"/>
      <c r="I77" s="138"/>
      <c r="J77" s="138"/>
      <c r="K77" s="138"/>
      <c r="L77" s="138"/>
      <c r="M77" s="150"/>
      <c r="N77" s="150"/>
      <c r="O77" s="150"/>
      <c r="P77" s="150"/>
      <c r="Q77" s="150"/>
      <c r="R77" s="150"/>
      <c r="S77" s="138"/>
      <c r="T77" s="151" t="str">
        <f>IF(COUNTIF($A77:$S77,"&lt;&gt;")=0,"",IF($F77="بالتساوي بين المشاركين",IF(G77&lt;&gt;"نعم",0,IF(COUNTIF($H77:$L77,"نعم")=0,$D77-0,ROUND($D77/COUNTIF($G77:$L77,"نعم"),2))),IF($F77="مبالغ متفق عليها",IF(G77="نعم",M77,0),"")))</f>
      </c>
      <c r="U77" s="151" t="str">
        <f>IF(COUNTIF($A77:$S77,"&lt;&gt;")=0,"",IF($F77="بالتساوي بين المشاركين",IF(H77&lt;&gt;"نعم",0,IF(COUNTIF($I77:$L77,"نعم")=0,$D77-SUM($T77:T77),ROUND($D77/COUNTIF($G77:$L77,"نعم"),2))),IF($F77="مبالغ متفق عليها",IF(H77="نعم",N77,0),"")))</f>
      </c>
      <c r="V77" s="151" t="str">
        <f>IF(COUNTIF($A77:$S77,"&lt;&gt;")=0,"",IF($F77="بالتساوي بين المشاركين",IF(I77&lt;&gt;"نعم",0,IF(COUNTIF($J77:$L77,"نعم")=0,$D77-SUM($T77:U77),ROUND($D77/COUNTIF($G77:$L77,"نعم"),2))),IF($F77="مبالغ متفق عليها",IF(I77="نعم",O77,0),"")))</f>
      </c>
      <c r="W77" s="151" t="str">
        <f>IF(COUNTIF($A77:$S77,"&lt;&gt;")=0,"",IF($F77="بالتساوي بين المشاركين",IF(J77&lt;&gt;"نعم",0,IF(COUNTIF($K77:$L77,"نعم")=0,$D77-SUM($T77:V77),ROUND($D77/COUNTIF($G77:$L77,"نعم"),2))),IF($F77="مبالغ متفق عليها",IF(J77="نعم",P77,0),"")))</f>
      </c>
      <c r="X77" s="151" t="str">
        <f>IF(COUNTIF($A77:$S77,"&lt;&gt;")=0,"",IF($F77="بالتساوي بين المشاركين",IF(K77&lt;&gt;"نعم",0,IF(COUNTIF($L77:$L77,"نعم")=0,$D77-SUM($T77:W77),ROUND($D77/COUNTIF($G77:$L77,"نعم"),2))),IF($F77="مبالغ متفق عليها",IF(K77="نعم",Q77,0),"")))</f>
      </c>
      <c r="Y77" s="151" t="str">
        <f>IF(COUNTIF($A77:$S77,"&lt;&gt;")=0,"",IF($F77="بالتساوي بين المشاركين",IF(L77&lt;&gt;"نعم",0,IF(0=0,$D77-SUM($T77:X77),ROUND($D77/COUNTIF($G77:$L77,"نعم"),2))),IF($F77="مبالغ متفق عليها",IF(L77="نعم",R77,0),"")))</f>
      </c>
      <c r="Z77" s="165" t="str">
        <f>IF(COUNTIF($A77:$S77,"&lt;&gt;")=0,"",IF(OR($D77="",$D77&lt;=0),"أدخل مبلغًا أكبر من صفر.",IF($E77="","اختر الشخص الذي دفع المبلغ.",IF(COUNTIF($G77:$L77,"نعم")=0,"حدد شخصًا واحدًا على الأقل للمشاركة في المصروف.",IF($F77="بالتساوي بين المشاركين","جاهز",IF($F77="مبالغ متفق عليها",IF(OR(AND(G77="نعم",M77=""),AND(H77="نعم",N77=""),AND(I77="نعم",O77=""),AND(J77="نعم",P77=""),AND(K77="نعم",Q77=""),AND(L77="نعم",R77="")),"أدخل المبالغ المتفق عليها بحيث يساوي مجموعها مبلغ المصروف.",IF(ABS(SUM($M77:$R77))&lt;0.005,"أدخل المبالغ المتفق عليها بحيث يساوي مجموعها مبلغ المصروف.",IF(SUM($M77:$R77)&lt;$D77-0.005,"يتبقى للتوزيع: "&amp;ROUND($D77-SUM($M77:$R77),2)&amp;".",IF(SUM($M77:$R77)&gt;$D77+0.005,"يزيد مجموع الحصص على المصروف بمقدار "&amp;ROUND(SUM($M77:$R77)-$D77,2)&amp;".","جاهز")))),"أدخل المبالغ المتفق عليها بحيث يساوي مجموعها مبلغ المصروف."))))))</f>
      </c>
    </row>
    <row r="78">
      <c r="A78" s="149"/>
      <c r="B78" s="138"/>
      <c r="C78" s="138"/>
      <c r="D78" s="150"/>
      <c r="E78" s="138"/>
      <c r="F78" s="138"/>
      <c r="G78" s="138"/>
      <c r="H78" s="138"/>
      <c r="I78" s="138"/>
      <c r="J78" s="138"/>
      <c r="K78" s="138"/>
      <c r="L78" s="138"/>
      <c r="M78" s="150"/>
      <c r="N78" s="150"/>
      <c r="O78" s="150"/>
      <c r="P78" s="150"/>
      <c r="Q78" s="150"/>
      <c r="R78" s="150"/>
      <c r="S78" s="138"/>
      <c r="T78" s="151" t="str">
        <f>IF(COUNTIF($A78:$S78,"&lt;&gt;")=0,"",IF($F78="بالتساوي بين المشاركين",IF(G78&lt;&gt;"نعم",0,IF(COUNTIF($H78:$L78,"نعم")=0,$D78-0,ROUND($D78/COUNTIF($G78:$L78,"نعم"),2))),IF($F78="مبالغ متفق عليها",IF(G78="نعم",M78,0),"")))</f>
      </c>
      <c r="U78" s="151" t="str">
        <f>IF(COUNTIF($A78:$S78,"&lt;&gt;")=0,"",IF($F78="بالتساوي بين المشاركين",IF(H78&lt;&gt;"نعم",0,IF(COUNTIF($I78:$L78,"نعم")=0,$D78-SUM($T78:T78),ROUND($D78/COUNTIF($G78:$L78,"نعم"),2))),IF($F78="مبالغ متفق عليها",IF(H78="نعم",N78,0),"")))</f>
      </c>
      <c r="V78" s="151" t="str">
        <f>IF(COUNTIF($A78:$S78,"&lt;&gt;")=0,"",IF($F78="بالتساوي بين المشاركين",IF(I78&lt;&gt;"نعم",0,IF(COUNTIF($J78:$L78,"نعم")=0,$D78-SUM($T78:U78),ROUND($D78/COUNTIF($G78:$L78,"نعم"),2))),IF($F78="مبالغ متفق عليها",IF(I78="نعم",O78,0),"")))</f>
      </c>
      <c r="W78" s="151" t="str">
        <f>IF(COUNTIF($A78:$S78,"&lt;&gt;")=0,"",IF($F78="بالتساوي بين المشاركين",IF(J78&lt;&gt;"نعم",0,IF(COUNTIF($K78:$L78,"نعم")=0,$D78-SUM($T78:V78),ROUND($D78/COUNTIF($G78:$L78,"نعم"),2))),IF($F78="مبالغ متفق عليها",IF(J78="نعم",P78,0),"")))</f>
      </c>
      <c r="X78" s="151" t="str">
        <f>IF(COUNTIF($A78:$S78,"&lt;&gt;")=0,"",IF($F78="بالتساوي بين المشاركين",IF(K78&lt;&gt;"نعم",0,IF(COUNTIF($L78:$L78,"نعم")=0,$D78-SUM($T78:W78),ROUND($D78/COUNTIF($G78:$L78,"نعم"),2))),IF($F78="مبالغ متفق عليها",IF(K78="نعم",Q78,0),"")))</f>
      </c>
      <c r="Y78" s="151" t="str">
        <f>IF(COUNTIF($A78:$S78,"&lt;&gt;")=0,"",IF($F78="بالتساوي بين المشاركين",IF(L78&lt;&gt;"نعم",0,IF(0=0,$D78-SUM($T78:X78),ROUND($D78/COUNTIF($G78:$L78,"نعم"),2))),IF($F78="مبالغ متفق عليها",IF(L78="نعم",R78,0),"")))</f>
      </c>
      <c r="Z78" s="165" t="str">
        <f>IF(COUNTIF($A78:$S78,"&lt;&gt;")=0,"",IF(OR($D78="",$D78&lt;=0),"أدخل مبلغًا أكبر من صفر.",IF($E78="","اختر الشخص الذي دفع المبلغ.",IF(COUNTIF($G78:$L78,"نعم")=0,"حدد شخصًا واحدًا على الأقل للمشاركة في المصروف.",IF($F78="بالتساوي بين المشاركين","جاهز",IF($F78="مبالغ متفق عليها",IF(OR(AND(G78="نعم",M78=""),AND(H78="نعم",N78=""),AND(I78="نعم",O78=""),AND(J78="نعم",P78=""),AND(K78="نعم",Q78=""),AND(L78="نعم",R78="")),"أدخل المبالغ المتفق عليها بحيث يساوي مجموعها مبلغ المصروف.",IF(ABS(SUM($M78:$R78))&lt;0.005,"أدخل المبالغ المتفق عليها بحيث يساوي مجموعها مبلغ المصروف.",IF(SUM($M78:$R78)&lt;$D78-0.005,"يتبقى للتوزيع: "&amp;ROUND($D78-SUM($M78:$R78),2)&amp;".",IF(SUM($M78:$R78)&gt;$D78+0.005,"يزيد مجموع الحصص على المصروف بمقدار "&amp;ROUND(SUM($M78:$R78)-$D78,2)&amp;".","جاهز")))),"أدخل المبالغ المتفق عليها بحيث يساوي مجموعها مبلغ المصروف."))))))</f>
      </c>
    </row>
    <row r="79">
      <c r="A79" s="149"/>
      <c r="B79" s="138"/>
      <c r="C79" s="138"/>
      <c r="D79" s="150"/>
      <c r="E79" s="138"/>
      <c r="F79" s="138"/>
      <c r="G79" s="138"/>
      <c r="H79" s="138"/>
      <c r="I79" s="138"/>
      <c r="J79" s="138"/>
      <c r="K79" s="138"/>
      <c r="L79" s="138"/>
      <c r="M79" s="150"/>
      <c r="N79" s="150"/>
      <c r="O79" s="150"/>
      <c r="P79" s="150"/>
      <c r="Q79" s="150"/>
      <c r="R79" s="150"/>
      <c r="S79" s="138"/>
      <c r="T79" s="151" t="str">
        <f>IF(COUNTIF($A79:$S79,"&lt;&gt;")=0,"",IF($F79="بالتساوي بين المشاركين",IF(G79&lt;&gt;"نعم",0,IF(COUNTIF($H79:$L79,"نعم")=0,$D79-0,ROUND($D79/COUNTIF($G79:$L79,"نعم"),2))),IF($F79="مبالغ متفق عليها",IF(G79="نعم",M79,0),"")))</f>
      </c>
      <c r="U79" s="151" t="str">
        <f>IF(COUNTIF($A79:$S79,"&lt;&gt;")=0,"",IF($F79="بالتساوي بين المشاركين",IF(H79&lt;&gt;"نعم",0,IF(COUNTIF($I79:$L79,"نعم")=0,$D79-SUM($T79:T79),ROUND($D79/COUNTIF($G79:$L79,"نعم"),2))),IF($F79="مبالغ متفق عليها",IF(H79="نعم",N79,0),"")))</f>
      </c>
      <c r="V79" s="151" t="str">
        <f>IF(COUNTIF($A79:$S79,"&lt;&gt;")=0,"",IF($F79="بالتساوي بين المشاركين",IF(I79&lt;&gt;"نعم",0,IF(COUNTIF($J79:$L79,"نعم")=0,$D79-SUM($T79:U79),ROUND($D79/COUNTIF($G79:$L79,"نعم"),2))),IF($F79="مبالغ متفق عليها",IF(I79="نعم",O79,0),"")))</f>
      </c>
      <c r="W79" s="151" t="str">
        <f>IF(COUNTIF($A79:$S79,"&lt;&gt;")=0,"",IF($F79="بالتساوي بين المشاركين",IF(J79&lt;&gt;"نعم",0,IF(COUNTIF($K79:$L79,"نعم")=0,$D79-SUM($T79:V79),ROUND($D79/COUNTIF($G79:$L79,"نعم"),2))),IF($F79="مبالغ متفق عليها",IF(J79="نعم",P79,0),"")))</f>
      </c>
      <c r="X79" s="151" t="str">
        <f>IF(COUNTIF($A79:$S79,"&lt;&gt;")=0,"",IF($F79="بالتساوي بين المشاركين",IF(K79&lt;&gt;"نعم",0,IF(COUNTIF($L79:$L79,"نعم")=0,$D79-SUM($T79:W79),ROUND($D79/COUNTIF($G79:$L79,"نعم"),2))),IF($F79="مبالغ متفق عليها",IF(K79="نعم",Q79,0),"")))</f>
      </c>
      <c r="Y79" s="151" t="str">
        <f>IF(COUNTIF($A79:$S79,"&lt;&gt;")=0,"",IF($F79="بالتساوي بين المشاركين",IF(L79&lt;&gt;"نعم",0,IF(0=0,$D79-SUM($T79:X79),ROUND($D79/COUNTIF($G79:$L79,"نعم"),2))),IF($F79="مبالغ متفق عليها",IF(L79="نعم",R79,0),"")))</f>
      </c>
      <c r="Z79" s="165" t="str">
        <f>IF(COUNTIF($A79:$S79,"&lt;&gt;")=0,"",IF(OR($D79="",$D79&lt;=0),"أدخل مبلغًا أكبر من صفر.",IF($E79="","اختر الشخص الذي دفع المبلغ.",IF(COUNTIF($G79:$L79,"نعم")=0,"حدد شخصًا واحدًا على الأقل للمشاركة في المصروف.",IF($F79="بالتساوي بين المشاركين","جاهز",IF($F79="مبالغ متفق عليها",IF(OR(AND(G79="نعم",M79=""),AND(H79="نعم",N79=""),AND(I79="نعم",O79=""),AND(J79="نعم",P79=""),AND(K79="نعم",Q79=""),AND(L79="نعم",R79="")),"أدخل المبالغ المتفق عليها بحيث يساوي مجموعها مبلغ المصروف.",IF(ABS(SUM($M79:$R79))&lt;0.005,"أدخل المبالغ المتفق عليها بحيث يساوي مجموعها مبلغ المصروف.",IF(SUM($M79:$R79)&lt;$D79-0.005,"يتبقى للتوزيع: "&amp;ROUND($D79-SUM($M79:$R79),2)&amp;".",IF(SUM($M79:$R79)&gt;$D79+0.005,"يزيد مجموع الحصص على المصروف بمقدار "&amp;ROUND(SUM($M79:$R79)-$D79,2)&amp;".","جاهز")))),"أدخل المبالغ المتفق عليها بحيث يساوي مجموعها مبلغ المصروف."))))))</f>
      </c>
    </row>
    <row r="80">
      <c r="A80" s="149"/>
      <c r="B80" s="138"/>
      <c r="C80" s="138"/>
      <c r="D80" s="150"/>
      <c r="E80" s="138"/>
      <c r="F80" s="138"/>
      <c r="G80" s="138"/>
      <c r="H80" s="138"/>
      <c r="I80" s="138"/>
      <c r="J80" s="138"/>
      <c r="K80" s="138"/>
      <c r="L80" s="138"/>
      <c r="M80" s="150"/>
      <c r="N80" s="150"/>
      <c r="O80" s="150"/>
      <c r="P80" s="150"/>
      <c r="Q80" s="150"/>
      <c r="R80" s="150"/>
      <c r="S80" s="138"/>
      <c r="T80" s="151" t="str">
        <f>IF(COUNTIF($A80:$S80,"&lt;&gt;")=0,"",IF($F80="بالتساوي بين المشاركين",IF(G80&lt;&gt;"نعم",0,IF(COUNTIF($H80:$L80,"نعم")=0,$D80-0,ROUND($D80/COUNTIF($G80:$L80,"نعم"),2))),IF($F80="مبالغ متفق عليها",IF(G80="نعم",M80,0),"")))</f>
      </c>
      <c r="U80" s="151" t="str">
        <f>IF(COUNTIF($A80:$S80,"&lt;&gt;")=0,"",IF($F80="بالتساوي بين المشاركين",IF(H80&lt;&gt;"نعم",0,IF(COUNTIF($I80:$L80,"نعم")=0,$D80-SUM($T80:T80),ROUND($D80/COUNTIF($G80:$L80,"نعم"),2))),IF($F80="مبالغ متفق عليها",IF(H80="نعم",N80,0),"")))</f>
      </c>
      <c r="V80" s="151" t="str">
        <f>IF(COUNTIF($A80:$S80,"&lt;&gt;")=0,"",IF($F80="بالتساوي بين المشاركين",IF(I80&lt;&gt;"نعم",0,IF(COUNTIF($J80:$L80,"نعم")=0,$D80-SUM($T80:U80),ROUND($D80/COUNTIF($G80:$L80,"نعم"),2))),IF($F80="مبالغ متفق عليها",IF(I80="نعم",O80,0),"")))</f>
      </c>
      <c r="W80" s="151" t="str">
        <f>IF(COUNTIF($A80:$S80,"&lt;&gt;")=0,"",IF($F80="بالتساوي بين المشاركين",IF(J80&lt;&gt;"نعم",0,IF(COUNTIF($K80:$L80,"نعم")=0,$D80-SUM($T80:V80),ROUND($D80/COUNTIF($G80:$L80,"نعم"),2))),IF($F80="مبالغ متفق عليها",IF(J80="نعم",P80,0),"")))</f>
      </c>
      <c r="X80" s="151" t="str">
        <f>IF(COUNTIF($A80:$S80,"&lt;&gt;")=0,"",IF($F80="بالتساوي بين المشاركين",IF(K80&lt;&gt;"نعم",0,IF(COUNTIF($L80:$L80,"نعم")=0,$D80-SUM($T80:W80),ROUND($D80/COUNTIF($G80:$L80,"نعم"),2))),IF($F80="مبالغ متفق عليها",IF(K80="نعم",Q80,0),"")))</f>
      </c>
      <c r="Y80" s="151" t="str">
        <f>IF(COUNTIF($A80:$S80,"&lt;&gt;")=0,"",IF($F80="بالتساوي بين المشاركين",IF(L80&lt;&gt;"نعم",0,IF(0=0,$D80-SUM($T80:X80),ROUND($D80/COUNTIF($G80:$L80,"نعم"),2))),IF($F80="مبالغ متفق عليها",IF(L80="نعم",R80,0),"")))</f>
      </c>
      <c r="Z80" s="165" t="str">
        <f>IF(COUNTIF($A80:$S80,"&lt;&gt;")=0,"",IF(OR($D80="",$D80&lt;=0),"أدخل مبلغًا أكبر من صفر.",IF($E80="","اختر الشخص الذي دفع المبلغ.",IF(COUNTIF($G80:$L80,"نعم")=0,"حدد شخصًا واحدًا على الأقل للمشاركة في المصروف.",IF($F80="بالتساوي بين المشاركين","جاهز",IF($F80="مبالغ متفق عليها",IF(OR(AND(G80="نعم",M80=""),AND(H80="نعم",N80=""),AND(I80="نعم",O80=""),AND(J80="نعم",P80=""),AND(K80="نعم",Q80=""),AND(L80="نعم",R80="")),"أدخل المبالغ المتفق عليها بحيث يساوي مجموعها مبلغ المصروف.",IF(ABS(SUM($M80:$R80))&lt;0.005,"أدخل المبالغ المتفق عليها بحيث يساوي مجموعها مبلغ المصروف.",IF(SUM($M80:$R80)&lt;$D80-0.005,"يتبقى للتوزيع: "&amp;ROUND($D80-SUM($M80:$R80),2)&amp;".",IF(SUM($M80:$R80)&gt;$D80+0.005,"يزيد مجموع الحصص على المصروف بمقدار "&amp;ROUND(SUM($M80:$R80)-$D80,2)&amp;".","جاهز")))),"أدخل المبالغ المتفق عليها بحيث يساوي مجموعها مبلغ المصروف."))))))</f>
      </c>
    </row>
    <row r="81">
      <c r="A81" s="149"/>
      <c r="B81" s="138"/>
      <c r="C81" s="138"/>
      <c r="D81" s="150"/>
      <c r="E81" s="138"/>
      <c r="F81" s="138"/>
      <c r="G81" s="138"/>
      <c r="H81" s="138"/>
      <c r="I81" s="138"/>
      <c r="J81" s="138"/>
      <c r="K81" s="138"/>
      <c r="L81" s="138"/>
      <c r="M81" s="150"/>
      <c r="N81" s="150"/>
      <c r="O81" s="150"/>
      <c r="P81" s="150"/>
      <c r="Q81" s="150"/>
      <c r="R81" s="150"/>
      <c r="S81" s="138"/>
      <c r="T81" s="151" t="str">
        <f>IF(COUNTIF($A81:$S81,"&lt;&gt;")=0,"",IF($F81="بالتساوي بين المشاركين",IF(G81&lt;&gt;"نعم",0,IF(COUNTIF($H81:$L81,"نعم")=0,$D81-0,ROUND($D81/COUNTIF($G81:$L81,"نعم"),2))),IF($F81="مبالغ متفق عليها",IF(G81="نعم",M81,0),"")))</f>
      </c>
      <c r="U81" s="151" t="str">
        <f>IF(COUNTIF($A81:$S81,"&lt;&gt;")=0,"",IF($F81="بالتساوي بين المشاركين",IF(H81&lt;&gt;"نعم",0,IF(COUNTIF($I81:$L81,"نعم")=0,$D81-SUM($T81:T81),ROUND($D81/COUNTIF($G81:$L81,"نعم"),2))),IF($F81="مبالغ متفق عليها",IF(H81="نعم",N81,0),"")))</f>
      </c>
      <c r="V81" s="151" t="str">
        <f>IF(COUNTIF($A81:$S81,"&lt;&gt;")=0,"",IF($F81="بالتساوي بين المشاركين",IF(I81&lt;&gt;"نعم",0,IF(COUNTIF($J81:$L81,"نعم")=0,$D81-SUM($T81:U81),ROUND($D81/COUNTIF($G81:$L81,"نعم"),2))),IF($F81="مبالغ متفق عليها",IF(I81="نعم",O81,0),"")))</f>
      </c>
      <c r="W81" s="151" t="str">
        <f>IF(COUNTIF($A81:$S81,"&lt;&gt;")=0,"",IF($F81="بالتساوي بين المشاركين",IF(J81&lt;&gt;"نعم",0,IF(COUNTIF($K81:$L81,"نعم")=0,$D81-SUM($T81:V81),ROUND($D81/COUNTIF($G81:$L81,"نعم"),2))),IF($F81="مبالغ متفق عليها",IF(J81="نعم",P81,0),"")))</f>
      </c>
      <c r="X81" s="151" t="str">
        <f>IF(COUNTIF($A81:$S81,"&lt;&gt;")=0,"",IF($F81="بالتساوي بين المشاركين",IF(K81&lt;&gt;"نعم",0,IF(COUNTIF($L81:$L81,"نعم")=0,$D81-SUM($T81:W81),ROUND($D81/COUNTIF($G81:$L81,"نعم"),2))),IF($F81="مبالغ متفق عليها",IF(K81="نعم",Q81,0),"")))</f>
      </c>
      <c r="Y81" s="151" t="str">
        <f>IF(COUNTIF($A81:$S81,"&lt;&gt;")=0,"",IF($F81="بالتساوي بين المشاركين",IF(L81&lt;&gt;"نعم",0,IF(0=0,$D81-SUM($T81:X81),ROUND($D81/COUNTIF($G81:$L81,"نعم"),2))),IF($F81="مبالغ متفق عليها",IF(L81="نعم",R81,0),"")))</f>
      </c>
      <c r="Z81" s="165" t="str">
        <f>IF(COUNTIF($A81:$S81,"&lt;&gt;")=0,"",IF(OR($D81="",$D81&lt;=0),"أدخل مبلغًا أكبر من صفر.",IF($E81="","اختر الشخص الذي دفع المبلغ.",IF(COUNTIF($G81:$L81,"نعم")=0,"حدد شخصًا واحدًا على الأقل للمشاركة في المصروف.",IF($F81="بالتساوي بين المشاركين","جاهز",IF($F81="مبالغ متفق عليها",IF(OR(AND(G81="نعم",M81=""),AND(H81="نعم",N81=""),AND(I81="نعم",O81=""),AND(J81="نعم",P81=""),AND(K81="نعم",Q81=""),AND(L81="نعم",R81="")),"أدخل المبالغ المتفق عليها بحيث يساوي مجموعها مبلغ المصروف.",IF(ABS(SUM($M81:$R81))&lt;0.005,"أدخل المبالغ المتفق عليها بحيث يساوي مجموعها مبلغ المصروف.",IF(SUM($M81:$R81)&lt;$D81-0.005,"يتبقى للتوزيع: "&amp;ROUND($D81-SUM($M81:$R81),2)&amp;".",IF(SUM($M81:$R81)&gt;$D81+0.005,"يزيد مجموع الحصص على المصروف بمقدار "&amp;ROUND(SUM($M81:$R81)-$D81,2)&amp;".","جاهز")))),"أدخل المبالغ المتفق عليها بحيث يساوي مجموعها مبلغ المصروف."))))))</f>
      </c>
    </row>
    <row r="82">
      <c r="A82" s="149"/>
      <c r="B82" s="138"/>
      <c r="C82" s="138"/>
      <c r="D82" s="150"/>
      <c r="E82" s="138"/>
      <c r="F82" s="138"/>
      <c r="G82" s="138"/>
      <c r="H82" s="138"/>
      <c r="I82" s="138"/>
      <c r="J82" s="138"/>
      <c r="K82" s="138"/>
      <c r="L82" s="138"/>
      <c r="M82" s="150"/>
      <c r="N82" s="150"/>
      <c r="O82" s="150"/>
      <c r="P82" s="150"/>
      <c r="Q82" s="150"/>
      <c r="R82" s="150"/>
      <c r="S82" s="138"/>
      <c r="T82" s="151" t="str">
        <f>IF(COUNTIF($A82:$S82,"&lt;&gt;")=0,"",IF($F82="بالتساوي بين المشاركين",IF(G82&lt;&gt;"نعم",0,IF(COUNTIF($H82:$L82,"نعم")=0,$D82-0,ROUND($D82/COUNTIF($G82:$L82,"نعم"),2))),IF($F82="مبالغ متفق عليها",IF(G82="نعم",M82,0),"")))</f>
      </c>
      <c r="U82" s="151" t="str">
        <f>IF(COUNTIF($A82:$S82,"&lt;&gt;")=0,"",IF($F82="بالتساوي بين المشاركين",IF(H82&lt;&gt;"نعم",0,IF(COUNTIF($I82:$L82,"نعم")=0,$D82-SUM($T82:T82),ROUND($D82/COUNTIF($G82:$L82,"نعم"),2))),IF($F82="مبالغ متفق عليها",IF(H82="نعم",N82,0),"")))</f>
      </c>
      <c r="V82" s="151" t="str">
        <f>IF(COUNTIF($A82:$S82,"&lt;&gt;")=0,"",IF($F82="بالتساوي بين المشاركين",IF(I82&lt;&gt;"نعم",0,IF(COUNTIF($J82:$L82,"نعم")=0,$D82-SUM($T82:U82),ROUND($D82/COUNTIF($G82:$L82,"نعم"),2))),IF($F82="مبالغ متفق عليها",IF(I82="نعم",O82,0),"")))</f>
      </c>
      <c r="W82" s="151" t="str">
        <f>IF(COUNTIF($A82:$S82,"&lt;&gt;")=0,"",IF($F82="بالتساوي بين المشاركين",IF(J82&lt;&gt;"نعم",0,IF(COUNTIF($K82:$L82,"نعم")=0,$D82-SUM($T82:V82),ROUND($D82/COUNTIF($G82:$L82,"نعم"),2))),IF($F82="مبالغ متفق عليها",IF(J82="نعم",P82,0),"")))</f>
      </c>
      <c r="X82" s="151" t="str">
        <f>IF(COUNTIF($A82:$S82,"&lt;&gt;")=0,"",IF($F82="بالتساوي بين المشاركين",IF(K82&lt;&gt;"نعم",0,IF(COUNTIF($L82:$L82,"نعم")=0,$D82-SUM($T82:W82),ROUND($D82/COUNTIF($G82:$L82,"نعم"),2))),IF($F82="مبالغ متفق عليها",IF(K82="نعم",Q82,0),"")))</f>
      </c>
      <c r="Y82" s="151" t="str">
        <f>IF(COUNTIF($A82:$S82,"&lt;&gt;")=0,"",IF($F82="بالتساوي بين المشاركين",IF(L82&lt;&gt;"نعم",0,IF(0=0,$D82-SUM($T82:X82),ROUND($D82/COUNTIF($G82:$L82,"نعم"),2))),IF($F82="مبالغ متفق عليها",IF(L82="نعم",R82,0),"")))</f>
      </c>
      <c r="Z82" s="165" t="str">
        <f>IF(COUNTIF($A82:$S82,"&lt;&gt;")=0,"",IF(OR($D82="",$D82&lt;=0),"أدخل مبلغًا أكبر من صفر.",IF($E82="","اختر الشخص الذي دفع المبلغ.",IF(COUNTIF($G82:$L82,"نعم")=0,"حدد شخصًا واحدًا على الأقل للمشاركة في المصروف.",IF($F82="بالتساوي بين المشاركين","جاهز",IF($F82="مبالغ متفق عليها",IF(OR(AND(G82="نعم",M82=""),AND(H82="نعم",N82=""),AND(I82="نعم",O82=""),AND(J82="نعم",P82=""),AND(K82="نعم",Q82=""),AND(L82="نعم",R82="")),"أدخل المبالغ المتفق عليها بحيث يساوي مجموعها مبلغ المصروف.",IF(ABS(SUM($M82:$R82))&lt;0.005,"أدخل المبالغ المتفق عليها بحيث يساوي مجموعها مبلغ المصروف.",IF(SUM($M82:$R82)&lt;$D82-0.005,"يتبقى للتوزيع: "&amp;ROUND($D82-SUM($M82:$R82),2)&amp;".",IF(SUM($M82:$R82)&gt;$D82+0.005,"يزيد مجموع الحصص على المصروف بمقدار "&amp;ROUND(SUM($M82:$R82)-$D82,2)&amp;".","جاهز")))),"أدخل المبالغ المتفق عليها بحيث يساوي مجموعها مبلغ المصروف."))))))</f>
      </c>
    </row>
    <row r="83">
      <c r="A83" s="149"/>
      <c r="B83" s="138"/>
      <c r="C83" s="138"/>
      <c r="D83" s="150"/>
      <c r="E83" s="138"/>
      <c r="F83" s="138"/>
      <c r="G83" s="138"/>
      <c r="H83" s="138"/>
      <c r="I83" s="138"/>
      <c r="J83" s="138"/>
      <c r="K83" s="138"/>
      <c r="L83" s="138"/>
      <c r="M83" s="150"/>
      <c r="N83" s="150"/>
      <c r="O83" s="150"/>
      <c r="P83" s="150"/>
      <c r="Q83" s="150"/>
      <c r="R83" s="150"/>
      <c r="S83" s="138"/>
      <c r="T83" s="151" t="str">
        <f>IF(COUNTIF($A83:$S83,"&lt;&gt;")=0,"",IF($F83="بالتساوي بين المشاركين",IF(G83&lt;&gt;"نعم",0,IF(COUNTIF($H83:$L83,"نعم")=0,$D83-0,ROUND($D83/COUNTIF($G83:$L83,"نعم"),2))),IF($F83="مبالغ متفق عليها",IF(G83="نعم",M83,0),"")))</f>
      </c>
      <c r="U83" s="151" t="str">
        <f>IF(COUNTIF($A83:$S83,"&lt;&gt;")=0,"",IF($F83="بالتساوي بين المشاركين",IF(H83&lt;&gt;"نعم",0,IF(COUNTIF($I83:$L83,"نعم")=0,$D83-SUM($T83:T83),ROUND($D83/COUNTIF($G83:$L83,"نعم"),2))),IF($F83="مبالغ متفق عليها",IF(H83="نعم",N83,0),"")))</f>
      </c>
      <c r="V83" s="151" t="str">
        <f>IF(COUNTIF($A83:$S83,"&lt;&gt;")=0,"",IF($F83="بالتساوي بين المشاركين",IF(I83&lt;&gt;"نعم",0,IF(COUNTIF($J83:$L83,"نعم")=0,$D83-SUM($T83:U83),ROUND($D83/COUNTIF($G83:$L83,"نعم"),2))),IF($F83="مبالغ متفق عليها",IF(I83="نعم",O83,0),"")))</f>
      </c>
      <c r="W83" s="151" t="str">
        <f>IF(COUNTIF($A83:$S83,"&lt;&gt;")=0,"",IF($F83="بالتساوي بين المشاركين",IF(J83&lt;&gt;"نعم",0,IF(COUNTIF($K83:$L83,"نعم")=0,$D83-SUM($T83:V83),ROUND($D83/COUNTIF($G83:$L83,"نعم"),2))),IF($F83="مبالغ متفق عليها",IF(J83="نعم",P83,0),"")))</f>
      </c>
      <c r="X83" s="151" t="str">
        <f>IF(COUNTIF($A83:$S83,"&lt;&gt;")=0,"",IF($F83="بالتساوي بين المشاركين",IF(K83&lt;&gt;"نعم",0,IF(COUNTIF($L83:$L83,"نعم")=0,$D83-SUM($T83:W83),ROUND($D83/COUNTIF($G83:$L83,"نعم"),2))),IF($F83="مبالغ متفق عليها",IF(K83="نعم",Q83,0),"")))</f>
      </c>
      <c r="Y83" s="151" t="str">
        <f>IF(COUNTIF($A83:$S83,"&lt;&gt;")=0,"",IF($F83="بالتساوي بين المشاركين",IF(L83&lt;&gt;"نعم",0,IF(0=0,$D83-SUM($T83:X83),ROUND($D83/COUNTIF($G83:$L83,"نعم"),2))),IF($F83="مبالغ متفق عليها",IF(L83="نعم",R83,0),"")))</f>
      </c>
      <c r="Z83" s="165" t="str">
        <f>IF(COUNTIF($A83:$S83,"&lt;&gt;")=0,"",IF(OR($D83="",$D83&lt;=0),"أدخل مبلغًا أكبر من صفر.",IF($E83="","اختر الشخص الذي دفع المبلغ.",IF(COUNTIF($G83:$L83,"نعم")=0,"حدد شخصًا واحدًا على الأقل للمشاركة في المصروف.",IF($F83="بالتساوي بين المشاركين","جاهز",IF($F83="مبالغ متفق عليها",IF(OR(AND(G83="نعم",M83=""),AND(H83="نعم",N83=""),AND(I83="نعم",O83=""),AND(J83="نعم",P83=""),AND(K83="نعم",Q83=""),AND(L83="نعم",R83="")),"أدخل المبالغ المتفق عليها بحيث يساوي مجموعها مبلغ المصروف.",IF(ABS(SUM($M83:$R83))&lt;0.005,"أدخل المبالغ المتفق عليها بحيث يساوي مجموعها مبلغ المصروف.",IF(SUM($M83:$R83)&lt;$D83-0.005,"يتبقى للتوزيع: "&amp;ROUND($D83-SUM($M83:$R83),2)&amp;".",IF(SUM($M83:$R83)&gt;$D83+0.005,"يزيد مجموع الحصص على المصروف بمقدار "&amp;ROUND(SUM($M83:$R83)-$D83,2)&amp;".","جاهز")))),"أدخل المبالغ المتفق عليها بحيث يساوي مجموعها مبلغ المصروف."))))))</f>
      </c>
    </row>
    <row r="84">
      <c r="A84" s="149"/>
      <c r="B84" s="138"/>
      <c r="C84" s="138"/>
      <c r="D84" s="150"/>
      <c r="E84" s="138"/>
      <c r="F84" s="138"/>
      <c r="G84" s="138"/>
      <c r="H84" s="138"/>
      <c r="I84" s="138"/>
      <c r="J84" s="138"/>
      <c r="K84" s="138"/>
      <c r="L84" s="138"/>
      <c r="M84" s="150"/>
      <c r="N84" s="150"/>
      <c r="O84" s="150"/>
      <c r="P84" s="150"/>
      <c r="Q84" s="150"/>
      <c r="R84" s="150"/>
      <c r="S84" s="138"/>
      <c r="T84" s="151" t="str">
        <f>IF(COUNTIF($A84:$S84,"&lt;&gt;")=0,"",IF($F84="بالتساوي بين المشاركين",IF(G84&lt;&gt;"نعم",0,IF(COUNTIF($H84:$L84,"نعم")=0,$D84-0,ROUND($D84/COUNTIF($G84:$L84,"نعم"),2))),IF($F84="مبالغ متفق عليها",IF(G84="نعم",M84,0),"")))</f>
      </c>
      <c r="U84" s="151" t="str">
        <f>IF(COUNTIF($A84:$S84,"&lt;&gt;")=0,"",IF($F84="بالتساوي بين المشاركين",IF(H84&lt;&gt;"نعم",0,IF(COUNTIF($I84:$L84,"نعم")=0,$D84-SUM($T84:T84),ROUND($D84/COUNTIF($G84:$L84,"نعم"),2))),IF($F84="مبالغ متفق عليها",IF(H84="نعم",N84,0),"")))</f>
      </c>
      <c r="V84" s="151" t="str">
        <f>IF(COUNTIF($A84:$S84,"&lt;&gt;")=0,"",IF($F84="بالتساوي بين المشاركين",IF(I84&lt;&gt;"نعم",0,IF(COUNTIF($J84:$L84,"نعم")=0,$D84-SUM($T84:U84),ROUND($D84/COUNTIF($G84:$L84,"نعم"),2))),IF($F84="مبالغ متفق عليها",IF(I84="نعم",O84,0),"")))</f>
      </c>
      <c r="W84" s="151" t="str">
        <f>IF(COUNTIF($A84:$S84,"&lt;&gt;")=0,"",IF($F84="بالتساوي بين المشاركين",IF(J84&lt;&gt;"نعم",0,IF(COUNTIF($K84:$L84,"نعم")=0,$D84-SUM($T84:V84),ROUND($D84/COUNTIF($G84:$L84,"نعم"),2))),IF($F84="مبالغ متفق عليها",IF(J84="نعم",P84,0),"")))</f>
      </c>
      <c r="X84" s="151" t="str">
        <f>IF(COUNTIF($A84:$S84,"&lt;&gt;")=0,"",IF($F84="بالتساوي بين المشاركين",IF(K84&lt;&gt;"نعم",0,IF(COUNTIF($L84:$L84,"نعم")=0,$D84-SUM($T84:W84),ROUND($D84/COUNTIF($G84:$L84,"نعم"),2))),IF($F84="مبالغ متفق عليها",IF(K84="نعم",Q84,0),"")))</f>
      </c>
      <c r="Y84" s="151" t="str">
        <f>IF(COUNTIF($A84:$S84,"&lt;&gt;")=0,"",IF($F84="بالتساوي بين المشاركين",IF(L84&lt;&gt;"نعم",0,IF(0=0,$D84-SUM($T84:X84),ROUND($D84/COUNTIF($G84:$L84,"نعم"),2))),IF($F84="مبالغ متفق عليها",IF(L84="نعم",R84,0),"")))</f>
      </c>
      <c r="Z84" s="165" t="str">
        <f>IF(COUNTIF($A84:$S84,"&lt;&gt;")=0,"",IF(OR($D84="",$D84&lt;=0),"أدخل مبلغًا أكبر من صفر.",IF($E84="","اختر الشخص الذي دفع المبلغ.",IF(COUNTIF($G84:$L84,"نعم")=0,"حدد شخصًا واحدًا على الأقل للمشاركة في المصروف.",IF($F84="بالتساوي بين المشاركين","جاهز",IF($F84="مبالغ متفق عليها",IF(OR(AND(G84="نعم",M84=""),AND(H84="نعم",N84=""),AND(I84="نعم",O84=""),AND(J84="نعم",P84=""),AND(K84="نعم",Q84=""),AND(L84="نعم",R84="")),"أدخل المبالغ المتفق عليها بحيث يساوي مجموعها مبلغ المصروف.",IF(ABS(SUM($M84:$R84))&lt;0.005,"أدخل المبالغ المتفق عليها بحيث يساوي مجموعها مبلغ المصروف.",IF(SUM($M84:$R84)&lt;$D84-0.005,"يتبقى للتوزيع: "&amp;ROUND($D84-SUM($M84:$R84),2)&amp;".",IF(SUM($M84:$R84)&gt;$D84+0.005,"يزيد مجموع الحصص على المصروف بمقدار "&amp;ROUND(SUM($M84:$R84)-$D84,2)&amp;".","جاهز")))),"أدخل المبالغ المتفق عليها بحيث يساوي مجموعها مبلغ المصروف."))))))</f>
      </c>
    </row>
    <row r="85">
      <c r="A85" s="149"/>
      <c r="B85" s="138"/>
      <c r="C85" s="138"/>
      <c r="D85" s="150"/>
      <c r="E85" s="138"/>
      <c r="F85" s="138"/>
      <c r="G85" s="138"/>
      <c r="H85" s="138"/>
      <c r="I85" s="138"/>
      <c r="J85" s="138"/>
      <c r="K85" s="138"/>
      <c r="L85" s="138"/>
      <c r="M85" s="150"/>
      <c r="N85" s="150"/>
      <c r="O85" s="150"/>
      <c r="P85" s="150"/>
      <c r="Q85" s="150"/>
      <c r="R85" s="150"/>
      <c r="S85" s="138"/>
      <c r="T85" s="151" t="str">
        <f>IF(COUNTIF($A85:$S85,"&lt;&gt;")=0,"",IF($F85="بالتساوي بين المشاركين",IF(G85&lt;&gt;"نعم",0,IF(COUNTIF($H85:$L85,"نعم")=0,$D85-0,ROUND($D85/COUNTIF($G85:$L85,"نعم"),2))),IF($F85="مبالغ متفق عليها",IF(G85="نعم",M85,0),"")))</f>
      </c>
      <c r="U85" s="151" t="str">
        <f>IF(COUNTIF($A85:$S85,"&lt;&gt;")=0,"",IF($F85="بالتساوي بين المشاركين",IF(H85&lt;&gt;"نعم",0,IF(COUNTIF($I85:$L85,"نعم")=0,$D85-SUM($T85:T85),ROUND($D85/COUNTIF($G85:$L85,"نعم"),2))),IF($F85="مبالغ متفق عليها",IF(H85="نعم",N85,0),"")))</f>
      </c>
      <c r="V85" s="151" t="str">
        <f>IF(COUNTIF($A85:$S85,"&lt;&gt;")=0,"",IF($F85="بالتساوي بين المشاركين",IF(I85&lt;&gt;"نعم",0,IF(COUNTIF($J85:$L85,"نعم")=0,$D85-SUM($T85:U85),ROUND($D85/COUNTIF($G85:$L85,"نعم"),2))),IF($F85="مبالغ متفق عليها",IF(I85="نعم",O85,0),"")))</f>
      </c>
      <c r="W85" s="151" t="str">
        <f>IF(COUNTIF($A85:$S85,"&lt;&gt;")=0,"",IF($F85="بالتساوي بين المشاركين",IF(J85&lt;&gt;"نعم",0,IF(COUNTIF($K85:$L85,"نعم")=0,$D85-SUM($T85:V85),ROUND($D85/COUNTIF($G85:$L85,"نعم"),2))),IF($F85="مبالغ متفق عليها",IF(J85="نعم",P85,0),"")))</f>
      </c>
      <c r="X85" s="151" t="str">
        <f>IF(COUNTIF($A85:$S85,"&lt;&gt;")=0,"",IF($F85="بالتساوي بين المشاركين",IF(K85&lt;&gt;"نعم",0,IF(COUNTIF($L85:$L85,"نعم")=0,$D85-SUM($T85:W85),ROUND($D85/COUNTIF($G85:$L85,"نعم"),2))),IF($F85="مبالغ متفق عليها",IF(K85="نعم",Q85,0),"")))</f>
      </c>
      <c r="Y85" s="151" t="str">
        <f>IF(COUNTIF($A85:$S85,"&lt;&gt;")=0,"",IF($F85="بالتساوي بين المشاركين",IF(L85&lt;&gt;"نعم",0,IF(0=0,$D85-SUM($T85:X85),ROUND($D85/COUNTIF($G85:$L85,"نعم"),2))),IF($F85="مبالغ متفق عليها",IF(L85="نعم",R85,0),"")))</f>
      </c>
      <c r="Z85" s="165" t="str">
        <f>IF(COUNTIF($A85:$S85,"&lt;&gt;")=0,"",IF(OR($D85="",$D85&lt;=0),"أدخل مبلغًا أكبر من صفر.",IF($E85="","اختر الشخص الذي دفع المبلغ.",IF(COUNTIF($G85:$L85,"نعم")=0,"حدد شخصًا واحدًا على الأقل للمشاركة في المصروف.",IF($F85="بالتساوي بين المشاركين","جاهز",IF($F85="مبالغ متفق عليها",IF(OR(AND(G85="نعم",M85=""),AND(H85="نعم",N85=""),AND(I85="نعم",O85=""),AND(J85="نعم",P85=""),AND(K85="نعم",Q85=""),AND(L85="نعم",R85="")),"أدخل المبالغ المتفق عليها بحيث يساوي مجموعها مبلغ المصروف.",IF(ABS(SUM($M85:$R85))&lt;0.005,"أدخل المبالغ المتفق عليها بحيث يساوي مجموعها مبلغ المصروف.",IF(SUM($M85:$R85)&lt;$D85-0.005,"يتبقى للتوزيع: "&amp;ROUND($D85-SUM($M85:$R85),2)&amp;".",IF(SUM($M85:$R85)&gt;$D85+0.005,"يزيد مجموع الحصص على المصروف بمقدار "&amp;ROUND(SUM($M85:$R85)-$D85,2)&amp;".","جاهز")))),"أدخل المبالغ المتفق عليها بحيث يساوي مجموعها مبلغ المصروف."))))))</f>
      </c>
    </row>
    <row r="86">
      <c r="A86" s="149"/>
      <c r="B86" s="138"/>
      <c r="C86" s="138"/>
      <c r="D86" s="150"/>
      <c r="E86" s="138"/>
      <c r="F86" s="138"/>
      <c r="G86" s="138"/>
      <c r="H86" s="138"/>
      <c r="I86" s="138"/>
      <c r="J86" s="138"/>
      <c r="K86" s="138"/>
      <c r="L86" s="138"/>
      <c r="M86" s="150"/>
      <c r="N86" s="150"/>
      <c r="O86" s="150"/>
      <c r="P86" s="150"/>
      <c r="Q86" s="150"/>
      <c r="R86" s="150"/>
      <c r="S86" s="138"/>
      <c r="T86" s="151" t="str">
        <f>IF(COUNTIF($A86:$S86,"&lt;&gt;")=0,"",IF($F86="بالتساوي بين المشاركين",IF(G86&lt;&gt;"نعم",0,IF(COUNTIF($H86:$L86,"نعم")=0,$D86-0,ROUND($D86/COUNTIF($G86:$L86,"نعم"),2))),IF($F86="مبالغ متفق عليها",IF(G86="نعم",M86,0),"")))</f>
      </c>
      <c r="U86" s="151" t="str">
        <f>IF(COUNTIF($A86:$S86,"&lt;&gt;")=0,"",IF($F86="بالتساوي بين المشاركين",IF(H86&lt;&gt;"نعم",0,IF(COUNTIF($I86:$L86,"نعم")=0,$D86-SUM($T86:T86),ROUND($D86/COUNTIF($G86:$L86,"نعم"),2))),IF($F86="مبالغ متفق عليها",IF(H86="نعم",N86,0),"")))</f>
      </c>
      <c r="V86" s="151" t="str">
        <f>IF(COUNTIF($A86:$S86,"&lt;&gt;")=0,"",IF($F86="بالتساوي بين المشاركين",IF(I86&lt;&gt;"نعم",0,IF(COUNTIF($J86:$L86,"نعم")=0,$D86-SUM($T86:U86),ROUND($D86/COUNTIF($G86:$L86,"نعم"),2))),IF($F86="مبالغ متفق عليها",IF(I86="نعم",O86,0),"")))</f>
      </c>
      <c r="W86" s="151" t="str">
        <f>IF(COUNTIF($A86:$S86,"&lt;&gt;")=0,"",IF($F86="بالتساوي بين المشاركين",IF(J86&lt;&gt;"نعم",0,IF(COUNTIF($K86:$L86,"نعم")=0,$D86-SUM($T86:V86),ROUND($D86/COUNTIF($G86:$L86,"نعم"),2))),IF($F86="مبالغ متفق عليها",IF(J86="نعم",P86,0),"")))</f>
      </c>
      <c r="X86" s="151" t="str">
        <f>IF(COUNTIF($A86:$S86,"&lt;&gt;")=0,"",IF($F86="بالتساوي بين المشاركين",IF(K86&lt;&gt;"نعم",0,IF(COUNTIF($L86:$L86,"نعم")=0,$D86-SUM($T86:W86),ROUND($D86/COUNTIF($G86:$L86,"نعم"),2))),IF($F86="مبالغ متفق عليها",IF(K86="نعم",Q86,0),"")))</f>
      </c>
      <c r="Y86" s="151" t="str">
        <f>IF(COUNTIF($A86:$S86,"&lt;&gt;")=0,"",IF($F86="بالتساوي بين المشاركين",IF(L86&lt;&gt;"نعم",0,IF(0=0,$D86-SUM($T86:X86),ROUND($D86/COUNTIF($G86:$L86,"نعم"),2))),IF($F86="مبالغ متفق عليها",IF(L86="نعم",R86,0),"")))</f>
      </c>
      <c r="Z86" s="165" t="str">
        <f>IF(COUNTIF($A86:$S86,"&lt;&gt;")=0,"",IF(OR($D86="",$D86&lt;=0),"أدخل مبلغًا أكبر من صفر.",IF($E86="","اختر الشخص الذي دفع المبلغ.",IF(COUNTIF($G86:$L86,"نعم")=0,"حدد شخصًا واحدًا على الأقل للمشاركة في المصروف.",IF($F86="بالتساوي بين المشاركين","جاهز",IF($F86="مبالغ متفق عليها",IF(OR(AND(G86="نعم",M86=""),AND(H86="نعم",N86=""),AND(I86="نعم",O86=""),AND(J86="نعم",P86=""),AND(K86="نعم",Q86=""),AND(L86="نعم",R86="")),"أدخل المبالغ المتفق عليها بحيث يساوي مجموعها مبلغ المصروف.",IF(ABS(SUM($M86:$R86))&lt;0.005,"أدخل المبالغ المتفق عليها بحيث يساوي مجموعها مبلغ المصروف.",IF(SUM($M86:$R86)&lt;$D86-0.005,"يتبقى للتوزيع: "&amp;ROUND($D86-SUM($M86:$R86),2)&amp;".",IF(SUM($M86:$R86)&gt;$D86+0.005,"يزيد مجموع الحصص على المصروف بمقدار "&amp;ROUND(SUM($M86:$R86)-$D86,2)&amp;".","جاهز")))),"أدخل المبالغ المتفق عليها بحيث يساوي مجموعها مبلغ المصروف."))))))</f>
      </c>
    </row>
    <row r="87">
      <c r="A87" s="149"/>
      <c r="B87" s="138"/>
      <c r="C87" s="138"/>
      <c r="D87" s="150"/>
      <c r="E87" s="138"/>
      <c r="F87" s="138"/>
      <c r="G87" s="138"/>
      <c r="H87" s="138"/>
      <c r="I87" s="138"/>
      <c r="J87" s="138"/>
      <c r="K87" s="138"/>
      <c r="L87" s="138"/>
      <c r="M87" s="150"/>
      <c r="N87" s="150"/>
      <c r="O87" s="150"/>
      <c r="P87" s="150"/>
      <c r="Q87" s="150"/>
      <c r="R87" s="150"/>
      <c r="S87" s="138"/>
      <c r="T87" s="151" t="str">
        <f>IF(COUNTIF($A87:$S87,"&lt;&gt;")=0,"",IF($F87="بالتساوي بين المشاركين",IF(G87&lt;&gt;"نعم",0,IF(COUNTIF($H87:$L87,"نعم")=0,$D87-0,ROUND($D87/COUNTIF($G87:$L87,"نعم"),2))),IF($F87="مبالغ متفق عليها",IF(G87="نعم",M87,0),"")))</f>
      </c>
      <c r="U87" s="151" t="str">
        <f>IF(COUNTIF($A87:$S87,"&lt;&gt;")=0,"",IF($F87="بالتساوي بين المشاركين",IF(H87&lt;&gt;"نعم",0,IF(COUNTIF($I87:$L87,"نعم")=0,$D87-SUM($T87:T87),ROUND($D87/COUNTIF($G87:$L87,"نعم"),2))),IF($F87="مبالغ متفق عليها",IF(H87="نعم",N87,0),"")))</f>
      </c>
      <c r="V87" s="151" t="str">
        <f>IF(COUNTIF($A87:$S87,"&lt;&gt;")=0,"",IF($F87="بالتساوي بين المشاركين",IF(I87&lt;&gt;"نعم",0,IF(COUNTIF($J87:$L87,"نعم")=0,$D87-SUM($T87:U87),ROUND($D87/COUNTIF($G87:$L87,"نعم"),2))),IF($F87="مبالغ متفق عليها",IF(I87="نعم",O87,0),"")))</f>
      </c>
      <c r="W87" s="151" t="str">
        <f>IF(COUNTIF($A87:$S87,"&lt;&gt;")=0,"",IF($F87="بالتساوي بين المشاركين",IF(J87&lt;&gt;"نعم",0,IF(COUNTIF($K87:$L87,"نعم")=0,$D87-SUM($T87:V87),ROUND($D87/COUNTIF($G87:$L87,"نعم"),2))),IF($F87="مبالغ متفق عليها",IF(J87="نعم",P87,0),"")))</f>
      </c>
      <c r="X87" s="151" t="str">
        <f>IF(COUNTIF($A87:$S87,"&lt;&gt;")=0,"",IF($F87="بالتساوي بين المشاركين",IF(K87&lt;&gt;"نعم",0,IF(COUNTIF($L87:$L87,"نعم")=0,$D87-SUM($T87:W87),ROUND($D87/COUNTIF($G87:$L87,"نعم"),2))),IF($F87="مبالغ متفق عليها",IF(K87="نعم",Q87,0),"")))</f>
      </c>
      <c r="Y87" s="151" t="str">
        <f>IF(COUNTIF($A87:$S87,"&lt;&gt;")=0,"",IF($F87="بالتساوي بين المشاركين",IF(L87&lt;&gt;"نعم",0,IF(0=0,$D87-SUM($T87:X87),ROUND($D87/COUNTIF($G87:$L87,"نعم"),2))),IF($F87="مبالغ متفق عليها",IF(L87="نعم",R87,0),"")))</f>
      </c>
      <c r="Z87" s="165" t="str">
        <f>IF(COUNTIF($A87:$S87,"&lt;&gt;")=0,"",IF(OR($D87="",$D87&lt;=0),"أدخل مبلغًا أكبر من صفر.",IF($E87="","اختر الشخص الذي دفع المبلغ.",IF(COUNTIF($G87:$L87,"نعم")=0,"حدد شخصًا واحدًا على الأقل للمشاركة في المصروف.",IF($F87="بالتساوي بين المشاركين","جاهز",IF($F87="مبالغ متفق عليها",IF(OR(AND(G87="نعم",M87=""),AND(H87="نعم",N87=""),AND(I87="نعم",O87=""),AND(J87="نعم",P87=""),AND(K87="نعم",Q87=""),AND(L87="نعم",R87="")),"أدخل المبالغ المتفق عليها بحيث يساوي مجموعها مبلغ المصروف.",IF(ABS(SUM($M87:$R87))&lt;0.005,"أدخل المبالغ المتفق عليها بحيث يساوي مجموعها مبلغ المصروف.",IF(SUM($M87:$R87)&lt;$D87-0.005,"يتبقى للتوزيع: "&amp;ROUND($D87-SUM($M87:$R87),2)&amp;".",IF(SUM($M87:$R87)&gt;$D87+0.005,"يزيد مجموع الحصص على المصروف بمقدار "&amp;ROUND(SUM($M87:$R87)-$D87,2)&amp;".","جاهز")))),"أدخل المبالغ المتفق عليها بحيث يساوي مجموعها مبلغ المصروف."))))))</f>
      </c>
    </row>
    <row r="88">
      <c r="A88" s="149"/>
      <c r="B88" s="138"/>
      <c r="C88" s="138"/>
      <c r="D88" s="150"/>
      <c r="E88" s="138"/>
      <c r="F88" s="138"/>
      <c r="G88" s="138"/>
      <c r="H88" s="138"/>
      <c r="I88" s="138"/>
      <c r="J88" s="138"/>
      <c r="K88" s="138"/>
      <c r="L88" s="138"/>
      <c r="M88" s="150"/>
      <c r="N88" s="150"/>
      <c r="O88" s="150"/>
      <c r="P88" s="150"/>
      <c r="Q88" s="150"/>
      <c r="R88" s="150"/>
      <c r="S88" s="138"/>
      <c r="T88" s="151" t="str">
        <f>IF(COUNTIF($A88:$S88,"&lt;&gt;")=0,"",IF($F88="بالتساوي بين المشاركين",IF(G88&lt;&gt;"نعم",0,IF(COUNTIF($H88:$L88,"نعم")=0,$D88-0,ROUND($D88/COUNTIF($G88:$L88,"نعم"),2))),IF($F88="مبالغ متفق عليها",IF(G88="نعم",M88,0),"")))</f>
      </c>
      <c r="U88" s="151" t="str">
        <f>IF(COUNTIF($A88:$S88,"&lt;&gt;")=0,"",IF($F88="بالتساوي بين المشاركين",IF(H88&lt;&gt;"نعم",0,IF(COUNTIF($I88:$L88,"نعم")=0,$D88-SUM($T88:T88),ROUND($D88/COUNTIF($G88:$L88,"نعم"),2))),IF($F88="مبالغ متفق عليها",IF(H88="نعم",N88,0),"")))</f>
      </c>
      <c r="V88" s="151" t="str">
        <f>IF(COUNTIF($A88:$S88,"&lt;&gt;")=0,"",IF($F88="بالتساوي بين المشاركين",IF(I88&lt;&gt;"نعم",0,IF(COUNTIF($J88:$L88,"نعم")=0,$D88-SUM($T88:U88),ROUND($D88/COUNTIF($G88:$L88,"نعم"),2))),IF($F88="مبالغ متفق عليها",IF(I88="نعم",O88,0),"")))</f>
      </c>
      <c r="W88" s="151" t="str">
        <f>IF(COUNTIF($A88:$S88,"&lt;&gt;")=0,"",IF($F88="بالتساوي بين المشاركين",IF(J88&lt;&gt;"نعم",0,IF(COUNTIF($K88:$L88,"نعم")=0,$D88-SUM($T88:V88),ROUND($D88/COUNTIF($G88:$L88,"نعم"),2))),IF($F88="مبالغ متفق عليها",IF(J88="نعم",P88,0),"")))</f>
      </c>
      <c r="X88" s="151" t="str">
        <f>IF(COUNTIF($A88:$S88,"&lt;&gt;")=0,"",IF($F88="بالتساوي بين المشاركين",IF(K88&lt;&gt;"نعم",0,IF(COUNTIF($L88:$L88,"نعم")=0,$D88-SUM($T88:W88),ROUND($D88/COUNTIF($G88:$L88,"نعم"),2))),IF($F88="مبالغ متفق عليها",IF(K88="نعم",Q88,0),"")))</f>
      </c>
      <c r="Y88" s="151" t="str">
        <f>IF(COUNTIF($A88:$S88,"&lt;&gt;")=0,"",IF($F88="بالتساوي بين المشاركين",IF(L88&lt;&gt;"نعم",0,IF(0=0,$D88-SUM($T88:X88),ROUND($D88/COUNTIF($G88:$L88,"نعم"),2))),IF($F88="مبالغ متفق عليها",IF(L88="نعم",R88,0),"")))</f>
      </c>
      <c r="Z88" s="165" t="str">
        <f>IF(COUNTIF($A88:$S88,"&lt;&gt;")=0,"",IF(OR($D88="",$D88&lt;=0),"أدخل مبلغًا أكبر من صفر.",IF($E88="","اختر الشخص الذي دفع المبلغ.",IF(COUNTIF($G88:$L88,"نعم")=0,"حدد شخصًا واحدًا على الأقل للمشاركة في المصروف.",IF($F88="بالتساوي بين المشاركين","جاهز",IF($F88="مبالغ متفق عليها",IF(OR(AND(G88="نعم",M88=""),AND(H88="نعم",N88=""),AND(I88="نعم",O88=""),AND(J88="نعم",P88=""),AND(K88="نعم",Q88=""),AND(L88="نعم",R88="")),"أدخل المبالغ المتفق عليها بحيث يساوي مجموعها مبلغ المصروف.",IF(ABS(SUM($M88:$R88))&lt;0.005,"أدخل المبالغ المتفق عليها بحيث يساوي مجموعها مبلغ المصروف.",IF(SUM($M88:$R88)&lt;$D88-0.005,"يتبقى للتوزيع: "&amp;ROUND($D88-SUM($M88:$R88),2)&amp;".",IF(SUM($M88:$R88)&gt;$D88+0.005,"يزيد مجموع الحصص على المصروف بمقدار "&amp;ROUND(SUM($M88:$R88)-$D88,2)&amp;".","جاهز")))),"أدخل المبالغ المتفق عليها بحيث يساوي مجموعها مبلغ المصروف."))))))</f>
      </c>
    </row>
    <row r="89">
      <c r="A89" s="149"/>
      <c r="B89" s="138"/>
      <c r="C89" s="138"/>
      <c r="D89" s="150"/>
      <c r="E89" s="138"/>
      <c r="F89" s="138"/>
      <c r="G89" s="138"/>
      <c r="H89" s="138"/>
      <c r="I89" s="138"/>
      <c r="J89" s="138"/>
      <c r="K89" s="138"/>
      <c r="L89" s="138"/>
      <c r="M89" s="150"/>
      <c r="N89" s="150"/>
      <c r="O89" s="150"/>
      <c r="P89" s="150"/>
      <c r="Q89" s="150"/>
      <c r="R89" s="150"/>
      <c r="S89" s="138"/>
      <c r="T89" s="151" t="str">
        <f>IF(COUNTIF($A89:$S89,"&lt;&gt;")=0,"",IF($F89="بالتساوي بين المشاركين",IF(G89&lt;&gt;"نعم",0,IF(COUNTIF($H89:$L89,"نعم")=0,$D89-0,ROUND($D89/COUNTIF($G89:$L89,"نعم"),2))),IF($F89="مبالغ متفق عليها",IF(G89="نعم",M89,0),"")))</f>
      </c>
      <c r="U89" s="151" t="str">
        <f>IF(COUNTIF($A89:$S89,"&lt;&gt;")=0,"",IF($F89="بالتساوي بين المشاركين",IF(H89&lt;&gt;"نعم",0,IF(COUNTIF($I89:$L89,"نعم")=0,$D89-SUM($T89:T89),ROUND($D89/COUNTIF($G89:$L89,"نعم"),2))),IF($F89="مبالغ متفق عليها",IF(H89="نعم",N89,0),"")))</f>
      </c>
      <c r="V89" s="151" t="str">
        <f>IF(COUNTIF($A89:$S89,"&lt;&gt;")=0,"",IF($F89="بالتساوي بين المشاركين",IF(I89&lt;&gt;"نعم",0,IF(COUNTIF($J89:$L89,"نعم")=0,$D89-SUM($T89:U89),ROUND($D89/COUNTIF($G89:$L89,"نعم"),2))),IF($F89="مبالغ متفق عليها",IF(I89="نعم",O89,0),"")))</f>
      </c>
      <c r="W89" s="151" t="str">
        <f>IF(COUNTIF($A89:$S89,"&lt;&gt;")=0,"",IF($F89="بالتساوي بين المشاركين",IF(J89&lt;&gt;"نعم",0,IF(COUNTIF($K89:$L89,"نعم")=0,$D89-SUM($T89:V89),ROUND($D89/COUNTIF($G89:$L89,"نعم"),2))),IF($F89="مبالغ متفق عليها",IF(J89="نعم",P89,0),"")))</f>
      </c>
      <c r="X89" s="151" t="str">
        <f>IF(COUNTIF($A89:$S89,"&lt;&gt;")=0,"",IF($F89="بالتساوي بين المشاركين",IF(K89&lt;&gt;"نعم",0,IF(COUNTIF($L89:$L89,"نعم")=0,$D89-SUM($T89:W89),ROUND($D89/COUNTIF($G89:$L89,"نعم"),2))),IF($F89="مبالغ متفق عليها",IF(K89="نعم",Q89,0),"")))</f>
      </c>
      <c r="Y89" s="151" t="str">
        <f>IF(COUNTIF($A89:$S89,"&lt;&gt;")=0,"",IF($F89="بالتساوي بين المشاركين",IF(L89&lt;&gt;"نعم",0,IF(0=0,$D89-SUM($T89:X89),ROUND($D89/COUNTIF($G89:$L89,"نعم"),2))),IF($F89="مبالغ متفق عليها",IF(L89="نعم",R89,0),"")))</f>
      </c>
      <c r="Z89" s="165" t="str">
        <f>IF(COUNTIF($A89:$S89,"&lt;&gt;")=0,"",IF(OR($D89="",$D89&lt;=0),"أدخل مبلغًا أكبر من صفر.",IF($E89="","اختر الشخص الذي دفع المبلغ.",IF(COUNTIF($G89:$L89,"نعم")=0,"حدد شخصًا واحدًا على الأقل للمشاركة في المصروف.",IF($F89="بالتساوي بين المشاركين","جاهز",IF($F89="مبالغ متفق عليها",IF(OR(AND(G89="نعم",M89=""),AND(H89="نعم",N89=""),AND(I89="نعم",O89=""),AND(J89="نعم",P89=""),AND(K89="نعم",Q89=""),AND(L89="نعم",R89="")),"أدخل المبالغ المتفق عليها بحيث يساوي مجموعها مبلغ المصروف.",IF(ABS(SUM($M89:$R89))&lt;0.005,"أدخل المبالغ المتفق عليها بحيث يساوي مجموعها مبلغ المصروف.",IF(SUM($M89:$R89)&lt;$D89-0.005,"يتبقى للتوزيع: "&amp;ROUND($D89-SUM($M89:$R89),2)&amp;".",IF(SUM($M89:$R89)&gt;$D89+0.005,"يزيد مجموع الحصص على المصروف بمقدار "&amp;ROUND(SUM($M89:$R89)-$D89,2)&amp;".","جاهز")))),"أدخل المبالغ المتفق عليها بحيث يساوي مجموعها مبلغ المصروف."))))))</f>
      </c>
    </row>
    <row r="90">
      <c r="A90" s="149"/>
      <c r="B90" s="138"/>
      <c r="C90" s="138"/>
      <c r="D90" s="150"/>
      <c r="E90" s="138"/>
      <c r="F90" s="138"/>
      <c r="G90" s="138"/>
      <c r="H90" s="138"/>
      <c r="I90" s="138"/>
      <c r="J90" s="138"/>
      <c r="K90" s="138"/>
      <c r="L90" s="138"/>
      <c r="M90" s="150"/>
      <c r="N90" s="150"/>
      <c r="O90" s="150"/>
      <c r="P90" s="150"/>
      <c r="Q90" s="150"/>
      <c r="R90" s="150"/>
      <c r="S90" s="138"/>
      <c r="T90" s="151" t="str">
        <f>IF(COUNTIF($A90:$S90,"&lt;&gt;")=0,"",IF($F90="بالتساوي بين المشاركين",IF(G90&lt;&gt;"نعم",0,IF(COUNTIF($H90:$L90,"نعم")=0,$D90-0,ROUND($D90/COUNTIF($G90:$L90,"نعم"),2))),IF($F90="مبالغ متفق عليها",IF(G90="نعم",M90,0),"")))</f>
      </c>
      <c r="U90" s="151" t="str">
        <f>IF(COUNTIF($A90:$S90,"&lt;&gt;")=0,"",IF($F90="بالتساوي بين المشاركين",IF(H90&lt;&gt;"نعم",0,IF(COUNTIF($I90:$L90,"نعم")=0,$D90-SUM($T90:T90),ROUND($D90/COUNTIF($G90:$L90,"نعم"),2))),IF($F90="مبالغ متفق عليها",IF(H90="نعم",N90,0),"")))</f>
      </c>
      <c r="V90" s="151" t="str">
        <f>IF(COUNTIF($A90:$S90,"&lt;&gt;")=0,"",IF($F90="بالتساوي بين المشاركين",IF(I90&lt;&gt;"نعم",0,IF(COUNTIF($J90:$L90,"نعم")=0,$D90-SUM($T90:U90),ROUND($D90/COUNTIF($G90:$L90,"نعم"),2))),IF($F90="مبالغ متفق عليها",IF(I90="نعم",O90,0),"")))</f>
      </c>
      <c r="W90" s="151" t="str">
        <f>IF(COUNTIF($A90:$S90,"&lt;&gt;")=0,"",IF($F90="بالتساوي بين المشاركين",IF(J90&lt;&gt;"نعم",0,IF(COUNTIF($K90:$L90,"نعم")=0,$D90-SUM($T90:V90),ROUND($D90/COUNTIF($G90:$L90,"نعم"),2))),IF($F90="مبالغ متفق عليها",IF(J90="نعم",P90,0),"")))</f>
      </c>
      <c r="X90" s="151" t="str">
        <f>IF(COUNTIF($A90:$S90,"&lt;&gt;")=0,"",IF($F90="بالتساوي بين المشاركين",IF(K90&lt;&gt;"نعم",0,IF(COUNTIF($L90:$L90,"نعم")=0,$D90-SUM($T90:W90),ROUND($D90/COUNTIF($G90:$L90,"نعم"),2))),IF($F90="مبالغ متفق عليها",IF(K90="نعم",Q90,0),"")))</f>
      </c>
      <c r="Y90" s="151" t="str">
        <f>IF(COUNTIF($A90:$S90,"&lt;&gt;")=0,"",IF($F90="بالتساوي بين المشاركين",IF(L90&lt;&gt;"نعم",0,IF(0=0,$D90-SUM($T90:X90),ROUND($D90/COUNTIF($G90:$L90,"نعم"),2))),IF($F90="مبالغ متفق عليها",IF(L90="نعم",R90,0),"")))</f>
      </c>
      <c r="Z90" s="165" t="str">
        <f>IF(COUNTIF($A90:$S90,"&lt;&gt;")=0,"",IF(OR($D90="",$D90&lt;=0),"أدخل مبلغًا أكبر من صفر.",IF($E90="","اختر الشخص الذي دفع المبلغ.",IF(COUNTIF($G90:$L90,"نعم")=0,"حدد شخصًا واحدًا على الأقل للمشاركة في المصروف.",IF($F90="بالتساوي بين المشاركين","جاهز",IF($F90="مبالغ متفق عليها",IF(OR(AND(G90="نعم",M90=""),AND(H90="نعم",N90=""),AND(I90="نعم",O90=""),AND(J90="نعم",P90=""),AND(K90="نعم",Q90=""),AND(L90="نعم",R90="")),"أدخل المبالغ المتفق عليها بحيث يساوي مجموعها مبلغ المصروف.",IF(ABS(SUM($M90:$R90))&lt;0.005,"أدخل المبالغ المتفق عليها بحيث يساوي مجموعها مبلغ المصروف.",IF(SUM($M90:$R90)&lt;$D90-0.005,"يتبقى للتوزيع: "&amp;ROUND($D90-SUM($M90:$R90),2)&amp;".",IF(SUM($M90:$R90)&gt;$D90+0.005,"يزيد مجموع الحصص على المصروف بمقدار "&amp;ROUND(SUM($M90:$R90)-$D90,2)&amp;".","جاهز")))),"أدخل المبالغ المتفق عليها بحيث يساوي مجموعها مبلغ المصروف."))))))</f>
      </c>
    </row>
    <row r="91">
      <c r="A91" s="149"/>
      <c r="B91" s="138"/>
      <c r="C91" s="138"/>
      <c r="D91" s="150"/>
      <c r="E91" s="138"/>
      <c r="F91" s="138"/>
      <c r="G91" s="138"/>
      <c r="H91" s="138"/>
      <c r="I91" s="138"/>
      <c r="J91" s="138"/>
      <c r="K91" s="138"/>
      <c r="L91" s="138"/>
      <c r="M91" s="150"/>
      <c r="N91" s="150"/>
      <c r="O91" s="150"/>
      <c r="P91" s="150"/>
      <c r="Q91" s="150"/>
      <c r="R91" s="150"/>
      <c r="S91" s="138"/>
      <c r="T91" s="151" t="str">
        <f>IF(COUNTIF($A91:$S91,"&lt;&gt;")=0,"",IF($F91="بالتساوي بين المشاركين",IF(G91&lt;&gt;"نعم",0,IF(COUNTIF($H91:$L91,"نعم")=0,$D91-0,ROUND($D91/COUNTIF($G91:$L91,"نعم"),2))),IF($F91="مبالغ متفق عليها",IF(G91="نعم",M91,0),"")))</f>
      </c>
      <c r="U91" s="151" t="str">
        <f>IF(COUNTIF($A91:$S91,"&lt;&gt;")=0,"",IF($F91="بالتساوي بين المشاركين",IF(H91&lt;&gt;"نعم",0,IF(COUNTIF($I91:$L91,"نعم")=0,$D91-SUM($T91:T91),ROUND($D91/COUNTIF($G91:$L91,"نعم"),2))),IF($F91="مبالغ متفق عليها",IF(H91="نعم",N91,0),"")))</f>
      </c>
      <c r="V91" s="151" t="str">
        <f>IF(COUNTIF($A91:$S91,"&lt;&gt;")=0,"",IF($F91="بالتساوي بين المشاركين",IF(I91&lt;&gt;"نعم",0,IF(COUNTIF($J91:$L91,"نعم")=0,$D91-SUM($T91:U91),ROUND($D91/COUNTIF($G91:$L91,"نعم"),2))),IF($F91="مبالغ متفق عليها",IF(I91="نعم",O91,0),"")))</f>
      </c>
      <c r="W91" s="151" t="str">
        <f>IF(COUNTIF($A91:$S91,"&lt;&gt;")=0,"",IF($F91="بالتساوي بين المشاركين",IF(J91&lt;&gt;"نعم",0,IF(COUNTIF($K91:$L91,"نعم")=0,$D91-SUM($T91:V91),ROUND($D91/COUNTIF($G91:$L91,"نعم"),2))),IF($F91="مبالغ متفق عليها",IF(J91="نعم",P91,0),"")))</f>
      </c>
      <c r="X91" s="151" t="str">
        <f>IF(COUNTIF($A91:$S91,"&lt;&gt;")=0,"",IF($F91="بالتساوي بين المشاركين",IF(K91&lt;&gt;"نعم",0,IF(COUNTIF($L91:$L91,"نعم")=0,$D91-SUM($T91:W91),ROUND($D91/COUNTIF($G91:$L91,"نعم"),2))),IF($F91="مبالغ متفق عليها",IF(K91="نعم",Q91,0),"")))</f>
      </c>
      <c r="Y91" s="151" t="str">
        <f>IF(COUNTIF($A91:$S91,"&lt;&gt;")=0,"",IF($F91="بالتساوي بين المشاركين",IF(L91&lt;&gt;"نعم",0,IF(0=0,$D91-SUM($T91:X91),ROUND($D91/COUNTIF($G91:$L91,"نعم"),2))),IF($F91="مبالغ متفق عليها",IF(L91="نعم",R91,0),"")))</f>
      </c>
      <c r="Z91" s="165" t="str">
        <f>IF(COUNTIF($A91:$S91,"&lt;&gt;")=0,"",IF(OR($D91="",$D91&lt;=0),"أدخل مبلغًا أكبر من صفر.",IF($E91="","اختر الشخص الذي دفع المبلغ.",IF(COUNTIF($G91:$L91,"نعم")=0,"حدد شخصًا واحدًا على الأقل للمشاركة في المصروف.",IF($F91="بالتساوي بين المشاركين","جاهز",IF($F91="مبالغ متفق عليها",IF(OR(AND(G91="نعم",M91=""),AND(H91="نعم",N91=""),AND(I91="نعم",O91=""),AND(J91="نعم",P91=""),AND(K91="نعم",Q91=""),AND(L91="نعم",R91="")),"أدخل المبالغ المتفق عليها بحيث يساوي مجموعها مبلغ المصروف.",IF(ABS(SUM($M91:$R91))&lt;0.005,"أدخل المبالغ المتفق عليها بحيث يساوي مجموعها مبلغ المصروف.",IF(SUM($M91:$R91)&lt;$D91-0.005,"يتبقى للتوزيع: "&amp;ROUND($D91-SUM($M91:$R91),2)&amp;".",IF(SUM($M91:$R91)&gt;$D91+0.005,"يزيد مجموع الحصص على المصروف بمقدار "&amp;ROUND(SUM($M91:$R91)-$D91,2)&amp;".","جاهز")))),"أدخل المبالغ المتفق عليها بحيث يساوي مجموعها مبلغ المصروف."))))))</f>
      </c>
    </row>
    <row r="92">
      <c r="A92" s="149"/>
      <c r="B92" s="138"/>
      <c r="C92" s="138"/>
      <c r="D92" s="150"/>
      <c r="E92" s="138"/>
      <c r="F92" s="138"/>
      <c r="G92" s="138"/>
      <c r="H92" s="138"/>
      <c r="I92" s="138"/>
      <c r="J92" s="138"/>
      <c r="K92" s="138"/>
      <c r="L92" s="138"/>
      <c r="M92" s="150"/>
      <c r="N92" s="150"/>
      <c r="O92" s="150"/>
      <c r="P92" s="150"/>
      <c r="Q92" s="150"/>
      <c r="R92" s="150"/>
      <c r="S92" s="138"/>
      <c r="T92" s="151" t="str">
        <f>IF(COUNTIF($A92:$S92,"&lt;&gt;")=0,"",IF($F92="بالتساوي بين المشاركين",IF(G92&lt;&gt;"نعم",0,IF(COUNTIF($H92:$L92,"نعم")=0,$D92-0,ROUND($D92/COUNTIF($G92:$L92,"نعم"),2))),IF($F92="مبالغ متفق عليها",IF(G92="نعم",M92,0),"")))</f>
      </c>
      <c r="U92" s="151" t="str">
        <f>IF(COUNTIF($A92:$S92,"&lt;&gt;")=0,"",IF($F92="بالتساوي بين المشاركين",IF(H92&lt;&gt;"نعم",0,IF(COUNTIF($I92:$L92,"نعم")=0,$D92-SUM($T92:T92),ROUND($D92/COUNTIF($G92:$L92,"نعم"),2))),IF($F92="مبالغ متفق عليها",IF(H92="نعم",N92,0),"")))</f>
      </c>
      <c r="V92" s="151" t="str">
        <f>IF(COUNTIF($A92:$S92,"&lt;&gt;")=0,"",IF($F92="بالتساوي بين المشاركين",IF(I92&lt;&gt;"نعم",0,IF(COUNTIF($J92:$L92,"نعم")=0,$D92-SUM($T92:U92),ROUND($D92/COUNTIF($G92:$L92,"نعم"),2))),IF($F92="مبالغ متفق عليها",IF(I92="نعم",O92,0),"")))</f>
      </c>
      <c r="W92" s="151" t="str">
        <f>IF(COUNTIF($A92:$S92,"&lt;&gt;")=0,"",IF($F92="بالتساوي بين المشاركين",IF(J92&lt;&gt;"نعم",0,IF(COUNTIF($K92:$L92,"نعم")=0,$D92-SUM($T92:V92),ROUND($D92/COUNTIF($G92:$L92,"نعم"),2))),IF($F92="مبالغ متفق عليها",IF(J92="نعم",P92,0),"")))</f>
      </c>
      <c r="X92" s="151" t="str">
        <f>IF(COUNTIF($A92:$S92,"&lt;&gt;")=0,"",IF($F92="بالتساوي بين المشاركين",IF(K92&lt;&gt;"نعم",0,IF(COUNTIF($L92:$L92,"نعم")=0,$D92-SUM($T92:W92),ROUND($D92/COUNTIF($G92:$L92,"نعم"),2))),IF($F92="مبالغ متفق عليها",IF(K92="نعم",Q92,0),"")))</f>
      </c>
      <c r="Y92" s="151" t="str">
        <f>IF(COUNTIF($A92:$S92,"&lt;&gt;")=0,"",IF($F92="بالتساوي بين المشاركين",IF(L92&lt;&gt;"نعم",0,IF(0=0,$D92-SUM($T92:X92),ROUND($D92/COUNTIF($G92:$L92,"نعم"),2))),IF($F92="مبالغ متفق عليها",IF(L92="نعم",R92,0),"")))</f>
      </c>
      <c r="Z92" s="165" t="str">
        <f>IF(COUNTIF($A92:$S92,"&lt;&gt;")=0,"",IF(OR($D92="",$D92&lt;=0),"أدخل مبلغًا أكبر من صفر.",IF($E92="","اختر الشخص الذي دفع المبلغ.",IF(COUNTIF($G92:$L92,"نعم")=0,"حدد شخصًا واحدًا على الأقل للمشاركة في المصروف.",IF($F92="بالتساوي بين المشاركين","جاهز",IF($F92="مبالغ متفق عليها",IF(OR(AND(G92="نعم",M92=""),AND(H92="نعم",N92=""),AND(I92="نعم",O92=""),AND(J92="نعم",P92=""),AND(K92="نعم",Q92=""),AND(L92="نعم",R92="")),"أدخل المبالغ المتفق عليها بحيث يساوي مجموعها مبلغ المصروف.",IF(ABS(SUM($M92:$R92))&lt;0.005,"أدخل المبالغ المتفق عليها بحيث يساوي مجموعها مبلغ المصروف.",IF(SUM($M92:$R92)&lt;$D92-0.005,"يتبقى للتوزيع: "&amp;ROUND($D92-SUM($M92:$R92),2)&amp;".",IF(SUM($M92:$R92)&gt;$D92+0.005,"يزيد مجموع الحصص على المصروف بمقدار "&amp;ROUND(SUM($M92:$R92)-$D92,2)&amp;".","جاهز")))),"أدخل المبالغ المتفق عليها بحيث يساوي مجموعها مبلغ المصروف."))))))</f>
      </c>
    </row>
    <row r="93">
      <c r="A93" s="149"/>
      <c r="B93" s="138"/>
      <c r="C93" s="138"/>
      <c r="D93" s="150"/>
      <c r="E93" s="138"/>
      <c r="F93" s="138"/>
      <c r="G93" s="138"/>
      <c r="H93" s="138"/>
      <c r="I93" s="138"/>
      <c r="J93" s="138"/>
      <c r="K93" s="138"/>
      <c r="L93" s="138"/>
      <c r="M93" s="150"/>
      <c r="N93" s="150"/>
      <c r="O93" s="150"/>
      <c r="P93" s="150"/>
      <c r="Q93" s="150"/>
      <c r="R93" s="150"/>
      <c r="S93" s="138"/>
      <c r="T93" s="151" t="str">
        <f>IF(COUNTIF($A93:$S93,"&lt;&gt;")=0,"",IF($F93="بالتساوي بين المشاركين",IF(G93&lt;&gt;"نعم",0,IF(COUNTIF($H93:$L93,"نعم")=0,$D93-0,ROUND($D93/COUNTIF($G93:$L93,"نعم"),2))),IF($F93="مبالغ متفق عليها",IF(G93="نعم",M93,0),"")))</f>
      </c>
      <c r="U93" s="151" t="str">
        <f>IF(COUNTIF($A93:$S93,"&lt;&gt;")=0,"",IF($F93="بالتساوي بين المشاركين",IF(H93&lt;&gt;"نعم",0,IF(COUNTIF($I93:$L93,"نعم")=0,$D93-SUM($T93:T93),ROUND($D93/COUNTIF($G93:$L93,"نعم"),2))),IF($F93="مبالغ متفق عليها",IF(H93="نعم",N93,0),"")))</f>
      </c>
      <c r="V93" s="151" t="str">
        <f>IF(COUNTIF($A93:$S93,"&lt;&gt;")=0,"",IF($F93="بالتساوي بين المشاركين",IF(I93&lt;&gt;"نعم",0,IF(COUNTIF($J93:$L93,"نعم")=0,$D93-SUM($T93:U93),ROUND($D93/COUNTIF($G93:$L93,"نعم"),2))),IF($F93="مبالغ متفق عليها",IF(I93="نعم",O93,0),"")))</f>
      </c>
      <c r="W93" s="151" t="str">
        <f>IF(COUNTIF($A93:$S93,"&lt;&gt;")=0,"",IF($F93="بالتساوي بين المشاركين",IF(J93&lt;&gt;"نعم",0,IF(COUNTIF($K93:$L93,"نعم")=0,$D93-SUM($T93:V93),ROUND($D93/COUNTIF($G93:$L93,"نعم"),2))),IF($F93="مبالغ متفق عليها",IF(J93="نعم",P93,0),"")))</f>
      </c>
      <c r="X93" s="151" t="str">
        <f>IF(COUNTIF($A93:$S93,"&lt;&gt;")=0,"",IF($F93="بالتساوي بين المشاركين",IF(K93&lt;&gt;"نعم",0,IF(COUNTIF($L93:$L93,"نعم")=0,$D93-SUM($T93:W93),ROUND($D93/COUNTIF($G93:$L93,"نعم"),2))),IF($F93="مبالغ متفق عليها",IF(K93="نعم",Q93,0),"")))</f>
      </c>
      <c r="Y93" s="151" t="str">
        <f>IF(COUNTIF($A93:$S93,"&lt;&gt;")=0,"",IF($F93="بالتساوي بين المشاركين",IF(L93&lt;&gt;"نعم",0,IF(0=0,$D93-SUM($T93:X93),ROUND($D93/COUNTIF($G93:$L93,"نعم"),2))),IF($F93="مبالغ متفق عليها",IF(L93="نعم",R93,0),"")))</f>
      </c>
      <c r="Z93" s="165" t="str">
        <f>IF(COUNTIF($A93:$S93,"&lt;&gt;")=0,"",IF(OR($D93="",$D93&lt;=0),"أدخل مبلغًا أكبر من صفر.",IF($E93="","اختر الشخص الذي دفع المبلغ.",IF(COUNTIF($G93:$L93,"نعم")=0,"حدد شخصًا واحدًا على الأقل للمشاركة في المصروف.",IF($F93="بالتساوي بين المشاركين","جاهز",IF($F93="مبالغ متفق عليها",IF(OR(AND(G93="نعم",M93=""),AND(H93="نعم",N93=""),AND(I93="نعم",O93=""),AND(J93="نعم",P93=""),AND(K93="نعم",Q93=""),AND(L93="نعم",R93="")),"أدخل المبالغ المتفق عليها بحيث يساوي مجموعها مبلغ المصروف.",IF(ABS(SUM($M93:$R93))&lt;0.005,"أدخل المبالغ المتفق عليها بحيث يساوي مجموعها مبلغ المصروف.",IF(SUM($M93:$R93)&lt;$D93-0.005,"يتبقى للتوزيع: "&amp;ROUND($D93-SUM($M93:$R93),2)&amp;".",IF(SUM($M93:$R93)&gt;$D93+0.005,"يزيد مجموع الحصص على المصروف بمقدار "&amp;ROUND(SUM($M93:$R93)-$D93,2)&amp;".","جاهز")))),"أدخل المبالغ المتفق عليها بحيث يساوي مجموعها مبلغ المصروف."))))))</f>
      </c>
    </row>
    <row r="94">
      <c r="A94" s="149"/>
      <c r="B94" s="138"/>
      <c r="C94" s="138"/>
      <c r="D94" s="150"/>
      <c r="E94" s="138"/>
      <c r="F94" s="138"/>
      <c r="G94" s="138"/>
      <c r="H94" s="138"/>
      <c r="I94" s="138"/>
      <c r="J94" s="138"/>
      <c r="K94" s="138"/>
      <c r="L94" s="138"/>
      <c r="M94" s="150"/>
      <c r="N94" s="150"/>
      <c r="O94" s="150"/>
      <c r="P94" s="150"/>
      <c r="Q94" s="150"/>
      <c r="R94" s="150"/>
      <c r="S94" s="138"/>
      <c r="T94" s="151" t="str">
        <f>IF(COUNTIF($A94:$S94,"&lt;&gt;")=0,"",IF($F94="بالتساوي بين المشاركين",IF(G94&lt;&gt;"نعم",0,IF(COUNTIF($H94:$L94,"نعم")=0,$D94-0,ROUND($D94/COUNTIF($G94:$L94,"نعم"),2))),IF($F94="مبالغ متفق عليها",IF(G94="نعم",M94,0),"")))</f>
      </c>
      <c r="U94" s="151" t="str">
        <f>IF(COUNTIF($A94:$S94,"&lt;&gt;")=0,"",IF($F94="بالتساوي بين المشاركين",IF(H94&lt;&gt;"نعم",0,IF(COUNTIF($I94:$L94,"نعم")=0,$D94-SUM($T94:T94),ROUND($D94/COUNTIF($G94:$L94,"نعم"),2))),IF($F94="مبالغ متفق عليها",IF(H94="نعم",N94,0),"")))</f>
      </c>
      <c r="V94" s="151" t="str">
        <f>IF(COUNTIF($A94:$S94,"&lt;&gt;")=0,"",IF($F94="بالتساوي بين المشاركين",IF(I94&lt;&gt;"نعم",0,IF(COUNTIF($J94:$L94,"نعم")=0,$D94-SUM($T94:U94),ROUND($D94/COUNTIF($G94:$L94,"نعم"),2))),IF($F94="مبالغ متفق عليها",IF(I94="نعم",O94,0),"")))</f>
      </c>
      <c r="W94" s="151" t="str">
        <f>IF(COUNTIF($A94:$S94,"&lt;&gt;")=0,"",IF($F94="بالتساوي بين المشاركين",IF(J94&lt;&gt;"نعم",0,IF(COUNTIF($K94:$L94,"نعم")=0,$D94-SUM($T94:V94),ROUND($D94/COUNTIF($G94:$L94,"نعم"),2))),IF($F94="مبالغ متفق عليها",IF(J94="نعم",P94,0),"")))</f>
      </c>
      <c r="X94" s="151" t="str">
        <f>IF(COUNTIF($A94:$S94,"&lt;&gt;")=0,"",IF($F94="بالتساوي بين المشاركين",IF(K94&lt;&gt;"نعم",0,IF(COUNTIF($L94:$L94,"نعم")=0,$D94-SUM($T94:W94),ROUND($D94/COUNTIF($G94:$L94,"نعم"),2))),IF($F94="مبالغ متفق عليها",IF(K94="نعم",Q94,0),"")))</f>
      </c>
      <c r="Y94" s="151" t="str">
        <f>IF(COUNTIF($A94:$S94,"&lt;&gt;")=0,"",IF($F94="بالتساوي بين المشاركين",IF(L94&lt;&gt;"نعم",0,IF(0=0,$D94-SUM($T94:X94),ROUND($D94/COUNTIF($G94:$L94,"نعم"),2))),IF($F94="مبالغ متفق عليها",IF(L94="نعم",R94,0),"")))</f>
      </c>
      <c r="Z94" s="165" t="str">
        <f>IF(COUNTIF($A94:$S94,"&lt;&gt;")=0,"",IF(OR($D94="",$D94&lt;=0),"أدخل مبلغًا أكبر من صفر.",IF($E94="","اختر الشخص الذي دفع المبلغ.",IF(COUNTIF($G94:$L94,"نعم")=0,"حدد شخصًا واحدًا على الأقل للمشاركة في المصروف.",IF($F94="بالتساوي بين المشاركين","جاهز",IF($F94="مبالغ متفق عليها",IF(OR(AND(G94="نعم",M94=""),AND(H94="نعم",N94=""),AND(I94="نعم",O94=""),AND(J94="نعم",P94=""),AND(K94="نعم",Q94=""),AND(L94="نعم",R94="")),"أدخل المبالغ المتفق عليها بحيث يساوي مجموعها مبلغ المصروف.",IF(ABS(SUM($M94:$R94))&lt;0.005,"أدخل المبالغ المتفق عليها بحيث يساوي مجموعها مبلغ المصروف.",IF(SUM($M94:$R94)&lt;$D94-0.005,"يتبقى للتوزيع: "&amp;ROUND($D94-SUM($M94:$R94),2)&amp;".",IF(SUM($M94:$R94)&gt;$D94+0.005,"يزيد مجموع الحصص على المصروف بمقدار "&amp;ROUND(SUM($M94:$R94)-$D94,2)&amp;".","جاهز")))),"أدخل المبالغ المتفق عليها بحيث يساوي مجموعها مبلغ المصروف."))))))</f>
      </c>
    </row>
    <row r="95">
      <c r="A95" s="149"/>
      <c r="B95" s="138"/>
      <c r="C95" s="138"/>
      <c r="D95" s="150"/>
      <c r="E95" s="138"/>
      <c r="F95" s="138"/>
      <c r="G95" s="138"/>
      <c r="H95" s="138"/>
      <c r="I95" s="138"/>
      <c r="J95" s="138"/>
      <c r="K95" s="138"/>
      <c r="L95" s="138"/>
      <c r="M95" s="150"/>
      <c r="N95" s="150"/>
      <c r="O95" s="150"/>
      <c r="P95" s="150"/>
      <c r="Q95" s="150"/>
      <c r="R95" s="150"/>
      <c r="S95" s="138"/>
      <c r="T95" s="151" t="str">
        <f>IF(COUNTIF($A95:$S95,"&lt;&gt;")=0,"",IF($F95="بالتساوي بين المشاركين",IF(G95&lt;&gt;"نعم",0,IF(COUNTIF($H95:$L95,"نعم")=0,$D95-0,ROUND($D95/COUNTIF($G95:$L95,"نعم"),2))),IF($F95="مبالغ متفق عليها",IF(G95="نعم",M95,0),"")))</f>
      </c>
      <c r="U95" s="151" t="str">
        <f>IF(COUNTIF($A95:$S95,"&lt;&gt;")=0,"",IF($F95="بالتساوي بين المشاركين",IF(H95&lt;&gt;"نعم",0,IF(COUNTIF($I95:$L95,"نعم")=0,$D95-SUM($T95:T95),ROUND($D95/COUNTIF($G95:$L95,"نعم"),2))),IF($F95="مبالغ متفق عليها",IF(H95="نعم",N95,0),"")))</f>
      </c>
      <c r="V95" s="151" t="str">
        <f>IF(COUNTIF($A95:$S95,"&lt;&gt;")=0,"",IF($F95="بالتساوي بين المشاركين",IF(I95&lt;&gt;"نعم",0,IF(COUNTIF($J95:$L95,"نعم")=0,$D95-SUM($T95:U95),ROUND($D95/COUNTIF($G95:$L95,"نعم"),2))),IF($F95="مبالغ متفق عليها",IF(I95="نعم",O95,0),"")))</f>
      </c>
      <c r="W95" s="151" t="str">
        <f>IF(COUNTIF($A95:$S95,"&lt;&gt;")=0,"",IF($F95="بالتساوي بين المشاركين",IF(J95&lt;&gt;"نعم",0,IF(COUNTIF($K95:$L95,"نعم")=0,$D95-SUM($T95:V95),ROUND($D95/COUNTIF($G95:$L95,"نعم"),2))),IF($F95="مبالغ متفق عليها",IF(J95="نعم",P95,0),"")))</f>
      </c>
      <c r="X95" s="151" t="str">
        <f>IF(COUNTIF($A95:$S95,"&lt;&gt;")=0,"",IF($F95="بالتساوي بين المشاركين",IF(K95&lt;&gt;"نعم",0,IF(COUNTIF($L95:$L95,"نعم")=0,$D95-SUM($T95:W95),ROUND($D95/COUNTIF($G95:$L95,"نعم"),2))),IF($F95="مبالغ متفق عليها",IF(K95="نعم",Q95,0),"")))</f>
      </c>
      <c r="Y95" s="151" t="str">
        <f>IF(COUNTIF($A95:$S95,"&lt;&gt;")=0,"",IF($F95="بالتساوي بين المشاركين",IF(L95&lt;&gt;"نعم",0,IF(0=0,$D95-SUM($T95:X95),ROUND($D95/COUNTIF($G95:$L95,"نعم"),2))),IF($F95="مبالغ متفق عليها",IF(L95="نعم",R95,0),"")))</f>
      </c>
      <c r="Z95" s="165" t="str">
        <f>IF(COUNTIF($A95:$S95,"&lt;&gt;")=0,"",IF(OR($D95="",$D95&lt;=0),"أدخل مبلغًا أكبر من صفر.",IF($E95="","اختر الشخص الذي دفع المبلغ.",IF(COUNTIF($G95:$L95,"نعم")=0,"حدد شخصًا واحدًا على الأقل للمشاركة في المصروف.",IF($F95="بالتساوي بين المشاركين","جاهز",IF($F95="مبالغ متفق عليها",IF(OR(AND(G95="نعم",M95=""),AND(H95="نعم",N95=""),AND(I95="نعم",O95=""),AND(J95="نعم",P95=""),AND(K95="نعم",Q95=""),AND(L95="نعم",R95="")),"أدخل المبالغ المتفق عليها بحيث يساوي مجموعها مبلغ المصروف.",IF(ABS(SUM($M95:$R95))&lt;0.005,"أدخل المبالغ المتفق عليها بحيث يساوي مجموعها مبلغ المصروف.",IF(SUM($M95:$R95)&lt;$D95-0.005,"يتبقى للتوزيع: "&amp;ROUND($D95-SUM($M95:$R95),2)&amp;".",IF(SUM($M95:$R95)&gt;$D95+0.005,"يزيد مجموع الحصص على المصروف بمقدار "&amp;ROUND(SUM($M95:$R95)-$D95,2)&amp;".","جاهز")))),"أدخل المبالغ المتفق عليها بحيث يساوي مجموعها مبلغ المصروف."))))))</f>
      </c>
    </row>
    <row r="96">
      <c r="A96" s="149"/>
      <c r="B96" s="138"/>
      <c r="C96" s="138"/>
      <c r="D96" s="150"/>
      <c r="E96" s="138"/>
      <c r="F96" s="138"/>
      <c r="G96" s="138"/>
      <c r="H96" s="138"/>
      <c r="I96" s="138"/>
      <c r="J96" s="138"/>
      <c r="K96" s="138"/>
      <c r="L96" s="138"/>
      <c r="M96" s="150"/>
      <c r="N96" s="150"/>
      <c r="O96" s="150"/>
      <c r="P96" s="150"/>
      <c r="Q96" s="150"/>
      <c r="R96" s="150"/>
      <c r="S96" s="138"/>
      <c r="T96" s="151" t="str">
        <f>IF(COUNTIF($A96:$S96,"&lt;&gt;")=0,"",IF($F96="بالتساوي بين المشاركين",IF(G96&lt;&gt;"نعم",0,IF(COUNTIF($H96:$L96,"نعم")=0,$D96-0,ROUND($D96/COUNTIF($G96:$L96,"نعم"),2))),IF($F96="مبالغ متفق عليها",IF(G96="نعم",M96,0),"")))</f>
      </c>
      <c r="U96" s="151" t="str">
        <f>IF(COUNTIF($A96:$S96,"&lt;&gt;")=0,"",IF($F96="بالتساوي بين المشاركين",IF(H96&lt;&gt;"نعم",0,IF(COUNTIF($I96:$L96,"نعم")=0,$D96-SUM($T96:T96),ROUND($D96/COUNTIF($G96:$L96,"نعم"),2))),IF($F96="مبالغ متفق عليها",IF(H96="نعم",N96,0),"")))</f>
      </c>
      <c r="V96" s="151" t="str">
        <f>IF(COUNTIF($A96:$S96,"&lt;&gt;")=0,"",IF($F96="بالتساوي بين المشاركين",IF(I96&lt;&gt;"نعم",0,IF(COUNTIF($J96:$L96,"نعم")=0,$D96-SUM($T96:U96),ROUND($D96/COUNTIF($G96:$L96,"نعم"),2))),IF($F96="مبالغ متفق عليها",IF(I96="نعم",O96,0),"")))</f>
      </c>
      <c r="W96" s="151" t="str">
        <f>IF(COUNTIF($A96:$S96,"&lt;&gt;")=0,"",IF($F96="بالتساوي بين المشاركين",IF(J96&lt;&gt;"نعم",0,IF(COUNTIF($K96:$L96,"نعم")=0,$D96-SUM($T96:V96),ROUND($D96/COUNTIF($G96:$L96,"نعم"),2))),IF($F96="مبالغ متفق عليها",IF(J96="نعم",P96,0),"")))</f>
      </c>
      <c r="X96" s="151" t="str">
        <f>IF(COUNTIF($A96:$S96,"&lt;&gt;")=0,"",IF($F96="بالتساوي بين المشاركين",IF(K96&lt;&gt;"نعم",0,IF(COUNTIF($L96:$L96,"نعم")=0,$D96-SUM($T96:W96),ROUND($D96/COUNTIF($G96:$L96,"نعم"),2))),IF($F96="مبالغ متفق عليها",IF(K96="نعم",Q96,0),"")))</f>
      </c>
      <c r="Y96" s="151" t="str">
        <f>IF(COUNTIF($A96:$S96,"&lt;&gt;")=0,"",IF($F96="بالتساوي بين المشاركين",IF(L96&lt;&gt;"نعم",0,IF(0=0,$D96-SUM($T96:X96),ROUND($D96/COUNTIF($G96:$L96,"نعم"),2))),IF($F96="مبالغ متفق عليها",IF(L96="نعم",R96,0),"")))</f>
      </c>
      <c r="Z96" s="165" t="str">
        <f>IF(COUNTIF($A96:$S96,"&lt;&gt;")=0,"",IF(OR($D96="",$D96&lt;=0),"أدخل مبلغًا أكبر من صفر.",IF($E96="","اختر الشخص الذي دفع المبلغ.",IF(COUNTIF($G96:$L96,"نعم")=0,"حدد شخصًا واحدًا على الأقل للمشاركة في المصروف.",IF($F96="بالتساوي بين المشاركين","جاهز",IF($F96="مبالغ متفق عليها",IF(OR(AND(G96="نعم",M96=""),AND(H96="نعم",N96=""),AND(I96="نعم",O96=""),AND(J96="نعم",P96=""),AND(K96="نعم",Q96=""),AND(L96="نعم",R96="")),"أدخل المبالغ المتفق عليها بحيث يساوي مجموعها مبلغ المصروف.",IF(ABS(SUM($M96:$R96))&lt;0.005,"أدخل المبالغ المتفق عليها بحيث يساوي مجموعها مبلغ المصروف.",IF(SUM($M96:$R96)&lt;$D96-0.005,"يتبقى للتوزيع: "&amp;ROUND($D96-SUM($M96:$R96),2)&amp;".",IF(SUM($M96:$R96)&gt;$D96+0.005,"يزيد مجموع الحصص على المصروف بمقدار "&amp;ROUND(SUM($M96:$R96)-$D96,2)&amp;".","جاهز")))),"أدخل المبالغ المتفق عليها بحيث يساوي مجموعها مبلغ المصروف."))))))</f>
      </c>
    </row>
    <row r="97">
      <c r="A97" s="149"/>
      <c r="B97" s="138"/>
      <c r="C97" s="138"/>
      <c r="D97" s="150"/>
      <c r="E97" s="138"/>
      <c r="F97" s="138"/>
      <c r="G97" s="138"/>
      <c r="H97" s="138"/>
      <c r="I97" s="138"/>
      <c r="J97" s="138"/>
      <c r="K97" s="138"/>
      <c r="L97" s="138"/>
      <c r="M97" s="150"/>
      <c r="N97" s="150"/>
      <c r="O97" s="150"/>
      <c r="P97" s="150"/>
      <c r="Q97" s="150"/>
      <c r="R97" s="150"/>
      <c r="S97" s="138"/>
      <c r="T97" s="151" t="str">
        <f>IF(COUNTIF($A97:$S97,"&lt;&gt;")=0,"",IF($F97="بالتساوي بين المشاركين",IF(G97&lt;&gt;"نعم",0,IF(COUNTIF($H97:$L97,"نعم")=0,$D97-0,ROUND($D97/COUNTIF($G97:$L97,"نعم"),2))),IF($F97="مبالغ متفق عليها",IF(G97="نعم",M97,0),"")))</f>
      </c>
      <c r="U97" s="151" t="str">
        <f>IF(COUNTIF($A97:$S97,"&lt;&gt;")=0,"",IF($F97="بالتساوي بين المشاركين",IF(H97&lt;&gt;"نعم",0,IF(COUNTIF($I97:$L97,"نعم")=0,$D97-SUM($T97:T97),ROUND($D97/COUNTIF($G97:$L97,"نعم"),2))),IF($F97="مبالغ متفق عليها",IF(H97="نعم",N97,0),"")))</f>
      </c>
      <c r="V97" s="151" t="str">
        <f>IF(COUNTIF($A97:$S97,"&lt;&gt;")=0,"",IF($F97="بالتساوي بين المشاركين",IF(I97&lt;&gt;"نعم",0,IF(COUNTIF($J97:$L97,"نعم")=0,$D97-SUM($T97:U97),ROUND($D97/COUNTIF($G97:$L97,"نعم"),2))),IF($F97="مبالغ متفق عليها",IF(I97="نعم",O97,0),"")))</f>
      </c>
      <c r="W97" s="151" t="str">
        <f>IF(COUNTIF($A97:$S97,"&lt;&gt;")=0,"",IF($F97="بالتساوي بين المشاركين",IF(J97&lt;&gt;"نعم",0,IF(COUNTIF($K97:$L97,"نعم")=0,$D97-SUM($T97:V97),ROUND($D97/COUNTIF($G97:$L97,"نعم"),2))),IF($F97="مبالغ متفق عليها",IF(J97="نعم",P97,0),"")))</f>
      </c>
      <c r="X97" s="151" t="str">
        <f>IF(COUNTIF($A97:$S97,"&lt;&gt;")=0,"",IF($F97="بالتساوي بين المشاركين",IF(K97&lt;&gt;"نعم",0,IF(COUNTIF($L97:$L97,"نعم")=0,$D97-SUM($T97:W97),ROUND($D97/COUNTIF($G97:$L97,"نعم"),2))),IF($F97="مبالغ متفق عليها",IF(K97="نعم",Q97,0),"")))</f>
      </c>
      <c r="Y97" s="151" t="str">
        <f>IF(COUNTIF($A97:$S97,"&lt;&gt;")=0,"",IF($F97="بالتساوي بين المشاركين",IF(L97&lt;&gt;"نعم",0,IF(0=0,$D97-SUM($T97:X97),ROUND($D97/COUNTIF($G97:$L97,"نعم"),2))),IF($F97="مبالغ متفق عليها",IF(L97="نعم",R97,0),"")))</f>
      </c>
      <c r="Z97" s="165" t="str">
        <f>IF(COUNTIF($A97:$S97,"&lt;&gt;")=0,"",IF(OR($D97="",$D97&lt;=0),"أدخل مبلغًا أكبر من صفر.",IF($E97="","اختر الشخص الذي دفع المبلغ.",IF(COUNTIF($G97:$L97,"نعم")=0,"حدد شخصًا واحدًا على الأقل للمشاركة في المصروف.",IF($F97="بالتساوي بين المشاركين","جاهز",IF($F97="مبالغ متفق عليها",IF(OR(AND(G97="نعم",M97=""),AND(H97="نعم",N97=""),AND(I97="نعم",O97=""),AND(J97="نعم",P97=""),AND(K97="نعم",Q97=""),AND(L97="نعم",R97="")),"أدخل المبالغ المتفق عليها بحيث يساوي مجموعها مبلغ المصروف.",IF(ABS(SUM($M97:$R97))&lt;0.005,"أدخل المبالغ المتفق عليها بحيث يساوي مجموعها مبلغ المصروف.",IF(SUM($M97:$R97)&lt;$D97-0.005,"يتبقى للتوزيع: "&amp;ROUND($D97-SUM($M97:$R97),2)&amp;".",IF(SUM($M97:$R97)&gt;$D97+0.005,"يزيد مجموع الحصص على المصروف بمقدار "&amp;ROUND(SUM($M97:$R97)-$D97,2)&amp;".","جاهز")))),"أدخل المبالغ المتفق عليها بحيث يساوي مجموعها مبلغ المصروف."))))))</f>
      </c>
    </row>
    <row r="98">
      <c r="A98" s="149"/>
      <c r="B98" s="138"/>
      <c r="C98" s="138"/>
      <c r="D98" s="150"/>
      <c r="E98" s="138"/>
      <c r="F98" s="138"/>
      <c r="G98" s="138"/>
      <c r="H98" s="138"/>
      <c r="I98" s="138"/>
      <c r="J98" s="138"/>
      <c r="K98" s="138"/>
      <c r="L98" s="138"/>
      <c r="M98" s="150"/>
      <c r="N98" s="150"/>
      <c r="O98" s="150"/>
      <c r="P98" s="150"/>
      <c r="Q98" s="150"/>
      <c r="R98" s="150"/>
      <c r="S98" s="138"/>
      <c r="T98" s="151" t="str">
        <f>IF(COUNTIF($A98:$S98,"&lt;&gt;")=0,"",IF($F98="بالتساوي بين المشاركين",IF(G98&lt;&gt;"نعم",0,IF(COUNTIF($H98:$L98,"نعم")=0,$D98-0,ROUND($D98/COUNTIF($G98:$L98,"نعم"),2))),IF($F98="مبالغ متفق عليها",IF(G98="نعم",M98,0),"")))</f>
      </c>
      <c r="U98" s="151" t="str">
        <f>IF(COUNTIF($A98:$S98,"&lt;&gt;")=0,"",IF($F98="بالتساوي بين المشاركين",IF(H98&lt;&gt;"نعم",0,IF(COUNTIF($I98:$L98,"نعم")=0,$D98-SUM($T98:T98),ROUND($D98/COUNTIF($G98:$L98,"نعم"),2))),IF($F98="مبالغ متفق عليها",IF(H98="نعم",N98,0),"")))</f>
      </c>
      <c r="V98" s="151" t="str">
        <f>IF(COUNTIF($A98:$S98,"&lt;&gt;")=0,"",IF($F98="بالتساوي بين المشاركين",IF(I98&lt;&gt;"نعم",0,IF(COUNTIF($J98:$L98,"نعم")=0,$D98-SUM($T98:U98),ROUND($D98/COUNTIF($G98:$L98,"نعم"),2))),IF($F98="مبالغ متفق عليها",IF(I98="نعم",O98,0),"")))</f>
      </c>
      <c r="W98" s="151" t="str">
        <f>IF(COUNTIF($A98:$S98,"&lt;&gt;")=0,"",IF($F98="بالتساوي بين المشاركين",IF(J98&lt;&gt;"نعم",0,IF(COUNTIF($K98:$L98,"نعم")=0,$D98-SUM($T98:V98),ROUND($D98/COUNTIF($G98:$L98,"نعم"),2))),IF($F98="مبالغ متفق عليها",IF(J98="نعم",P98,0),"")))</f>
      </c>
      <c r="X98" s="151" t="str">
        <f>IF(COUNTIF($A98:$S98,"&lt;&gt;")=0,"",IF($F98="بالتساوي بين المشاركين",IF(K98&lt;&gt;"نعم",0,IF(COUNTIF($L98:$L98,"نعم")=0,$D98-SUM($T98:W98),ROUND($D98/COUNTIF($G98:$L98,"نعم"),2))),IF($F98="مبالغ متفق عليها",IF(K98="نعم",Q98,0),"")))</f>
      </c>
      <c r="Y98" s="151" t="str">
        <f>IF(COUNTIF($A98:$S98,"&lt;&gt;")=0,"",IF($F98="بالتساوي بين المشاركين",IF(L98&lt;&gt;"نعم",0,IF(0=0,$D98-SUM($T98:X98),ROUND($D98/COUNTIF($G98:$L98,"نعم"),2))),IF($F98="مبالغ متفق عليها",IF(L98="نعم",R98,0),"")))</f>
      </c>
      <c r="Z98" s="165" t="str">
        <f>IF(COUNTIF($A98:$S98,"&lt;&gt;")=0,"",IF(OR($D98="",$D98&lt;=0),"أدخل مبلغًا أكبر من صفر.",IF($E98="","اختر الشخص الذي دفع المبلغ.",IF(COUNTIF($G98:$L98,"نعم")=0,"حدد شخصًا واحدًا على الأقل للمشاركة في المصروف.",IF($F98="بالتساوي بين المشاركين","جاهز",IF($F98="مبالغ متفق عليها",IF(OR(AND(G98="نعم",M98=""),AND(H98="نعم",N98=""),AND(I98="نعم",O98=""),AND(J98="نعم",P98=""),AND(K98="نعم",Q98=""),AND(L98="نعم",R98="")),"أدخل المبالغ المتفق عليها بحيث يساوي مجموعها مبلغ المصروف.",IF(ABS(SUM($M98:$R98))&lt;0.005,"أدخل المبالغ المتفق عليها بحيث يساوي مجموعها مبلغ المصروف.",IF(SUM($M98:$R98)&lt;$D98-0.005,"يتبقى للتوزيع: "&amp;ROUND($D98-SUM($M98:$R98),2)&amp;".",IF(SUM($M98:$R98)&gt;$D98+0.005,"يزيد مجموع الحصص على المصروف بمقدار "&amp;ROUND(SUM($M98:$R98)-$D98,2)&amp;".","جاهز")))),"أدخل المبالغ المتفق عليها بحيث يساوي مجموعها مبلغ المصروف."))))))</f>
      </c>
    </row>
    <row r="99">
      <c r="A99" s="149"/>
      <c r="B99" s="138"/>
      <c r="C99" s="138"/>
      <c r="D99" s="150"/>
      <c r="E99" s="138"/>
      <c r="F99" s="138"/>
      <c r="G99" s="138"/>
      <c r="H99" s="138"/>
      <c r="I99" s="138"/>
      <c r="J99" s="138"/>
      <c r="K99" s="138"/>
      <c r="L99" s="138"/>
      <c r="M99" s="150"/>
      <c r="N99" s="150"/>
      <c r="O99" s="150"/>
      <c r="P99" s="150"/>
      <c r="Q99" s="150"/>
      <c r="R99" s="150"/>
      <c r="S99" s="138"/>
      <c r="T99" s="151" t="str">
        <f>IF(COUNTIF($A99:$S99,"&lt;&gt;")=0,"",IF($F99="بالتساوي بين المشاركين",IF(G99&lt;&gt;"نعم",0,IF(COUNTIF($H99:$L99,"نعم")=0,$D99-0,ROUND($D99/COUNTIF($G99:$L99,"نعم"),2))),IF($F99="مبالغ متفق عليها",IF(G99="نعم",M99,0),"")))</f>
      </c>
      <c r="U99" s="151" t="str">
        <f>IF(COUNTIF($A99:$S99,"&lt;&gt;")=0,"",IF($F99="بالتساوي بين المشاركين",IF(H99&lt;&gt;"نعم",0,IF(COUNTIF($I99:$L99,"نعم")=0,$D99-SUM($T99:T99),ROUND($D99/COUNTIF($G99:$L99,"نعم"),2))),IF($F99="مبالغ متفق عليها",IF(H99="نعم",N99,0),"")))</f>
      </c>
      <c r="V99" s="151" t="str">
        <f>IF(COUNTIF($A99:$S99,"&lt;&gt;")=0,"",IF($F99="بالتساوي بين المشاركين",IF(I99&lt;&gt;"نعم",0,IF(COUNTIF($J99:$L99,"نعم")=0,$D99-SUM($T99:U99),ROUND($D99/COUNTIF($G99:$L99,"نعم"),2))),IF($F99="مبالغ متفق عليها",IF(I99="نعم",O99,0),"")))</f>
      </c>
      <c r="W99" s="151" t="str">
        <f>IF(COUNTIF($A99:$S99,"&lt;&gt;")=0,"",IF($F99="بالتساوي بين المشاركين",IF(J99&lt;&gt;"نعم",0,IF(COUNTIF($K99:$L99,"نعم")=0,$D99-SUM($T99:V99),ROUND($D99/COUNTIF($G99:$L99,"نعم"),2))),IF($F99="مبالغ متفق عليها",IF(J99="نعم",P99,0),"")))</f>
      </c>
      <c r="X99" s="151" t="str">
        <f>IF(COUNTIF($A99:$S99,"&lt;&gt;")=0,"",IF($F99="بالتساوي بين المشاركين",IF(K99&lt;&gt;"نعم",0,IF(COUNTIF($L99:$L99,"نعم")=0,$D99-SUM($T99:W99),ROUND($D99/COUNTIF($G99:$L99,"نعم"),2))),IF($F99="مبالغ متفق عليها",IF(K99="نعم",Q99,0),"")))</f>
      </c>
      <c r="Y99" s="151" t="str">
        <f>IF(COUNTIF($A99:$S99,"&lt;&gt;")=0,"",IF($F99="بالتساوي بين المشاركين",IF(L99&lt;&gt;"نعم",0,IF(0=0,$D99-SUM($T99:X99),ROUND($D99/COUNTIF($G99:$L99,"نعم"),2))),IF($F99="مبالغ متفق عليها",IF(L99="نعم",R99,0),"")))</f>
      </c>
      <c r="Z99" s="165" t="str">
        <f>IF(COUNTIF($A99:$S99,"&lt;&gt;")=0,"",IF(OR($D99="",$D99&lt;=0),"أدخل مبلغًا أكبر من صفر.",IF($E99="","اختر الشخص الذي دفع المبلغ.",IF(COUNTIF($G99:$L99,"نعم")=0,"حدد شخصًا واحدًا على الأقل للمشاركة في المصروف.",IF($F99="بالتساوي بين المشاركين","جاهز",IF($F99="مبالغ متفق عليها",IF(OR(AND(G99="نعم",M99=""),AND(H99="نعم",N99=""),AND(I99="نعم",O99=""),AND(J99="نعم",P99=""),AND(K99="نعم",Q99=""),AND(L99="نعم",R99="")),"أدخل المبالغ المتفق عليها بحيث يساوي مجموعها مبلغ المصروف.",IF(ABS(SUM($M99:$R99))&lt;0.005,"أدخل المبالغ المتفق عليها بحيث يساوي مجموعها مبلغ المصروف.",IF(SUM($M99:$R99)&lt;$D99-0.005,"يتبقى للتوزيع: "&amp;ROUND($D99-SUM($M99:$R99),2)&amp;".",IF(SUM($M99:$R99)&gt;$D99+0.005,"يزيد مجموع الحصص على المصروف بمقدار "&amp;ROUND(SUM($M99:$R99)-$D99,2)&amp;".","جاهز")))),"أدخل المبالغ المتفق عليها بحيث يساوي مجموعها مبلغ المصروف."))))))</f>
      </c>
    </row>
    <row r="100">
      <c r="A100" s="149"/>
      <c r="B100" s="138"/>
      <c r="C100" s="138"/>
      <c r="D100" s="150"/>
      <c r="E100" s="138"/>
      <c r="F100" s="138"/>
      <c r="G100" s="138"/>
      <c r="H100" s="138"/>
      <c r="I100" s="138"/>
      <c r="J100" s="138"/>
      <c r="K100" s="138"/>
      <c r="L100" s="138"/>
      <c r="M100" s="150"/>
      <c r="N100" s="150"/>
      <c r="O100" s="150"/>
      <c r="P100" s="150"/>
      <c r="Q100" s="150"/>
      <c r="R100" s="150"/>
      <c r="S100" s="138"/>
      <c r="T100" s="151" t="str">
        <f>IF(COUNTIF($A100:$S100,"&lt;&gt;")=0,"",IF($F100="بالتساوي بين المشاركين",IF(G100&lt;&gt;"نعم",0,IF(COUNTIF($H100:$L100,"نعم")=0,$D100-0,ROUND($D100/COUNTIF($G100:$L100,"نعم"),2))),IF($F100="مبالغ متفق عليها",IF(G100="نعم",M100,0),"")))</f>
      </c>
      <c r="U100" s="151" t="str">
        <f>IF(COUNTIF($A100:$S100,"&lt;&gt;")=0,"",IF($F100="بالتساوي بين المشاركين",IF(H100&lt;&gt;"نعم",0,IF(COUNTIF($I100:$L100,"نعم")=0,$D100-SUM($T100:T100),ROUND($D100/COUNTIF($G100:$L100,"نعم"),2))),IF($F100="مبالغ متفق عليها",IF(H100="نعم",N100,0),"")))</f>
      </c>
      <c r="V100" s="151" t="str">
        <f>IF(COUNTIF($A100:$S100,"&lt;&gt;")=0,"",IF($F100="بالتساوي بين المشاركين",IF(I100&lt;&gt;"نعم",0,IF(COUNTIF($J100:$L100,"نعم")=0,$D100-SUM($T100:U100),ROUND($D100/COUNTIF($G100:$L100,"نعم"),2))),IF($F100="مبالغ متفق عليها",IF(I100="نعم",O100,0),"")))</f>
      </c>
      <c r="W100" s="151" t="str">
        <f>IF(COUNTIF($A100:$S100,"&lt;&gt;")=0,"",IF($F100="بالتساوي بين المشاركين",IF(J100&lt;&gt;"نعم",0,IF(COUNTIF($K100:$L100,"نعم")=0,$D100-SUM($T100:V100),ROUND($D100/COUNTIF($G100:$L100,"نعم"),2))),IF($F100="مبالغ متفق عليها",IF(J100="نعم",P100,0),"")))</f>
      </c>
      <c r="X100" s="151" t="str">
        <f>IF(COUNTIF($A100:$S100,"&lt;&gt;")=0,"",IF($F100="بالتساوي بين المشاركين",IF(K100&lt;&gt;"نعم",0,IF(COUNTIF($L100:$L100,"نعم")=0,$D100-SUM($T100:W100),ROUND($D100/COUNTIF($G100:$L100,"نعم"),2))),IF($F100="مبالغ متفق عليها",IF(K100="نعم",Q100,0),"")))</f>
      </c>
      <c r="Y100" s="151" t="str">
        <f>IF(COUNTIF($A100:$S100,"&lt;&gt;")=0,"",IF($F100="بالتساوي بين المشاركين",IF(L100&lt;&gt;"نعم",0,IF(0=0,$D100-SUM($T100:X100),ROUND($D100/COUNTIF($G100:$L100,"نعم"),2))),IF($F100="مبالغ متفق عليها",IF(L100="نعم",R100,0),"")))</f>
      </c>
      <c r="Z100" s="165" t="str">
        <f>IF(COUNTIF($A100:$S100,"&lt;&gt;")=0,"",IF(OR($D100="",$D100&lt;=0),"أدخل مبلغًا أكبر من صفر.",IF($E100="","اختر الشخص الذي دفع المبلغ.",IF(COUNTIF($G100:$L100,"نعم")=0,"حدد شخصًا واحدًا على الأقل للمشاركة في المصروف.",IF($F100="بالتساوي بين المشاركين","جاهز",IF($F100="مبالغ متفق عليها",IF(OR(AND(G100="نعم",M100=""),AND(H100="نعم",N100=""),AND(I100="نعم",O100=""),AND(J100="نعم",P100=""),AND(K100="نعم",Q100=""),AND(L100="نعم",R100="")),"أدخل المبالغ المتفق عليها بحيث يساوي مجموعها مبلغ المصروف.",IF(ABS(SUM($M100:$R100))&lt;0.005,"أدخل المبالغ المتفق عليها بحيث يساوي مجموعها مبلغ المصروف.",IF(SUM($M100:$R100)&lt;$D100-0.005,"يتبقى للتوزيع: "&amp;ROUND($D100-SUM($M100:$R100),2)&amp;".",IF(SUM($M100:$R100)&gt;$D100+0.005,"يزيد مجموع الحصص على المصروف بمقدار "&amp;ROUND(SUM($M100:$R100)-$D100,2)&amp;".","جاهز")))),"أدخل المبالغ المتفق عليها بحيث يساوي مجموعها مبلغ المصروف."))))))</f>
      </c>
    </row>
    <row r="101">
      <c r="A101" s="149"/>
      <c r="B101" s="138"/>
      <c r="C101" s="138"/>
      <c r="D101" s="150"/>
      <c r="E101" s="138"/>
      <c r="F101" s="138"/>
      <c r="G101" s="138"/>
      <c r="H101" s="138"/>
      <c r="I101" s="138"/>
      <c r="J101" s="138"/>
      <c r="K101" s="138"/>
      <c r="L101" s="138"/>
      <c r="M101" s="150"/>
      <c r="N101" s="150"/>
      <c r="O101" s="150"/>
      <c r="P101" s="150"/>
      <c r="Q101" s="150"/>
      <c r="R101" s="150"/>
      <c r="S101" s="138"/>
      <c r="T101" s="151" t="str">
        <f>IF(COUNTIF($A101:$S101,"&lt;&gt;")=0,"",IF($F101="بالتساوي بين المشاركين",IF(G101&lt;&gt;"نعم",0,IF(COUNTIF($H101:$L101,"نعم")=0,$D101-0,ROUND($D101/COUNTIF($G101:$L101,"نعم"),2))),IF($F101="مبالغ متفق عليها",IF(G101="نعم",M101,0),"")))</f>
      </c>
      <c r="U101" s="151" t="str">
        <f>IF(COUNTIF($A101:$S101,"&lt;&gt;")=0,"",IF($F101="بالتساوي بين المشاركين",IF(H101&lt;&gt;"نعم",0,IF(COUNTIF($I101:$L101,"نعم")=0,$D101-SUM($T101:T101),ROUND($D101/COUNTIF($G101:$L101,"نعم"),2))),IF($F101="مبالغ متفق عليها",IF(H101="نعم",N101,0),"")))</f>
      </c>
      <c r="V101" s="151" t="str">
        <f>IF(COUNTIF($A101:$S101,"&lt;&gt;")=0,"",IF($F101="بالتساوي بين المشاركين",IF(I101&lt;&gt;"نعم",0,IF(COUNTIF($J101:$L101,"نعم")=0,$D101-SUM($T101:U101),ROUND($D101/COUNTIF($G101:$L101,"نعم"),2))),IF($F101="مبالغ متفق عليها",IF(I101="نعم",O101,0),"")))</f>
      </c>
      <c r="W101" s="151" t="str">
        <f>IF(COUNTIF($A101:$S101,"&lt;&gt;")=0,"",IF($F101="بالتساوي بين المشاركين",IF(J101&lt;&gt;"نعم",0,IF(COUNTIF($K101:$L101,"نعم")=0,$D101-SUM($T101:V101),ROUND($D101/COUNTIF($G101:$L101,"نعم"),2))),IF($F101="مبالغ متفق عليها",IF(J101="نعم",P101,0),"")))</f>
      </c>
      <c r="X101" s="151" t="str">
        <f>IF(COUNTIF($A101:$S101,"&lt;&gt;")=0,"",IF($F101="بالتساوي بين المشاركين",IF(K101&lt;&gt;"نعم",0,IF(COUNTIF($L101:$L101,"نعم")=0,$D101-SUM($T101:W101),ROUND($D101/COUNTIF($G101:$L101,"نعم"),2))),IF($F101="مبالغ متفق عليها",IF(K101="نعم",Q101,0),"")))</f>
      </c>
      <c r="Y101" s="151" t="str">
        <f>IF(COUNTIF($A101:$S101,"&lt;&gt;")=0,"",IF($F101="بالتساوي بين المشاركين",IF(L101&lt;&gt;"نعم",0,IF(0=0,$D101-SUM($T101:X101),ROUND($D101/COUNTIF($G101:$L101,"نعم"),2))),IF($F101="مبالغ متفق عليها",IF(L101="نعم",R101,0),"")))</f>
      </c>
      <c r="Z101" s="165" t="str">
        <f>IF(COUNTIF($A101:$S101,"&lt;&gt;")=0,"",IF(OR($D101="",$D101&lt;=0),"أدخل مبلغًا أكبر من صفر.",IF($E101="","اختر الشخص الذي دفع المبلغ.",IF(COUNTIF($G101:$L101,"نعم")=0,"حدد شخصًا واحدًا على الأقل للمشاركة في المصروف.",IF($F101="بالتساوي بين المشاركين","جاهز",IF($F101="مبالغ متفق عليها",IF(OR(AND(G101="نعم",M101=""),AND(H101="نعم",N101=""),AND(I101="نعم",O101=""),AND(J101="نعم",P101=""),AND(K101="نعم",Q101=""),AND(L101="نعم",R101="")),"أدخل المبالغ المتفق عليها بحيث يساوي مجموعها مبلغ المصروف.",IF(ABS(SUM($M101:$R101))&lt;0.005,"أدخل المبالغ المتفق عليها بحيث يساوي مجموعها مبلغ المصروف.",IF(SUM($M101:$R101)&lt;$D101-0.005,"يتبقى للتوزيع: "&amp;ROUND($D101-SUM($M101:$R101),2)&amp;".",IF(SUM($M101:$R101)&gt;$D101+0.005,"يزيد مجموع الحصص على المصروف بمقدار "&amp;ROUND(SUM($M101:$R101)-$D101,2)&amp;".","جاهز")))),"أدخل المبالغ المتفق عليها بحيث يساوي مجموعها مبلغ المصروف."))))))</f>
      </c>
    </row>
    <row r="102">
      <c r="A102" s="149"/>
      <c r="B102" s="138"/>
      <c r="C102" s="138"/>
      <c r="D102" s="150"/>
      <c r="E102" s="138"/>
      <c r="F102" s="138"/>
      <c r="G102" s="138"/>
      <c r="H102" s="138"/>
      <c r="I102" s="138"/>
      <c r="J102" s="138"/>
      <c r="K102" s="138"/>
      <c r="L102" s="138"/>
      <c r="M102" s="150"/>
      <c r="N102" s="150"/>
      <c r="O102" s="150"/>
      <c r="P102" s="150"/>
      <c r="Q102" s="150"/>
      <c r="R102" s="150"/>
      <c r="S102" s="138"/>
      <c r="T102" s="151" t="str">
        <f>IF(COUNTIF($A102:$S102,"&lt;&gt;")=0,"",IF($F102="بالتساوي بين المشاركين",IF(G102&lt;&gt;"نعم",0,IF(COUNTIF($H102:$L102,"نعم")=0,$D102-0,ROUND($D102/COUNTIF($G102:$L102,"نعم"),2))),IF($F102="مبالغ متفق عليها",IF(G102="نعم",M102,0),"")))</f>
      </c>
      <c r="U102" s="151" t="str">
        <f>IF(COUNTIF($A102:$S102,"&lt;&gt;")=0,"",IF($F102="بالتساوي بين المشاركين",IF(H102&lt;&gt;"نعم",0,IF(COUNTIF($I102:$L102,"نعم")=0,$D102-SUM($T102:T102),ROUND($D102/COUNTIF($G102:$L102,"نعم"),2))),IF($F102="مبالغ متفق عليها",IF(H102="نعم",N102,0),"")))</f>
      </c>
      <c r="V102" s="151" t="str">
        <f>IF(COUNTIF($A102:$S102,"&lt;&gt;")=0,"",IF($F102="بالتساوي بين المشاركين",IF(I102&lt;&gt;"نعم",0,IF(COUNTIF($J102:$L102,"نعم")=0,$D102-SUM($T102:U102),ROUND($D102/COUNTIF($G102:$L102,"نعم"),2))),IF($F102="مبالغ متفق عليها",IF(I102="نعم",O102,0),"")))</f>
      </c>
      <c r="W102" s="151" t="str">
        <f>IF(COUNTIF($A102:$S102,"&lt;&gt;")=0,"",IF($F102="بالتساوي بين المشاركين",IF(J102&lt;&gt;"نعم",0,IF(COUNTIF($K102:$L102,"نعم")=0,$D102-SUM($T102:V102),ROUND($D102/COUNTIF($G102:$L102,"نعم"),2))),IF($F102="مبالغ متفق عليها",IF(J102="نعم",P102,0),"")))</f>
      </c>
      <c r="X102" s="151" t="str">
        <f>IF(COUNTIF($A102:$S102,"&lt;&gt;")=0,"",IF($F102="بالتساوي بين المشاركين",IF(K102&lt;&gt;"نعم",0,IF(COUNTIF($L102:$L102,"نعم")=0,$D102-SUM($T102:W102),ROUND($D102/COUNTIF($G102:$L102,"نعم"),2))),IF($F102="مبالغ متفق عليها",IF(K102="نعم",Q102,0),"")))</f>
      </c>
      <c r="Y102" s="151" t="str">
        <f>IF(COUNTIF($A102:$S102,"&lt;&gt;")=0,"",IF($F102="بالتساوي بين المشاركين",IF(L102&lt;&gt;"نعم",0,IF(0=0,$D102-SUM($T102:X102),ROUND($D102/COUNTIF($G102:$L102,"نعم"),2))),IF($F102="مبالغ متفق عليها",IF(L102="نعم",R102,0),"")))</f>
      </c>
      <c r="Z102" s="165" t="str">
        <f>IF(COUNTIF($A102:$S102,"&lt;&gt;")=0,"",IF(OR($D102="",$D102&lt;=0),"أدخل مبلغًا أكبر من صفر.",IF($E102="","اختر الشخص الذي دفع المبلغ.",IF(COUNTIF($G102:$L102,"نعم")=0,"حدد شخصًا واحدًا على الأقل للمشاركة في المصروف.",IF($F102="بالتساوي بين المشاركين","جاهز",IF($F102="مبالغ متفق عليها",IF(OR(AND(G102="نعم",M102=""),AND(H102="نعم",N102=""),AND(I102="نعم",O102=""),AND(J102="نعم",P102=""),AND(K102="نعم",Q102=""),AND(L102="نعم",R102="")),"أدخل المبالغ المتفق عليها بحيث يساوي مجموعها مبلغ المصروف.",IF(ABS(SUM($M102:$R102))&lt;0.005,"أدخل المبالغ المتفق عليها بحيث يساوي مجموعها مبلغ المصروف.",IF(SUM($M102:$R102)&lt;$D102-0.005,"يتبقى للتوزيع: "&amp;ROUND($D102-SUM($M102:$R102),2)&amp;".",IF(SUM($M102:$R102)&gt;$D102+0.005,"يزيد مجموع الحصص على المصروف بمقدار "&amp;ROUND(SUM($M102:$R102)-$D102,2)&amp;".","جاهز")))),"أدخل المبالغ المتفق عليها بحيث يساوي مجموعها مبلغ المصروف."))))))</f>
      </c>
    </row>
    <row r="103">
      <c r="A103" s="149"/>
      <c r="B103" s="138"/>
      <c r="C103" s="138"/>
      <c r="D103" s="150"/>
      <c r="E103" s="138"/>
      <c r="F103" s="138"/>
      <c r="G103" s="138"/>
      <c r="H103" s="138"/>
      <c r="I103" s="138"/>
      <c r="J103" s="138"/>
      <c r="K103" s="138"/>
      <c r="L103" s="138"/>
      <c r="M103" s="150"/>
      <c r="N103" s="150"/>
      <c r="O103" s="150"/>
      <c r="P103" s="150"/>
      <c r="Q103" s="150"/>
      <c r="R103" s="150"/>
      <c r="S103" s="138"/>
      <c r="T103" s="151" t="str">
        <f>IF(COUNTIF($A103:$S103,"&lt;&gt;")=0,"",IF($F103="بالتساوي بين المشاركين",IF(G103&lt;&gt;"نعم",0,IF(COUNTIF($H103:$L103,"نعم")=0,$D103-0,ROUND($D103/COUNTIF($G103:$L103,"نعم"),2))),IF($F103="مبالغ متفق عليها",IF(G103="نعم",M103,0),"")))</f>
      </c>
      <c r="U103" s="151" t="str">
        <f>IF(COUNTIF($A103:$S103,"&lt;&gt;")=0,"",IF($F103="بالتساوي بين المشاركين",IF(H103&lt;&gt;"نعم",0,IF(COUNTIF($I103:$L103,"نعم")=0,$D103-SUM($T103:T103),ROUND($D103/COUNTIF($G103:$L103,"نعم"),2))),IF($F103="مبالغ متفق عليها",IF(H103="نعم",N103,0),"")))</f>
      </c>
      <c r="V103" s="151" t="str">
        <f>IF(COUNTIF($A103:$S103,"&lt;&gt;")=0,"",IF($F103="بالتساوي بين المشاركين",IF(I103&lt;&gt;"نعم",0,IF(COUNTIF($J103:$L103,"نعم")=0,$D103-SUM($T103:U103),ROUND($D103/COUNTIF($G103:$L103,"نعم"),2))),IF($F103="مبالغ متفق عليها",IF(I103="نعم",O103,0),"")))</f>
      </c>
      <c r="W103" s="151" t="str">
        <f>IF(COUNTIF($A103:$S103,"&lt;&gt;")=0,"",IF($F103="بالتساوي بين المشاركين",IF(J103&lt;&gt;"نعم",0,IF(COUNTIF($K103:$L103,"نعم")=0,$D103-SUM($T103:V103),ROUND($D103/COUNTIF($G103:$L103,"نعم"),2))),IF($F103="مبالغ متفق عليها",IF(J103="نعم",P103,0),"")))</f>
      </c>
      <c r="X103" s="151" t="str">
        <f>IF(COUNTIF($A103:$S103,"&lt;&gt;")=0,"",IF($F103="بالتساوي بين المشاركين",IF(K103&lt;&gt;"نعم",0,IF(COUNTIF($L103:$L103,"نعم")=0,$D103-SUM($T103:W103),ROUND($D103/COUNTIF($G103:$L103,"نعم"),2))),IF($F103="مبالغ متفق عليها",IF(K103="نعم",Q103,0),"")))</f>
      </c>
      <c r="Y103" s="151" t="str">
        <f>IF(COUNTIF($A103:$S103,"&lt;&gt;")=0,"",IF($F103="بالتساوي بين المشاركين",IF(L103&lt;&gt;"نعم",0,IF(0=0,$D103-SUM($T103:X103),ROUND($D103/COUNTIF($G103:$L103,"نعم"),2))),IF($F103="مبالغ متفق عليها",IF(L103="نعم",R103,0),"")))</f>
      </c>
      <c r="Z103" s="165" t="str">
        <f>IF(COUNTIF($A103:$S103,"&lt;&gt;")=0,"",IF(OR($D103="",$D103&lt;=0),"أدخل مبلغًا أكبر من صفر.",IF($E103="","اختر الشخص الذي دفع المبلغ.",IF(COUNTIF($G103:$L103,"نعم")=0,"حدد شخصًا واحدًا على الأقل للمشاركة في المصروف.",IF($F103="بالتساوي بين المشاركين","جاهز",IF($F103="مبالغ متفق عليها",IF(OR(AND(G103="نعم",M103=""),AND(H103="نعم",N103=""),AND(I103="نعم",O103=""),AND(J103="نعم",P103=""),AND(K103="نعم",Q103=""),AND(L103="نعم",R103="")),"أدخل المبالغ المتفق عليها بحيث يساوي مجموعها مبلغ المصروف.",IF(ABS(SUM($M103:$R103))&lt;0.005,"أدخل المبالغ المتفق عليها بحيث يساوي مجموعها مبلغ المصروف.",IF(SUM($M103:$R103)&lt;$D103-0.005,"يتبقى للتوزيع: "&amp;ROUND($D103-SUM($M103:$R103),2)&amp;".",IF(SUM($M103:$R103)&gt;$D103+0.005,"يزيد مجموع الحصص على المصروف بمقدار "&amp;ROUND(SUM($M103:$R103)-$D103,2)&amp;".","جاهز")))),"أدخل المبالغ المتفق عليها بحيث يساوي مجموعها مبلغ المصروف."))))))</f>
      </c>
    </row>
    <row r="104">
      <c r="A104" s="149"/>
      <c r="B104" s="138"/>
      <c r="C104" s="138"/>
      <c r="D104" s="150"/>
      <c r="E104" s="138"/>
      <c r="F104" s="138"/>
      <c r="G104" s="138"/>
      <c r="H104" s="138"/>
      <c r="I104" s="138"/>
      <c r="J104" s="138"/>
      <c r="K104" s="138"/>
      <c r="L104" s="138"/>
      <c r="M104" s="150"/>
      <c r="N104" s="150"/>
      <c r="O104" s="150"/>
      <c r="P104" s="150"/>
      <c r="Q104" s="150"/>
      <c r="R104" s="150"/>
      <c r="S104" s="138"/>
      <c r="T104" s="151" t="str">
        <f>IF(COUNTIF($A104:$S104,"&lt;&gt;")=0,"",IF($F104="بالتساوي بين المشاركين",IF(G104&lt;&gt;"نعم",0,IF(COUNTIF($H104:$L104,"نعم")=0,$D104-0,ROUND($D104/COUNTIF($G104:$L104,"نعم"),2))),IF($F104="مبالغ متفق عليها",IF(G104="نعم",M104,0),"")))</f>
      </c>
      <c r="U104" s="151" t="str">
        <f>IF(COUNTIF($A104:$S104,"&lt;&gt;")=0,"",IF($F104="بالتساوي بين المشاركين",IF(H104&lt;&gt;"نعم",0,IF(COUNTIF($I104:$L104,"نعم")=0,$D104-SUM($T104:T104),ROUND($D104/COUNTIF($G104:$L104,"نعم"),2))),IF($F104="مبالغ متفق عليها",IF(H104="نعم",N104,0),"")))</f>
      </c>
      <c r="V104" s="151" t="str">
        <f>IF(COUNTIF($A104:$S104,"&lt;&gt;")=0,"",IF($F104="بالتساوي بين المشاركين",IF(I104&lt;&gt;"نعم",0,IF(COUNTIF($J104:$L104,"نعم")=0,$D104-SUM($T104:U104),ROUND($D104/COUNTIF($G104:$L104,"نعم"),2))),IF($F104="مبالغ متفق عليها",IF(I104="نعم",O104,0),"")))</f>
      </c>
      <c r="W104" s="151" t="str">
        <f>IF(COUNTIF($A104:$S104,"&lt;&gt;")=0,"",IF($F104="بالتساوي بين المشاركين",IF(J104&lt;&gt;"نعم",0,IF(COUNTIF($K104:$L104,"نعم")=0,$D104-SUM($T104:V104),ROUND($D104/COUNTIF($G104:$L104,"نعم"),2))),IF($F104="مبالغ متفق عليها",IF(J104="نعم",P104,0),"")))</f>
      </c>
      <c r="X104" s="151" t="str">
        <f>IF(COUNTIF($A104:$S104,"&lt;&gt;")=0,"",IF($F104="بالتساوي بين المشاركين",IF(K104&lt;&gt;"نعم",0,IF(COUNTIF($L104:$L104,"نعم")=0,$D104-SUM($T104:W104),ROUND($D104/COUNTIF($G104:$L104,"نعم"),2))),IF($F104="مبالغ متفق عليها",IF(K104="نعم",Q104,0),"")))</f>
      </c>
      <c r="Y104" s="151" t="str">
        <f>IF(COUNTIF($A104:$S104,"&lt;&gt;")=0,"",IF($F104="بالتساوي بين المشاركين",IF(L104&lt;&gt;"نعم",0,IF(0=0,$D104-SUM($T104:X104),ROUND($D104/COUNTIF($G104:$L104,"نعم"),2))),IF($F104="مبالغ متفق عليها",IF(L104="نعم",R104,0),"")))</f>
      </c>
      <c r="Z104" s="165" t="str">
        <f>IF(COUNTIF($A104:$S104,"&lt;&gt;")=0,"",IF(OR($D104="",$D104&lt;=0),"أدخل مبلغًا أكبر من صفر.",IF($E104="","اختر الشخص الذي دفع المبلغ.",IF(COUNTIF($G104:$L104,"نعم")=0,"حدد شخصًا واحدًا على الأقل للمشاركة في المصروف.",IF($F104="بالتساوي بين المشاركين","جاهز",IF($F104="مبالغ متفق عليها",IF(OR(AND(G104="نعم",M104=""),AND(H104="نعم",N104=""),AND(I104="نعم",O104=""),AND(J104="نعم",P104=""),AND(K104="نعم",Q104=""),AND(L104="نعم",R104="")),"أدخل المبالغ المتفق عليها بحيث يساوي مجموعها مبلغ المصروف.",IF(ABS(SUM($M104:$R104))&lt;0.005,"أدخل المبالغ المتفق عليها بحيث يساوي مجموعها مبلغ المصروف.",IF(SUM($M104:$R104)&lt;$D104-0.005,"يتبقى للتوزيع: "&amp;ROUND($D104-SUM($M104:$R104),2)&amp;".",IF(SUM($M104:$R104)&gt;$D104+0.005,"يزيد مجموع الحصص على المصروف بمقدار "&amp;ROUND(SUM($M104:$R104)-$D104,2)&amp;".","جاهز")))),"أدخل المبالغ المتفق عليها بحيث يساوي مجموعها مبلغ المصروف."))))))</f>
      </c>
    </row>
    <row r="105">
      <c r="A105" s="149"/>
      <c r="B105" s="138"/>
      <c r="C105" s="138"/>
      <c r="D105" s="150"/>
      <c r="E105" s="138"/>
      <c r="F105" s="138"/>
      <c r="G105" s="138"/>
      <c r="H105" s="138"/>
      <c r="I105" s="138"/>
      <c r="J105" s="138"/>
      <c r="K105" s="138"/>
      <c r="L105" s="138"/>
      <c r="M105" s="150"/>
      <c r="N105" s="150"/>
      <c r="O105" s="150"/>
      <c r="P105" s="150"/>
      <c r="Q105" s="150"/>
      <c r="R105" s="150"/>
      <c r="S105" s="138"/>
      <c r="T105" s="151" t="str">
        <f>IF(COUNTIF($A105:$S105,"&lt;&gt;")=0,"",IF($F105="بالتساوي بين المشاركين",IF(G105&lt;&gt;"نعم",0,IF(COUNTIF($H105:$L105,"نعم")=0,$D105-0,ROUND($D105/COUNTIF($G105:$L105,"نعم"),2))),IF($F105="مبالغ متفق عليها",IF(G105="نعم",M105,0),"")))</f>
      </c>
      <c r="U105" s="151" t="str">
        <f>IF(COUNTIF($A105:$S105,"&lt;&gt;")=0,"",IF($F105="بالتساوي بين المشاركين",IF(H105&lt;&gt;"نعم",0,IF(COUNTIF($I105:$L105,"نعم")=0,$D105-SUM($T105:T105),ROUND($D105/COUNTIF($G105:$L105,"نعم"),2))),IF($F105="مبالغ متفق عليها",IF(H105="نعم",N105,0),"")))</f>
      </c>
      <c r="V105" s="151" t="str">
        <f>IF(COUNTIF($A105:$S105,"&lt;&gt;")=0,"",IF($F105="بالتساوي بين المشاركين",IF(I105&lt;&gt;"نعم",0,IF(COUNTIF($J105:$L105,"نعم")=0,$D105-SUM($T105:U105),ROUND($D105/COUNTIF($G105:$L105,"نعم"),2))),IF($F105="مبالغ متفق عليها",IF(I105="نعم",O105,0),"")))</f>
      </c>
      <c r="W105" s="151" t="str">
        <f>IF(COUNTIF($A105:$S105,"&lt;&gt;")=0,"",IF($F105="بالتساوي بين المشاركين",IF(J105&lt;&gt;"نعم",0,IF(COUNTIF($K105:$L105,"نعم")=0,$D105-SUM($T105:V105),ROUND($D105/COUNTIF($G105:$L105,"نعم"),2))),IF($F105="مبالغ متفق عليها",IF(J105="نعم",P105,0),"")))</f>
      </c>
      <c r="X105" s="151" t="str">
        <f>IF(COUNTIF($A105:$S105,"&lt;&gt;")=0,"",IF($F105="بالتساوي بين المشاركين",IF(K105&lt;&gt;"نعم",0,IF(COUNTIF($L105:$L105,"نعم")=0,$D105-SUM($T105:W105),ROUND($D105/COUNTIF($G105:$L105,"نعم"),2))),IF($F105="مبالغ متفق عليها",IF(K105="نعم",Q105,0),"")))</f>
      </c>
      <c r="Y105" s="151" t="str">
        <f>IF(COUNTIF($A105:$S105,"&lt;&gt;")=0,"",IF($F105="بالتساوي بين المشاركين",IF(L105&lt;&gt;"نعم",0,IF(0=0,$D105-SUM($T105:X105),ROUND($D105/COUNTIF($G105:$L105,"نعم"),2))),IF($F105="مبالغ متفق عليها",IF(L105="نعم",R105,0),"")))</f>
      </c>
      <c r="Z105" s="165" t="str">
        <f>IF(COUNTIF($A105:$S105,"&lt;&gt;")=0,"",IF(OR($D105="",$D105&lt;=0),"أدخل مبلغًا أكبر من صفر.",IF($E105="","اختر الشخص الذي دفع المبلغ.",IF(COUNTIF($G105:$L105,"نعم")=0,"حدد شخصًا واحدًا على الأقل للمشاركة في المصروف.",IF($F105="بالتساوي بين المشاركين","جاهز",IF($F105="مبالغ متفق عليها",IF(OR(AND(G105="نعم",M105=""),AND(H105="نعم",N105=""),AND(I105="نعم",O105=""),AND(J105="نعم",P105=""),AND(K105="نعم",Q105=""),AND(L105="نعم",R105="")),"أدخل المبالغ المتفق عليها بحيث يساوي مجموعها مبلغ المصروف.",IF(ABS(SUM($M105:$R105))&lt;0.005,"أدخل المبالغ المتفق عليها بحيث يساوي مجموعها مبلغ المصروف.",IF(SUM($M105:$R105)&lt;$D105-0.005,"يتبقى للتوزيع: "&amp;ROUND($D105-SUM($M105:$R105),2)&amp;".",IF(SUM($M105:$R105)&gt;$D105+0.005,"يزيد مجموع الحصص على المصروف بمقدار "&amp;ROUND(SUM($M105:$R105)-$D105,2)&amp;".","جاهز")))),"أدخل المبالغ المتفق عليها بحيث يساوي مجموعها مبلغ المصروف."))))))</f>
      </c>
    </row>
    <row r="106">
      <c r="A106" s="149"/>
      <c r="B106" s="138"/>
      <c r="C106" s="138"/>
      <c r="D106" s="150"/>
      <c r="E106" s="138"/>
      <c r="F106" s="138"/>
      <c r="G106" s="138"/>
      <c r="H106" s="138"/>
      <c r="I106" s="138"/>
      <c r="J106" s="138"/>
      <c r="K106" s="138"/>
      <c r="L106" s="138"/>
      <c r="M106" s="150"/>
      <c r="N106" s="150"/>
      <c r="O106" s="150"/>
      <c r="P106" s="150"/>
      <c r="Q106" s="150"/>
      <c r="R106" s="150"/>
      <c r="S106" s="138"/>
      <c r="T106" s="151" t="str">
        <f>IF(COUNTIF($A106:$S106,"&lt;&gt;")=0,"",IF($F106="بالتساوي بين المشاركين",IF(G106&lt;&gt;"نعم",0,IF(COUNTIF($H106:$L106,"نعم")=0,$D106-0,ROUND($D106/COUNTIF($G106:$L106,"نعم"),2))),IF($F106="مبالغ متفق عليها",IF(G106="نعم",M106,0),"")))</f>
      </c>
      <c r="U106" s="151" t="str">
        <f>IF(COUNTIF($A106:$S106,"&lt;&gt;")=0,"",IF($F106="بالتساوي بين المشاركين",IF(H106&lt;&gt;"نعم",0,IF(COUNTIF($I106:$L106,"نعم")=0,$D106-SUM($T106:T106),ROUND($D106/COUNTIF($G106:$L106,"نعم"),2))),IF($F106="مبالغ متفق عليها",IF(H106="نعم",N106,0),"")))</f>
      </c>
      <c r="V106" s="151" t="str">
        <f>IF(COUNTIF($A106:$S106,"&lt;&gt;")=0,"",IF($F106="بالتساوي بين المشاركين",IF(I106&lt;&gt;"نعم",0,IF(COUNTIF($J106:$L106,"نعم")=0,$D106-SUM($T106:U106),ROUND($D106/COUNTIF($G106:$L106,"نعم"),2))),IF($F106="مبالغ متفق عليها",IF(I106="نعم",O106,0),"")))</f>
      </c>
      <c r="W106" s="151" t="str">
        <f>IF(COUNTIF($A106:$S106,"&lt;&gt;")=0,"",IF($F106="بالتساوي بين المشاركين",IF(J106&lt;&gt;"نعم",0,IF(COUNTIF($K106:$L106,"نعم")=0,$D106-SUM($T106:V106),ROUND($D106/COUNTIF($G106:$L106,"نعم"),2))),IF($F106="مبالغ متفق عليها",IF(J106="نعم",P106,0),"")))</f>
      </c>
      <c r="X106" s="151" t="str">
        <f>IF(COUNTIF($A106:$S106,"&lt;&gt;")=0,"",IF($F106="بالتساوي بين المشاركين",IF(K106&lt;&gt;"نعم",0,IF(COUNTIF($L106:$L106,"نعم")=0,$D106-SUM($T106:W106),ROUND($D106/COUNTIF($G106:$L106,"نعم"),2))),IF($F106="مبالغ متفق عليها",IF(K106="نعم",Q106,0),"")))</f>
      </c>
      <c r="Y106" s="151" t="str">
        <f>IF(COUNTIF($A106:$S106,"&lt;&gt;")=0,"",IF($F106="بالتساوي بين المشاركين",IF(L106&lt;&gt;"نعم",0,IF(0=0,$D106-SUM($T106:X106),ROUND($D106/COUNTIF($G106:$L106,"نعم"),2))),IF($F106="مبالغ متفق عليها",IF(L106="نعم",R106,0),"")))</f>
      </c>
      <c r="Z106" s="165" t="str">
        <f>IF(COUNTIF($A106:$S106,"&lt;&gt;")=0,"",IF(OR($D106="",$D106&lt;=0),"أدخل مبلغًا أكبر من صفر.",IF($E106="","اختر الشخص الذي دفع المبلغ.",IF(COUNTIF($G106:$L106,"نعم")=0,"حدد شخصًا واحدًا على الأقل للمشاركة في المصروف.",IF($F106="بالتساوي بين المشاركين","جاهز",IF($F106="مبالغ متفق عليها",IF(OR(AND(G106="نعم",M106=""),AND(H106="نعم",N106=""),AND(I106="نعم",O106=""),AND(J106="نعم",P106=""),AND(K106="نعم",Q106=""),AND(L106="نعم",R106="")),"أدخل المبالغ المتفق عليها بحيث يساوي مجموعها مبلغ المصروف.",IF(ABS(SUM($M106:$R106))&lt;0.005,"أدخل المبالغ المتفق عليها بحيث يساوي مجموعها مبلغ المصروف.",IF(SUM($M106:$R106)&lt;$D106-0.005,"يتبقى للتوزيع: "&amp;ROUND($D106-SUM($M106:$R106),2)&amp;".",IF(SUM($M106:$R106)&gt;$D106+0.005,"يزيد مجموع الحصص على المصروف بمقدار "&amp;ROUND(SUM($M106:$R106)-$D106,2)&amp;".","جاهز")))),"أدخل المبالغ المتفق عليها بحيث يساوي مجموعها مبلغ المصروف."))))))</f>
      </c>
    </row>
    <row r="107">
      <c r="A107" s="149"/>
      <c r="B107" s="138"/>
      <c r="C107" s="138"/>
      <c r="D107" s="150"/>
      <c r="E107" s="138"/>
      <c r="F107" s="138"/>
      <c r="G107" s="138"/>
      <c r="H107" s="138"/>
      <c r="I107" s="138"/>
      <c r="J107" s="138"/>
      <c r="K107" s="138"/>
      <c r="L107" s="138"/>
      <c r="M107" s="150"/>
      <c r="N107" s="150"/>
      <c r="O107" s="150"/>
      <c r="P107" s="150"/>
      <c r="Q107" s="150"/>
      <c r="R107" s="150"/>
      <c r="S107" s="138"/>
      <c r="T107" s="151" t="str">
        <f>IF(COUNTIF($A107:$S107,"&lt;&gt;")=0,"",IF($F107="بالتساوي بين المشاركين",IF(G107&lt;&gt;"نعم",0,IF(COUNTIF($H107:$L107,"نعم")=0,$D107-0,ROUND($D107/COUNTIF($G107:$L107,"نعم"),2))),IF($F107="مبالغ متفق عليها",IF(G107="نعم",M107,0),"")))</f>
      </c>
      <c r="U107" s="151" t="str">
        <f>IF(COUNTIF($A107:$S107,"&lt;&gt;")=0,"",IF($F107="بالتساوي بين المشاركين",IF(H107&lt;&gt;"نعم",0,IF(COUNTIF($I107:$L107,"نعم")=0,$D107-SUM($T107:T107),ROUND($D107/COUNTIF($G107:$L107,"نعم"),2))),IF($F107="مبالغ متفق عليها",IF(H107="نعم",N107,0),"")))</f>
      </c>
      <c r="V107" s="151" t="str">
        <f>IF(COUNTIF($A107:$S107,"&lt;&gt;")=0,"",IF($F107="بالتساوي بين المشاركين",IF(I107&lt;&gt;"نعم",0,IF(COUNTIF($J107:$L107,"نعم")=0,$D107-SUM($T107:U107),ROUND($D107/COUNTIF($G107:$L107,"نعم"),2))),IF($F107="مبالغ متفق عليها",IF(I107="نعم",O107,0),"")))</f>
      </c>
      <c r="W107" s="151" t="str">
        <f>IF(COUNTIF($A107:$S107,"&lt;&gt;")=0,"",IF($F107="بالتساوي بين المشاركين",IF(J107&lt;&gt;"نعم",0,IF(COUNTIF($K107:$L107,"نعم")=0,$D107-SUM($T107:V107),ROUND($D107/COUNTIF($G107:$L107,"نعم"),2))),IF($F107="مبالغ متفق عليها",IF(J107="نعم",P107,0),"")))</f>
      </c>
      <c r="X107" s="151" t="str">
        <f>IF(COUNTIF($A107:$S107,"&lt;&gt;")=0,"",IF($F107="بالتساوي بين المشاركين",IF(K107&lt;&gt;"نعم",0,IF(COUNTIF($L107:$L107,"نعم")=0,$D107-SUM($T107:W107),ROUND($D107/COUNTIF($G107:$L107,"نعم"),2))),IF($F107="مبالغ متفق عليها",IF(K107="نعم",Q107,0),"")))</f>
      </c>
      <c r="Y107" s="151" t="str">
        <f>IF(COUNTIF($A107:$S107,"&lt;&gt;")=0,"",IF($F107="بالتساوي بين المشاركين",IF(L107&lt;&gt;"نعم",0,IF(0=0,$D107-SUM($T107:X107),ROUND($D107/COUNTIF($G107:$L107,"نعم"),2))),IF($F107="مبالغ متفق عليها",IF(L107="نعم",R107,0),"")))</f>
      </c>
      <c r="Z107" s="165" t="str">
        <f>IF(COUNTIF($A107:$S107,"&lt;&gt;")=0,"",IF(OR($D107="",$D107&lt;=0),"أدخل مبلغًا أكبر من صفر.",IF($E107="","اختر الشخص الذي دفع المبلغ.",IF(COUNTIF($G107:$L107,"نعم")=0,"حدد شخصًا واحدًا على الأقل للمشاركة في المصروف.",IF($F107="بالتساوي بين المشاركين","جاهز",IF($F107="مبالغ متفق عليها",IF(OR(AND(G107="نعم",M107=""),AND(H107="نعم",N107=""),AND(I107="نعم",O107=""),AND(J107="نعم",P107=""),AND(K107="نعم",Q107=""),AND(L107="نعم",R107="")),"أدخل المبالغ المتفق عليها بحيث يساوي مجموعها مبلغ المصروف.",IF(ABS(SUM($M107:$R107))&lt;0.005,"أدخل المبالغ المتفق عليها بحيث يساوي مجموعها مبلغ المصروف.",IF(SUM($M107:$R107)&lt;$D107-0.005,"يتبقى للتوزيع: "&amp;ROUND($D107-SUM($M107:$R107),2)&amp;".",IF(SUM($M107:$R107)&gt;$D107+0.005,"يزيد مجموع الحصص على المصروف بمقدار "&amp;ROUND(SUM($M107:$R107)-$D107,2)&amp;".","جاهز")))),"أدخل المبالغ المتفق عليها بحيث يساوي مجموعها مبلغ المصروف."))))))</f>
      </c>
    </row>
    <row r="108">
      <c r="A108" s="149"/>
      <c r="B108" s="138"/>
      <c r="C108" s="138"/>
      <c r="D108" s="150"/>
      <c r="E108" s="138"/>
      <c r="F108" s="138"/>
      <c r="G108" s="138"/>
      <c r="H108" s="138"/>
      <c r="I108" s="138"/>
      <c r="J108" s="138"/>
      <c r="K108" s="138"/>
      <c r="L108" s="138"/>
      <c r="M108" s="150"/>
      <c r="N108" s="150"/>
      <c r="O108" s="150"/>
      <c r="P108" s="150"/>
      <c r="Q108" s="150"/>
      <c r="R108" s="150"/>
      <c r="S108" s="138"/>
      <c r="T108" s="151" t="str">
        <f>IF(COUNTIF($A108:$S108,"&lt;&gt;")=0,"",IF($F108="بالتساوي بين المشاركين",IF(G108&lt;&gt;"نعم",0,IF(COUNTIF($H108:$L108,"نعم")=0,$D108-0,ROUND($D108/COUNTIF($G108:$L108,"نعم"),2))),IF($F108="مبالغ متفق عليها",IF(G108="نعم",M108,0),"")))</f>
      </c>
      <c r="U108" s="151" t="str">
        <f>IF(COUNTIF($A108:$S108,"&lt;&gt;")=0,"",IF($F108="بالتساوي بين المشاركين",IF(H108&lt;&gt;"نعم",0,IF(COUNTIF($I108:$L108,"نعم")=0,$D108-SUM($T108:T108),ROUND($D108/COUNTIF($G108:$L108,"نعم"),2))),IF($F108="مبالغ متفق عليها",IF(H108="نعم",N108,0),"")))</f>
      </c>
      <c r="V108" s="151" t="str">
        <f>IF(COUNTIF($A108:$S108,"&lt;&gt;")=0,"",IF($F108="بالتساوي بين المشاركين",IF(I108&lt;&gt;"نعم",0,IF(COUNTIF($J108:$L108,"نعم")=0,$D108-SUM($T108:U108),ROUND($D108/COUNTIF($G108:$L108,"نعم"),2))),IF($F108="مبالغ متفق عليها",IF(I108="نعم",O108,0),"")))</f>
      </c>
      <c r="W108" s="151" t="str">
        <f>IF(COUNTIF($A108:$S108,"&lt;&gt;")=0,"",IF($F108="بالتساوي بين المشاركين",IF(J108&lt;&gt;"نعم",0,IF(COUNTIF($K108:$L108,"نعم")=0,$D108-SUM($T108:V108),ROUND($D108/COUNTIF($G108:$L108,"نعم"),2))),IF($F108="مبالغ متفق عليها",IF(J108="نعم",P108,0),"")))</f>
      </c>
      <c r="X108" s="151" t="str">
        <f>IF(COUNTIF($A108:$S108,"&lt;&gt;")=0,"",IF($F108="بالتساوي بين المشاركين",IF(K108&lt;&gt;"نعم",0,IF(COUNTIF($L108:$L108,"نعم")=0,$D108-SUM($T108:W108),ROUND($D108/COUNTIF($G108:$L108,"نعم"),2))),IF($F108="مبالغ متفق عليها",IF(K108="نعم",Q108,0),"")))</f>
      </c>
      <c r="Y108" s="151" t="str">
        <f>IF(COUNTIF($A108:$S108,"&lt;&gt;")=0,"",IF($F108="بالتساوي بين المشاركين",IF(L108&lt;&gt;"نعم",0,IF(0=0,$D108-SUM($T108:X108),ROUND($D108/COUNTIF($G108:$L108,"نعم"),2))),IF($F108="مبالغ متفق عليها",IF(L108="نعم",R108,0),"")))</f>
      </c>
      <c r="Z108" s="165" t="str">
        <f>IF(COUNTIF($A108:$S108,"&lt;&gt;")=0,"",IF(OR($D108="",$D108&lt;=0),"أدخل مبلغًا أكبر من صفر.",IF($E108="","اختر الشخص الذي دفع المبلغ.",IF(COUNTIF($G108:$L108,"نعم")=0,"حدد شخصًا واحدًا على الأقل للمشاركة في المصروف.",IF($F108="بالتساوي بين المشاركين","جاهز",IF($F108="مبالغ متفق عليها",IF(OR(AND(G108="نعم",M108=""),AND(H108="نعم",N108=""),AND(I108="نعم",O108=""),AND(J108="نعم",P108=""),AND(K108="نعم",Q108=""),AND(L108="نعم",R108="")),"أدخل المبالغ المتفق عليها بحيث يساوي مجموعها مبلغ المصروف.",IF(ABS(SUM($M108:$R108))&lt;0.005,"أدخل المبالغ المتفق عليها بحيث يساوي مجموعها مبلغ المصروف.",IF(SUM($M108:$R108)&lt;$D108-0.005,"يتبقى للتوزيع: "&amp;ROUND($D108-SUM($M108:$R108),2)&amp;".",IF(SUM($M108:$R108)&gt;$D108+0.005,"يزيد مجموع الحصص على المصروف بمقدار "&amp;ROUND(SUM($M108:$R108)-$D108,2)&amp;".","جاهز")))),"أدخل المبالغ المتفق عليها بحيث يساوي مجموعها مبلغ المصروف."))))))</f>
      </c>
    </row>
    <row r="109">
      <c r="A109" s="149"/>
      <c r="B109" s="138"/>
      <c r="C109" s="138"/>
      <c r="D109" s="150"/>
      <c r="E109" s="138"/>
      <c r="F109" s="138"/>
      <c r="G109" s="138"/>
      <c r="H109" s="138"/>
      <c r="I109" s="138"/>
      <c r="J109" s="138"/>
      <c r="K109" s="138"/>
      <c r="L109" s="138"/>
      <c r="M109" s="150"/>
      <c r="N109" s="150"/>
      <c r="O109" s="150"/>
      <c r="P109" s="150"/>
      <c r="Q109" s="150"/>
      <c r="R109" s="150"/>
      <c r="S109" s="138"/>
      <c r="T109" s="151" t="str">
        <f>IF(COUNTIF($A109:$S109,"&lt;&gt;")=0,"",IF($F109="بالتساوي بين المشاركين",IF(G109&lt;&gt;"نعم",0,IF(COUNTIF($H109:$L109,"نعم")=0,$D109-0,ROUND($D109/COUNTIF($G109:$L109,"نعم"),2))),IF($F109="مبالغ متفق عليها",IF(G109="نعم",M109,0),"")))</f>
      </c>
      <c r="U109" s="151" t="str">
        <f>IF(COUNTIF($A109:$S109,"&lt;&gt;")=0,"",IF($F109="بالتساوي بين المشاركين",IF(H109&lt;&gt;"نعم",0,IF(COUNTIF($I109:$L109,"نعم")=0,$D109-SUM($T109:T109),ROUND($D109/COUNTIF($G109:$L109,"نعم"),2))),IF($F109="مبالغ متفق عليها",IF(H109="نعم",N109,0),"")))</f>
      </c>
      <c r="V109" s="151" t="str">
        <f>IF(COUNTIF($A109:$S109,"&lt;&gt;")=0,"",IF($F109="بالتساوي بين المشاركين",IF(I109&lt;&gt;"نعم",0,IF(COUNTIF($J109:$L109,"نعم")=0,$D109-SUM($T109:U109),ROUND($D109/COUNTIF($G109:$L109,"نعم"),2))),IF($F109="مبالغ متفق عليها",IF(I109="نعم",O109,0),"")))</f>
      </c>
      <c r="W109" s="151" t="str">
        <f>IF(COUNTIF($A109:$S109,"&lt;&gt;")=0,"",IF($F109="بالتساوي بين المشاركين",IF(J109&lt;&gt;"نعم",0,IF(COUNTIF($K109:$L109,"نعم")=0,$D109-SUM($T109:V109),ROUND($D109/COUNTIF($G109:$L109,"نعم"),2))),IF($F109="مبالغ متفق عليها",IF(J109="نعم",P109,0),"")))</f>
      </c>
      <c r="X109" s="151" t="str">
        <f>IF(COUNTIF($A109:$S109,"&lt;&gt;")=0,"",IF($F109="بالتساوي بين المشاركين",IF(K109&lt;&gt;"نعم",0,IF(COUNTIF($L109:$L109,"نعم")=0,$D109-SUM($T109:W109),ROUND($D109/COUNTIF($G109:$L109,"نعم"),2))),IF($F109="مبالغ متفق عليها",IF(K109="نعم",Q109,0),"")))</f>
      </c>
      <c r="Y109" s="151" t="str">
        <f>IF(COUNTIF($A109:$S109,"&lt;&gt;")=0,"",IF($F109="بالتساوي بين المشاركين",IF(L109&lt;&gt;"نعم",0,IF(0=0,$D109-SUM($T109:X109),ROUND($D109/COUNTIF($G109:$L109,"نعم"),2))),IF($F109="مبالغ متفق عليها",IF(L109="نعم",R109,0),"")))</f>
      </c>
      <c r="Z109" s="165" t="str">
        <f>IF(COUNTIF($A109:$S109,"&lt;&gt;")=0,"",IF(OR($D109="",$D109&lt;=0),"أدخل مبلغًا أكبر من صفر.",IF($E109="","اختر الشخص الذي دفع المبلغ.",IF(COUNTIF($G109:$L109,"نعم")=0,"حدد شخصًا واحدًا على الأقل للمشاركة في المصروف.",IF($F109="بالتساوي بين المشاركين","جاهز",IF($F109="مبالغ متفق عليها",IF(OR(AND(G109="نعم",M109=""),AND(H109="نعم",N109=""),AND(I109="نعم",O109=""),AND(J109="نعم",P109=""),AND(K109="نعم",Q109=""),AND(L109="نعم",R109="")),"أدخل المبالغ المتفق عليها بحيث يساوي مجموعها مبلغ المصروف.",IF(ABS(SUM($M109:$R109))&lt;0.005,"أدخل المبالغ المتفق عليها بحيث يساوي مجموعها مبلغ المصروف.",IF(SUM($M109:$R109)&lt;$D109-0.005,"يتبقى للتوزيع: "&amp;ROUND($D109-SUM($M109:$R109),2)&amp;".",IF(SUM($M109:$R109)&gt;$D109+0.005,"يزيد مجموع الحصص على المصروف بمقدار "&amp;ROUND(SUM($M109:$R109)-$D109,2)&amp;".","جاهز")))),"أدخل المبالغ المتفق عليها بحيث يساوي مجموعها مبلغ المصروف."))))))</f>
      </c>
    </row>
    <row r="110">
      <c r="A110" s="149"/>
      <c r="B110" s="138"/>
      <c r="C110" s="138"/>
      <c r="D110" s="150"/>
      <c r="E110" s="138"/>
      <c r="F110" s="138"/>
      <c r="G110" s="138"/>
      <c r="H110" s="138"/>
      <c r="I110" s="138"/>
      <c r="J110" s="138"/>
      <c r="K110" s="138"/>
      <c r="L110" s="138"/>
      <c r="M110" s="150"/>
      <c r="N110" s="150"/>
      <c r="O110" s="150"/>
      <c r="P110" s="150"/>
      <c r="Q110" s="150"/>
      <c r="R110" s="150"/>
      <c r="S110" s="138"/>
      <c r="T110" s="151" t="str">
        <f>IF(COUNTIF($A110:$S110,"&lt;&gt;")=0,"",IF($F110="بالتساوي بين المشاركين",IF(G110&lt;&gt;"نعم",0,IF(COUNTIF($H110:$L110,"نعم")=0,$D110-0,ROUND($D110/COUNTIF($G110:$L110,"نعم"),2))),IF($F110="مبالغ متفق عليها",IF(G110="نعم",M110,0),"")))</f>
      </c>
      <c r="U110" s="151" t="str">
        <f>IF(COUNTIF($A110:$S110,"&lt;&gt;")=0,"",IF($F110="بالتساوي بين المشاركين",IF(H110&lt;&gt;"نعم",0,IF(COUNTIF($I110:$L110,"نعم")=0,$D110-SUM($T110:T110),ROUND($D110/COUNTIF($G110:$L110,"نعم"),2))),IF($F110="مبالغ متفق عليها",IF(H110="نعم",N110,0),"")))</f>
      </c>
      <c r="V110" s="151" t="str">
        <f>IF(COUNTIF($A110:$S110,"&lt;&gt;")=0,"",IF($F110="بالتساوي بين المشاركين",IF(I110&lt;&gt;"نعم",0,IF(COUNTIF($J110:$L110,"نعم")=0,$D110-SUM($T110:U110),ROUND($D110/COUNTIF($G110:$L110,"نعم"),2))),IF($F110="مبالغ متفق عليها",IF(I110="نعم",O110,0),"")))</f>
      </c>
      <c r="W110" s="151" t="str">
        <f>IF(COUNTIF($A110:$S110,"&lt;&gt;")=0,"",IF($F110="بالتساوي بين المشاركين",IF(J110&lt;&gt;"نعم",0,IF(COUNTIF($K110:$L110,"نعم")=0,$D110-SUM($T110:V110),ROUND($D110/COUNTIF($G110:$L110,"نعم"),2))),IF($F110="مبالغ متفق عليها",IF(J110="نعم",P110,0),"")))</f>
      </c>
      <c r="X110" s="151" t="str">
        <f>IF(COUNTIF($A110:$S110,"&lt;&gt;")=0,"",IF($F110="بالتساوي بين المشاركين",IF(K110&lt;&gt;"نعم",0,IF(COUNTIF($L110:$L110,"نعم")=0,$D110-SUM($T110:W110),ROUND($D110/COUNTIF($G110:$L110,"نعم"),2))),IF($F110="مبالغ متفق عليها",IF(K110="نعم",Q110,0),"")))</f>
      </c>
      <c r="Y110" s="151" t="str">
        <f>IF(COUNTIF($A110:$S110,"&lt;&gt;")=0,"",IF($F110="بالتساوي بين المشاركين",IF(L110&lt;&gt;"نعم",0,IF(0=0,$D110-SUM($T110:X110),ROUND($D110/COUNTIF($G110:$L110,"نعم"),2))),IF($F110="مبالغ متفق عليها",IF(L110="نعم",R110,0),"")))</f>
      </c>
      <c r="Z110" s="165" t="str">
        <f>IF(COUNTIF($A110:$S110,"&lt;&gt;")=0,"",IF(OR($D110="",$D110&lt;=0),"أدخل مبلغًا أكبر من صفر.",IF($E110="","اختر الشخص الذي دفع المبلغ.",IF(COUNTIF($G110:$L110,"نعم")=0,"حدد شخصًا واحدًا على الأقل للمشاركة في المصروف.",IF($F110="بالتساوي بين المشاركين","جاهز",IF($F110="مبالغ متفق عليها",IF(OR(AND(G110="نعم",M110=""),AND(H110="نعم",N110=""),AND(I110="نعم",O110=""),AND(J110="نعم",P110=""),AND(K110="نعم",Q110=""),AND(L110="نعم",R110="")),"أدخل المبالغ المتفق عليها بحيث يساوي مجموعها مبلغ المصروف.",IF(ABS(SUM($M110:$R110))&lt;0.005,"أدخل المبالغ المتفق عليها بحيث يساوي مجموعها مبلغ المصروف.",IF(SUM($M110:$R110)&lt;$D110-0.005,"يتبقى للتوزيع: "&amp;ROUND($D110-SUM($M110:$R110),2)&amp;".",IF(SUM($M110:$R110)&gt;$D110+0.005,"يزيد مجموع الحصص على المصروف بمقدار "&amp;ROUND(SUM($M110:$R110)-$D110,2)&amp;".","جاهز")))),"أدخل المبالغ المتفق عليها بحيث يساوي مجموعها مبلغ المصروف."))))))</f>
      </c>
    </row>
    <row r="111">
      <c r="A111" s="149"/>
      <c r="B111" s="138"/>
      <c r="C111" s="138"/>
      <c r="D111" s="150"/>
      <c r="E111" s="138"/>
      <c r="F111" s="138"/>
      <c r="G111" s="138"/>
      <c r="H111" s="138"/>
      <c r="I111" s="138"/>
      <c r="J111" s="138"/>
      <c r="K111" s="138"/>
      <c r="L111" s="138"/>
      <c r="M111" s="150"/>
      <c r="N111" s="150"/>
      <c r="O111" s="150"/>
      <c r="P111" s="150"/>
      <c r="Q111" s="150"/>
      <c r="R111" s="150"/>
      <c r="S111" s="138"/>
      <c r="T111" s="151" t="str">
        <f>IF(COUNTIF($A111:$S111,"&lt;&gt;")=0,"",IF($F111="بالتساوي بين المشاركين",IF(G111&lt;&gt;"نعم",0,IF(COUNTIF($H111:$L111,"نعم")=0,$D111-0,ROUND($D111/COUNTIF($G111:$L111,"نعم"),2))),IF($F111="مبالغ متفق عليها",IF(G111="نعم",M111,0),"")))</f>
      </c>
      <c r="U111" s="151" t="str">
        <f>IF(COUNTIF($A111:$S111,"&lt;&gt;")=0,"",IF($F111="بالتساوي بين المشاركين",IF(H111&lt;&gt;"نعم",0,IF(COUNTIF($I111:$L111,"نعم")=0,$D111-SUM($T111:T111),ROUND($D111/COUNTIF($G111:$L111,"نعم"),2))),IF($F111="مبالغ متفق عليها",IF(H111="نعم",N111,0),"")))</f>
      </c>
      <c r="V111" s="151" t="str">
        <f>IF(COUNTIF($A111:$S111,"&lt;&gt;")=0,"",IF($F111="بالتساوي بين المشاركين",IF(I111&lt;&gt;"نعم",0,IF(COUNTIF($J111:$L111,"نعم")=0,$D111-SUM($T111:U111),ROUND($D111/COUNTIF($G111:$L111,"نعم"),2))),IF($F111="مبالغ متفق عليها",IF(I111="نعم",O111,0),"")))</f>
      </c>
      <c r="W111" s="151" t="str">
        <f>IF(COUNTIF($A111:$S111,"&lt;&gt;")=0,"",IF($F111="بالتساوي بين المشاركين",IF(J111&lt;&gt;"نعم",0,IF(COUNTIF($K111:$L111,"نعم")=0,$D111-SUM($T111:V111),ROUND($D111/COUNTIF($G111:$L111,"نعم"),2))),IF($F111="مبالغ متفق عليها",IF(J111="نعم",P111,0),"")))</f>
      </c>
      <c r="X111" s="151" t="str">
        <f>IF(COUNTIF($A111:$S111,"&lt;&gt;")=0,"",IF($F111="بالتساوي بين المشاركين",IF(K111&lt;&gt;"نعم",0,IF(COUNTIF($L111:$L111,"نعم")=0,$D111-SUM($T111:W111),ROUND($D111/COUNTIF($G111:$L111,"نعم"),2))),IF($F111="مبالغ متفق عليها",IF(K111="نعم",Q111,0),"")))</f>
      </c>
      <c r="Y111" s="151" t="str">
        <f>IF(COUNTIF($A111:$S111,"&lt;&gt;")=0,"",IF($F111="بالتساوي بين المشاركين",IF(L111&lt;&gt;"نعم",0,IF(0=0,$D111-SUM($T111:X111),ROUND($D111/COUNTIF($G111:$L111,"نعم"),2))),IF($F111="مبالغ متفق عليها",IF(L111="نعم",R111,0),"")))</f>
      </c>
      <c r="Z111" s="165" t="str">
        <f>IF(COUNTIF($A111:$S111,"&lt;&gt;")=0,"",IF(OR($D111="",$D111&lt;=0),"أدخل مبلغًا أكبر من صفر.",IF($E111="","اختر الشخص الذي دفع المبلغ.",IF(COUNTIF($G111:$L111,"نعم")=0,"حدد شخصًا واحدًا على الأقل للمشاركة في المصروف.",IF($F111="بالتساوي بين المشاركين","جاهز",IF($F111="مبالغ متفق عليها",IF(OR(AND(G111="نعم",M111=""),AND(H111="نعم",N111=""),AND(I111="نعم",O111=""),AND(J111="نعم",P111=""),AND(K111="نعم",Q111=""),AND(L111="نعم",R111="")),"أدخل المبالغ المتفق عليها بحيث يساوي مجموعها مبلغ المصروف.",IF(ABS(SUM($M111:$R111))&lt;0.005,"أدخل المبالغ المتفق عليها بحيث يساوي مجموعها مبلغ المصروف.",IF(SUM($M111:$R111)&lt;$D111-0.005,"يتبقى للتوزيع: "&amp;ROUND($D111-SUM($M111:$R111),2)&amp;".",IF(SUM($M111:$R111)&gt;$D111+0.005,"يزيد مجموع الحصص على المصروف بمقدار "&amp;ROUND(SUM($M111:$R111)-$D111,2)&amp;".","جاهز")))),"أدخل المبالغ المتفق عليها بحيث يساوي مجموعها مبلغ المصروف."))))))</f>
      </c>
    </row>
    <row r="112">
      <c r="A112" s="149"/>
      <c r="B112" s="138"/>
      <c r="C112" s="138"/>
      <c r="D112" s="150"/>
      <c r="E112" s="138"/>
      <c r="F112" s="138"/>
      <c r="G112" s="138"/>
      <c r="H112" s="138"/>
      <c r="I112" s="138"/>
      <c r="J112" s="138"/>
      <c r="K112" s="138"/>
      <c r="L112" s="138"/>
      <c r="M112" s="150"/>
      <c r="N112" s="150"/>
      <c r="O112" s="150"/>
      <c r="P112" s="150"/>
      <c r="Q112" s="150"/>
      <c r="R112" s="150"/>
      <c r="S112" s="138"/>
      <c r="T112" s="151" t="str">
        <f>IF(COUNTIF($A112:$S112,"&lt;&gt;")=0,"",IF($F112="بالتساوي بين المشاركين",IF(G112&lt;&gt;"نعم",0,IF(COUNTIF($H112:$L112,"نعم")=0,$D112-0,ROUND($D112/COUNTIF($G112:$L112,"نعم"),2))),IF($F112="مبالغ متفق عليها",IF(G112="نعم",M112,0),"")))</f>
      </c>
      <c r="U112" s="151" t="str">
        <f>IF(COUNTIF($A112:$S112,"&lt;&gt;")=0,"",IF($F112="بالتساوي بين المشاركين",IF(H112&lt;&gt;"نعم",0,IF(COUNTIF($I112:$L112,"نعم")=0,$D112-SUM($T112:T112),ROUND($D112/COUNTIF($G112:$L112,"نعم"),2))),IF($F112="مبالغ متفق عليها",IF(H112="نعم",N112,0),"")))</f>
      </c>
      <c r="V112" s="151" t="str">
        <f>IF(COUNTIF($A112:$S112,"&lt;&gt;")=0,"",IF($F112="بالتساوي بين المشاركين",IF(I112&lt;&gt;"نعم",0,IF(COUNTIF($J112:$L112,"نعم")=0,$D112-SUM($T112:U112),ROUND($D112/COUNTIF($G112:$L112,"نعم"),2))),IF($F112="مبالغ متفق عليها",IF(I112="نعم",O112,0),"")))</f>
      </c>
      <c r="W112" s="151" t="str">
        <f>IF(COUNTIF($A112:$S112,"&lt;&gt;")=0,"",IF($F112="بالتساوي بين المشاركين",IF(J112&lt;&gt;"نعم",0,IF(COUNTIF($K112:$L112,"نعم")=0,$D112-SUM($T112:V112),ROUND($D112/COUNTIF($G112:$L112,"نعم"),2))),IF($F112="مبالغ متفق عليها",IF(J112="نعم",P112,0),"")))</f>
      </c>
      <c r="X112" s="151" t="str">
        <f>IF(COUNTIF($A112:$S112,"&lt;&gt;")=0,"",IF($F112="بالتساوي بين المشاركين",IF(K112&lt;&gt;"نعم",0,IF(COUNTIF($L112:$L112,"نعم")=0,$D112-SUM($T112:W112),ROUND($D112/COUNTIF($G112:$L112,"نعم"),2))),IF($F112="مبالغ متفق عليها",IF(K112="نعم",Q112,0),"")))</f>
      </c>
      <c r="Y112" s="151" t="str">
        <f>IF(COUNTIF($A112:$S112,"&lt;&gt;")=0,"",IF($F112="بالتساوي بين المشاركين",IF(L112&lt;&gt;"نعم",0,IF(0=0,$D112-SUM($T112:X112),ROUND($D112/COUNTIF($G112:$L112,"نعم"),2))),IF($F112="مبالغ متفق عليها",IF(L112="نعم",R112,0),"")))</f>
      </c>
      <c r="Z112" s="165" t="str">
        <f>IF(COUNTIF($A112:$S112,"&lt;&gt;")=0,"",IF(OR($D112="",$D112&lt;=0),"أدخل مبلغًا أكبر من صفر.",IF($E112="","اختر الشخص الذي دفع المبلغ.",IF(COUNTIF($G112:$L112,"نعم")=0,"حدد شخصًا واحدًا على الأقل للمشاركة في المصروف.",IF($F112="بالتساوي بين المشاركين","جاهز",IF($F112="مبالغ متفق عليها",IF(OR(AND(G112="نعم",M112=""),AND(H112="نعم",N112=""),AND(I112="نعم",O112=""),AND(J112="نعم",P112=""),AND(K112="نعم",Q112=""),AND(L112="نعم",R112="")),"أدخل المبالغ المتفق عليها بحيث يساوي مجموعها مبلغ المصروف.",IF(ABS(SUM($M112:$R112))&lt;0.005,"أدخل المبالغ المتفق عليها بحيث يساوي مجموعها مبلغ المصروف.",IF(SUM($M112:$R112)&lt;$D112-0.005,"يتبقى للتوزيع: "&amp;ROUND($D112-SUM($M112:$R112),2)&amp;".",IF(SUM($M112:$R112)&gt;$D112+0.005,"يزيد مجموع الحصص على المصروف بمقدار "&amp;ROUND(SUM($M112:$R112)-$D112,2)&amp;".","جاهز")))),"أدخل المبالغ المتفق عليها بحيث يساوي مجموعها مبلغ المصروف."))))))</f>
      </c>
    </row>
    <row r="113">
      <c r="A113" s="149"/>
      <c r="B113" s="138"/>
      <c r="C113" s="138"/>
      <c r="D113" s="150"/>
      <c r="E113" s="138"/>
      <c r="F113" s="138"/>
      <c r="G113" s="138"/>
      <c r="H113" s="138"/>
      <c r="I113" s="138"/>
      <c r="J113" s="138"/>
      <c r="K113" s="138"/>
      <c r="L113" s="138"/>
      <c r="M113" s="150"/>
      <c r="N113" s="150"/>
      <c r="O113" s="150"/>
      <c r="P113" s="150"/>
      <c r="Q113" s="150"/>
      <c r="R113" s="150"/>
      <c r="S113" s="138"/>
      <c r="T113" s="151" t="str">
        <f>IF(COUNTIF($A113:$S113,"&lt;&gt;")=0,"",IF($F113="بالتساوي بين المشاركين",IF(G113&lt;&gt;"نعم",0,IF(COUNTIF($H113:$L113,"نعم")=0,$D113-0,ROUND($D113/COUNTIF($G113:$L113,"نعم"),2))),IF($F113="مبالغ متفق عليها",IF(G113="نعم",M113,0),"")))</f>
      </c>
      <c r="U113" s="151" t="str">
        <f>IF(COUNTIF($A113:$S113,"&lt;&gt;")=0,"",IF($F113="بالتساوي بين المشاركين",IF(H113&lt;&gt;"نعم",0,IF(COUNTIF($I113:$L113,"نعم")=0,$D113-SUM($T113:T113),ROUND($D113/COUNTIF($G113:$L113,"نعم"),2))),IF($F113="مبالغ متفق عليها",IF(H113="نعم",N113,0),"")))</f>
      </c>
      <c r="V113" s="151" t="str">
        <f>IF(COUNTIF($A113:$S113,"&lt;&gt;")=0,"",IF($F113="بالتساوي بين المشاركين",IF(I113&lt;&gt;"نعم",0,IF(COUNTIF($J113:$L113,"نعم")=0,$D113-SUM($T113:U113),ROUND($D113/COUNTIF($G113:$L113,"نعم"),2))),IF($F113="مبالغ متفق عليها",IF(I113="نعم",O113,0),"")))</f>
      </c>
      <c r="W113" s="151" t="str">
        <f>IF(COUNTIF($A113:$S113,"&lt;&gt;")=0,"",IF($F113="بالتساوي بين المشاركين",IF(J113&lt;&gt;"نعم",0,IF(COUNTIF($K113:$L113,"نعم")=0,$D113-SUM($T113:V113),ROUND($D113/COUNTIF($G113:$L113,"نعم"),2))),IF($F113="مبالغ متفق عليها",IF(J113="نعم",P113,0),"")))</f>
      </c>
      <c r="X113" s="151" t="str">
        <f>IF(COUNTIF($A113:$S113,"&lt;&gt;")=0,"",IF($F113="بالتساوي بين المشاركين",IF(K113&lt;&gt;"نعم",0,IF(COUNTIF($L113:$L113,"نعم")=0,$D113-SUM($T113:W113),ROUND($D113/COUNTIF($G113:$L113,"نعم"),2))),IF($F113="مبالغ متفق عليها",IF(K113="نعم",Q113,0),"")))</f>
      </c>
      <c r="Y113" s="151" t="str">
        <f>IF(COUNTIF($A113:$S113,"&lt;&gt;")=0,"",IF($F113="بالتساوي بين المشاركين",IF(L113&lt;&gt;"نعم",0,IF(0=0,$D113-SUM($T113:X113),ROUND($D113/COUNTIF($G113:$L113,"نعم"),2))),IF($F113="مبالغ متفق عليها",IF(L113="نعم",R113,0),"")))</f>
      </c>
      <c r="Z113" s="165" t="str">
        <f>IF(COUNTIF($A113:$S113,"&lt;&gt;")=0,"",IF(OR($D113="",$D113&lt;=0),"أدخل مبلغًا أكبر من صفر.",IF($E113="","اختر الشخص الذي دفع المبلغ.",IF(COUNTIF($G113:$L113,"نعم")=0,"حدد شخصًا واحدًا على الأقل للمشاركة في المصروف.",IF($F113="بالتساوي بين المشاركين","جاهز",IF($F113="مبالغ متفق عليها",IF(OR(AND(G113="نعم",M113=""),AND(H113="نعم",N113=""),AND(I113="نعم",O113=""),AND(J113="نعم",P113=""),AND(K113="نعم",Q113=""),AND(L113="نعم",R113="")),"أدخل المبالغ المتفق عليها بحيث يساوي مجموعها مبلغ المصروف.",IF(ABS(SUM($M113:$R113))&lt;0.005,"أدخل المبالغ المتفق عليها بحيث يساوي مجموعها مبلغ المصروف.",IF(SUM($M113:$R113)&lt;$D113-0.005,"يتبقى للتوزيع: "&amp;ROUND($D113-SUM($M113:$R113),2)&amp;".",IF(SUM($M113:$R113)&gt;$D113+0.005,"يزيد مجموع الحصص على المصروف بمقدار "&amp;ROUND(SUM($M113:$R113)-$D113,2)&amp;".","جاهز")))),"أدخل المبالغ المتفق عليها بحيث يساوي مجموعها مبلغ المصروف."))))))</f>
      </c>
    </row>
    <row r="114">
      <c r="A114" s="149"/>
      <c r="B114" s="138"/>
      <c r="C114" s="138"/>
      <c r="D114" s="150"/>
      <c r="E114" s="138"/>
      <c r="F114" s="138"/>
      <c r="G114" s="138"/>
      <c r="H114" s="138"/>
      <c r="I114" s="138"/>
      <c r="J114" s="138"/>
      <c r="K114" s="138"/>
      <c r="L114" s="138"/>
      <c r="M114" s="150"/>
      <c r="N114" s="150"/>
      <c r="O114" s="150"/>
      <c r="P114" s="150"/>
      <c r="Q114" s="150"/>
      <c r="R114" s="150"/>
      <c r="S114" s="138"/>
      <c r="T114" s="151" t="str">
        <f>IF(COUNTIF($A114:$S114,"&lt;&gt;")=0,"",IF($F114="بالتساوي بين المشاركين",IF(G114&lt;&gt;"نعم",0,IF(COUNTIF($H114:$L114,"نعم")=0,$D114-0,ROUND($D114/COUNTIF($G114:$L114,"نعم"),2))),IF($F114="مبالغ متفق عليها",IF(G114="نعم",M114,0),"")))</f>
      </c>
      <c r="U114" s="151" t="str">
        <f>IF(COUNTIF($A114:$S114,"&lt;&gt;")=0,"",IF($F114="بالتساوي بين المشاركين",IF(H114&lt;&gt;"نعم",0,IF(COUNTIF($I114:$L114,"نعم")=0,$D114-SUM($T114:T114),ROUND($D114/COUNTIF($G114:$L114,"نعم"),2))),IF($F114="مبالغ متفق عليها",IF(H114="نعم",N114,0),"")))</f>
      </c>
      <c r="V114" s="151" t="str">
        <f>IF(COUNTIF($A114:$S114,"&lt;&gt;")=0,"",IF($F114="بالتساوي بين المشاركين",IF(I114&lt;&gt;"نعم",0,IF(COUNTIF($J114:$L114,"نعم")=0,$D114-SUM($T114:U114),ROUND($D114/COUNTIF($G114:$L114,"نعم"),2))),IF($F114="مبالغ متفق عليها",IF(I114="نعم",O114,0),"")))</f>
      </c>
      <c r="W114" s="151" t="str">
        <f>IF(COUNTIF($A114:$S114,"&lt;&gt;")=0,"",IF($F114="بالتساوي بين المشاركين",IF(J114&lt;&gt;"نعم",0,IF(COUNTIF($K114:$L114,"نعم")=0,$D114-SUM($T114:V114),ROUND($D114/COUNTIF($G114:$L114,"نعم"),2))),IF($F114="مبالغ متفق عليها",IF(J114="نعم",P114,0),"")))</f>
      </c>
      <c r="X114" s="151" t="str">
        <f>IF(COUNTIF($A114:$S114,"&lt;&gt;")=0,"",IF($F114="بالتساوي بين المشاركين",IF(K114&lt;&gt;"نعم",0,IF(COUNTIF($L114:$L114,"نعم")=0,$D114-SUM($T114:W114),ROUND($D114/COUNTIF($G114:$L114,"نعم"),2))),IF($F114="مبالغ متفق عليها",IF(K114="نعم",Q114,0),"")))</f>
      </c>
      <c r="Y114" s="151" t="str">
        <f>IF(COUNTIF($A114:$S114,"&lt;&gt;")=0,"",IF($F114="بالتساوي بين المشاركين",IF(L114&lt;&gt;"نعم",0,IF(0=0,$D114-SUM($T114:X114),ROUND($D114/COUNTIF($G114:$L114,"نعم"),2))),IF($F114="مبالغ متفق عليها",IF(L114="نعم",R114,0),"")))</f>
      </c>
      <c r="Z114" s="165" t="str">
        <f>IF(COUNTIF($A114:$S114,"&lt;&gt;")=0,"",IF(OR($D114="",$D114&lt;=0),"أدخل مبلغًا أكبر من صفر.",IF($E114="","اختر الشخص الذي دفع المبلغ.",IF(COUNTIF($G114:$L114,"نعم")=0,"حدد شخصًا واحدًا على الأقل للمشاركة في المصروف.",IF($F114="بالتساوي بين المشاركين","جاهز",IF($F114="مبالغ متفق عليها",IF(OR(AND(G114="نعم",M114=""),AND(H114="نعم",N114=""),AND(I114="نعم",O114=""),AND(J114="نعم",P114=""),AND(K114="نعم",Q114=""),AND(L114="نعم",R114="")),"أدخل المبالغ المتفق عليها بحيث يساوي مجموعها مبلغ المصروف.",IF(ABS(SUM($M114:$R114))&lt;0.005,"أدخل المبالغ المتفق عليها بحيث يساوي مجموعها مبلغ المصروف.",IF(SUM($M114:$R114)&lt;$D114-0.005,"يتبقى للتوزيع: "&amp;ROUND($D114-SUM($M114:$R114),2)&amp;".",IF(SUM($M114:$R114)&gt;$D114+0.005,"يزيد مجموع الحصص على المصروف بمقدار "&amp;ROUND(SUM($M114:$R114)-$D114,2)&amp;".","جاهز")))),"أدخل المبالغ المتفق عليها بحيث يساوي مجموعها مبلغ المصروف."))))))</f>
      </c>
    </row>
    <row r="115">
      <c r="A115" s="149"/>
      <c r="B115" s="138"/>
      <c r="C115" s="138"/>
      <c r="D115" s="150"/>
      <c r="E115" s="138"/>
      <c r="F115" s="138"/>
      <c r="G115" s="138"/>
      <c r="H115" s="138"/>
      <c r="I115" s="138"/>
      <c r="J115" s="138"/>
      <c r="K115" s="138"/>
      <c r="L115" s="138"/>
      <c r="M115" s="150"/>
      <c r="N115" s="150"/>
      <c r="O115" s="150"/>
      <c r="P115" s="150"/>
      <c r="Q115" s="150"/>
      <c r="R115" s="150"/>
      <c r="S115" s="138"/>
      <c r="T115" s="151" t="str">
        <f>IF(COUNTIF($A115:$S115,"&lt;&gt;")=0,"",IF($F115="بالتساوي بين المشاركين",IF(G115&lt;&gt;"نعم",0,IF(COUNTIF($H115:$L115,"نعم")=0,$D115-0,ROUND($D115/COUNTIF($G115:$L115,"نعم"),2))),IF($F115="مبالغ متفق عليها",IF(G115="نعم",M115,0),"")))</f>
      </c>
      <c r="U115" s="151" t="str">
        <f>IF(COUNTIF($A115:$S115,"&lt;&gt;")=0,"",IF($F115="بالتساوي بين المشاركين",IF(H115&lt;&gt;"نعم",0,IF(COUNTIF($I115:$L115,"نعم")=0,$D115-SUM($T115:T115),ROUND($D115/COUNTIF($G115:$L115,"نعم"),2))),IF($F115="مبالغ متفق عليها",IF(H115="نعم",N115,0),"")))</f>
      </c>
      <c r="V115" s="151" t="str">
        <f>IF(COUNTIF($A115:$S115,"&lt;&gt;")=0,"",IF($F115="بالتساوي بين المشاركين",IF(I115&lt;&gt;"نعم",0,IF(COUNTIF($J115:$L115,"نعم")=0,$D115-SUM($T115:U115),ROUND($D115/COUNTIF($G115:$L115,"نعم"),2))),IF($F115="مبالغ متفق عليها",IF(I115="نعم",O115,0),"")))</f>
      </c>
      <c r="W115" s="151" t="str">
        <f>IF(COUNTIF($A115:$S115,"&lt;&gt;")=0,"",IF($F115="بالتساوي بين المشاركين",IF(J115&lt;&gt;"نعم",0,IF(COUNTIF($K115:$L115,"نعم")=0,$D115-SUM($T115:V115),ROUND($D115/COUNTIF($G115:$L115,"نعم"),2))),IF($F115="مبالغ متفق عليها",IF(J115="نعم",P115,0),"")))</f>
      </c>
      <c r="X115" s="151" t="str">
        <f>IF(COUNTIF($A115:$S115,"&lt;&gt;")=0,"",IF($F115="بالتساوي بين المشاركين",IF(K115&lt;&gt;"نعم",0,IF(COUNTIF($L115:$L115,"نعم")=0,$D115-SUM($T115:W115),ROUND($D115/COUNTIF($G115:$L115,"نعم"),2))),IF($F115="مبالغ متفق عليها",IF(K115="نعم",Q115,0),"")))</f>
      </c>
      <c r="Y115" s="151" t="str">
        <f>IF(COUNTIF($A115:$S115,"&lt;&gt;")=0,"",IF($F115="بالتساوي بين المشاركين",IF(L115&lt;&gt;"نعم",0,IF(0=0,$D115-SUM($T115:X115),ROUND($D115/COUNTIF($G115:$L115,"نعم"),2))),IF($F115="مبالغ متفق عليها",IF(L115="نعم",R115,0),"")))</f>
      </c>
      <c r="Z115" s="165" t="str">
        <f>IF(COUNTIF($A115:$S115,"&lt;&gt;")=0,"",IF(OR($D115="",$D115&lt;=0),"أدخل مبلغًا أكبر من صفر.",IF($E115="","اختر الشخص الذي دفع المبلغ.",IF(COUNTIF($G115:$L115,"نعم")=0,"حدد شخصًا واحدًا على الأقل للمشاركة في المصروف.",IF($F115="بالتساوي بين المشاركين","جاهز",IF($F115="مبالغ متفق عليها",IF(OR(AND(G115="نعم",M115=""),AND(H115="نعم",N115=""),AND(I115="نعم",O115=""),AND(J115="نعم",P115=""),AND(K115="نعم",Q115=""),AND(L115="نعم",R115="")),"أدخل المبالغ المتفق عليها بحيث يساوي مجموعها مبلغ المصروف.",IF(ABS(SUM($M115:$R115))&lt;0.005,"أدخل المبالغ المتفق عليها بحيث يساوي مجموعها مبلغ المصروف.",IF(SUM($M115:$R115)&lt;$D115-0.005,"يتبقى للتوزيع: "&amp;ROUND($D115-SUM($M115:$R115),2)&amp;".",IF(SUM($M115:$R115)&gt;$D115+0.005,"يزيد مجموع الحصص على المصروف بمقدار "&amp;ROUND(SUM($M115:$R115)-$D115,2)&amp;".","جاهز")))),"أدخل المبالغ المتفق عليها بحيث يساوي مجموعها مبلغ المصروف."))))))</f>
      </c>
    </row>
    <row r="116">
      <c r="A116" s="149"/>
      <c r="B116" s="138"/>
      <c r="C116" s="138"/>
      <c r="D116" s="150"/>
      <c r="E116" s="138"/>
      <c r="F116" s="138"/>
      <c r="G116" s="138"/>
      <c r="H116" s="138"/>
      <c r="I116" s="138"/>
      <c r="J116" s="138"/>
      <c r="K116" s="138"/>
      <c r="L116" s="138"/>
      <c r="M116" s="150"/>
      <c r="N116" s="150"/>
      <c r="O116" s="150"/>
      <c r="P116" s="150"/>
      <c r="Q116" s="150"/>
      <c r="R116" s="150"/>
      <c r="S116" s="138"/>
      <c r="T116" s="151" t="str">
        <f>IF(COUNTIF($A116:$S116,"&lt;&gt;")=0,"",IF($F116="بالتساوي بين المشاركين",IF(G116&lt;&gt;"نعم",0,IF(COUNTIF($H116:$L116,"نعم")=0,$D116-0,ROUND($D116/COUNTIF($G116:$L116,"نعم"),2))),IF($F116="مبالغ متفق عليها",IF(G116="نعم",M116,0),"")))</f>
      </c>
      <c r="U116" s="151" t="str">
        <f>IF(COUNTIF($A116:$S116,"&lt;&gt;")=0,"",IF($F116="بالتساوي بين المشاركين",IF(H116&lt;&gt;"نعم",0,IF(COUNTIF($I116:$L116,"نعم")=0,$D116-SUM($T116:T116),ROUND($D116/COUNTIF($G116:$L116,"نعم"),2))),IF($F116="مبالغ متفق عليها",IF(H116="نعم",N116,0),"")))</f>
      </c>
      <c r="V116" s="151" t="str">
        <f>IF(COUNTIF($A116:$S116,"&lt;&gt;")=0,"",IF($F116="بالتساوي بين المشاركين",IF(I116&lt;&gt;"نعم",0,IF(COUNTIF($J116:$L116,"نعم")=0,$D116-SUM($T116:U116),ROUND($D116/COUNTIF($G116:$L116,"نعم"),2))),IF($F116="مبالغ متفق عليها",IF(I116="نعم",O116,0),"")))</f>
      </c>
      <c r="W116" s="151" t="str">
        <f>IF(COUNTIF($A116:$S116,"&lt;&gt;")=0,"",IF($F116="بالتساوي بين المشاركين",IF(J116&lt;&gt;"نعم",0,IF(COUNTIF($K116:$L116,"نعم")=0,$D116-SUM($T116:V116),ROUND($D116/COUNTIF($G116:$L116,"نعم"),2))),IF($F116="مبالغ متفق عليها",IF(J116="نعم",P116,0),"")))</f>
      </c>
      <c r="X116" s="151" t="str">
        <f>IF(COUNTIF($A116:$S116,"&lt;&gt;")=0,"",IF($F116="بالتساوي بين المشاركين",IF(K116&lt;&gt;"نعم",0,IF(COUNTIF($L116:$L116,"نعم")=0,$D116-SUM($T116:W116),ROUND($D116/COUNTIF($G116:$L116,"نعم"),2))),IF($F116="مبالغ متفق عليها",IF(K116="نعم",Q116,0),"")))</f>
      </c>
      <c r="Y116" s="151" t="str">
        <f>IF(COUNTIF($A116:$S116,"&lt;&gt;")=0,"",IF($F116="بالتساوي بين المشاركين",IF(L116&lt;&gt;"نعم",0,IF(0=0,$D116-SUM($T116:X116),ROUND($D116/COUNTIF($G116:$L116,"نعم"),2))),IF($F116="مبالغ متفق عليها",IF(L116="نعم",R116,0),"")))</f>
      </c>
      <c r="Z116" s="165" t="str">
        <f>IF(COUNTIF($A116:$S116,"&lt;&gt;")=0,"",IF(OR($D116="",$D116&lt;=0),"أدخل مبلغًا أكبر من صفر.",IF($E116="","اختر الشخص الذي دفع المبلغ.",IF(COUNTIF($G116:$L116,"نعم")=0,"حدد شخصًا واحدًا على الأقل للمشاركة في المصروف.",IF($F116="بالتساوي بين المشاركين","جاهز",IF($F116="مبالغ متفق عليها",IF(OR(AND(G116="نعم",M116=""),AND(H116="نعم",N116=""),AND(I116="نعم",O116=""),AND(J116="نعم",P116=""),AND(K116="نعم",Q116=""),AND(L116="نعم",R116="")),"أدخل المبالغ المتفق عليها بحيث يساوي مجموعها مبلغ المصروف.",IF(ABS(SUM($M116:$R116))&lt;0.005,"أدخل المبالغ المتفق عليها بحيث يساوي مجموعها مبلغ المصروف.",IF(SUM($M116:$R116)&lt;$D116-0.005,"يتبقى للتوزيع: "&amp;ROUND($D116-SUM($M116:$R116),2)&amp;".",IF(SUM($M116:$R116)&gt;$D116+0.005,"يزيد مجموع الحصص على المصروف بمقدار "&amp;ROUND(SUM($M116:$R116)-$D116,2)&amp;".","جاهز")))),"أدخل المبالغ المتفق عليها بحيث يساوي مجموعها مبلغ المصروف."))))))</f>
      </c>
    </row>
    <row r="117">
      <c r="A117" s="149"/>
      <c r="B117" s="138"/>
      <c r="C117" s="138"/>
      <c r="D117" s="150"/>
      <c r="E117" s="138"/>
      <c r="F117" s="138"/>
      <c r="G117" s="138"/>
      <c r="H117" s="138"/>
      <c r="I117" s="138"/>
      <c r="J117" s="138"/>
      <c r="K117" s="138"/>
      <c r="L117" s="138"/>
      <c r="M117" s="150"/>
      <c r="N117" s="150"/>
      <c r="O117" s="150"/>
      <c r="P117" s="150"/>
      <c r="Q117" s="150"/>
      <c r="R117" s="150"/>
      <c r="S117" s="138"/>
      <c r="T117" s="151" t="str">
        <f>IF(COUNTIF($A117:$S117,"&lt;&gt;")=0,"",IF($F117="بالتساوي بين المشاركين",IF(G117&lt;&gt;"نعم",0,IF(COUNTIF($H117:$L117,"نعم")=0,$D117-0,ROUND($D117/COUNTIF($G117:$L117,"نعم"),2))),IF($F117="مبالغ متفق عليها",IF(G117="نعم",M117,0),"")))</f>
      </c>
      <c r="U117" s="151" t="str">
        <f>IF(COUNTIF($A117:$S117,"&lt;&gt;")=0,"",IF($F117="بالتساوي بين المشاركين",IF(H117&lt;&gt;"نعم",0,IF(COUNTIF($I117:$L117,"نعم")=0,$D117-SUM($T117:T117),ROUND($D117/COUNTIF($G117:$L117,"نعم"),2))),IF($F117="مبالغ متفق عليها",IF(H117="نعم",N117,0),"")))</f>
      </c>
      <c r="V117" s="151" t="str">
        <f>IF(COUNTIF($A117:$S117,"&lt;&gt;")=0,"",IF($F117="بالتساوي بين المشاركين",IF(I117&lt;&gt;"نعم",0,IF(COUNTIF($J117:$L117,"نعم")=0,$D117-SUM($T117:U117),ROUND($D117/COUNTIF($G117:$L117,"نعم"),2))),IF($F117="مبالغ متفق عليها",IF(I117="نعم",O117,0),"")))</f>
      </c>
      <c r="W117" s="151" t="str">
        <f>IF(COUNTIF($A117:$S117,"&lt;&gt;")=0,"",IF($F117="بالتساوي بين المشاركين",IF(J117&lt;&gt;"نعم",0,IF(COUNTIF($K117:$L117,"نعم")=0,$D117-SUM($T117:V117),ROUND($D117/COUNTIF($G117:$L117,"نعم"),2))),IF($F117="مبالغ متفق عليها",IF(J117="نعم",P117,0),"")))</f>
      </c>
      <c r="X117" s="151" t="str">
        <f>IF(COUNTIF($A117:$S117,"&lt;&gt;")=0,"",IF($F117="بالتساوي بين المشاركين",IF(K117&lt;&gt;"نعم",0,IF(COUNTIF($L117:$L117,"نعم")=0,$D117-SUM($T117:W117),ROUND($D117/COUNTIF($G117:$L117,"نعم"),2))),IF($F117="مبالغ متفق عليها",IF(K117="نعم",Q117,0),"")))</f>
      </c>
      <c r="Y117" s="151" t="str">
        <f>IF(COUNTIF($A117:$S117,"&lt;&gt;")=0,"",IF($F117="بالتساوي بين المشاركين",IF(L117&lt;&gt;"نعم",0,IF(0=0,$D117-SUM($T117:X117),ROUND($D117/COUNTIF($G117:$L117,"نعم"),2))),IF($F117="مبالغ متفق عليها",IF(L117="نعم",R117,0),"")))</f>
      </c>
      <c r="Z117" s="165" t="str">
        <f>IF(COUNTIF($A117:$S117,"&lt;&gt;")=0,"",IF(OR($D117="",$D117&lt;=0),"أدخل مبلغًا أكبر من صفر.",IF($E117="","اختر الشخص الذي دفع المبلغ.",IF(COUNTIF($G117:$L117,"نعم")=0,"حدد شخصًا واحدًا على الأقل للمشاركة في المصروف.",IF($F117="بالتساوي بين المشاركين","جاهز",IF($F117="مبالغ متفق عليها",IF(OR(AND(G117="نعم",M117=""),AND(H117="نعم",N117=""),AND(I117="نعم",O117=""),AND(J117="نعم",P117=""),AND(K117="نعم",Q117=""),AND(L117="نعم",R117="")),"أدخل المبالغ المتفق عليها بحيث يساوي مجموعها مبلغ المصروف.",IF(ABS(SUM($M117:$R117))&lt;0.005,"أدخل المبالغ المتفق عليها بحيث يساوي مجموعها مبلغ المصروف.",IF(SUM($M117:$R117)&lt;$D117-0.005,"يتبقى للتوزيع: "&amp;ROUND($D117-SUM($M117:$R117),2)&amp;".",IF(SUM($M117:$R117)&gt;$D117+0.005,"يزيد مجموع الحصص على المصروف بمقدار "&amp;ROUND(SUM($M117:$R117)-$D117,2)&amp;".","جاهز")))),"أدخل المبالغ المتفق عليها بحيث يساوي مجموعها مبلغ المصروف."))))))</f>
      </c>
    </row>
    <row r="118">
      <c r="A118" s="149"/>
      <c r="B118" s="138"/>
      <c r="C118" s="138"/>
      <c r="D118" s="150"/>
      <c r="E118" s="138"/>
      <c r="F118" s="138"/>
      <c r="G118" s="138"/>
      <c r="H118" s="138"/>
      <c r="I118" s="138"/>
      <c r="J118" s="138"/>
      <c r="K118" s="138"/>
      <c r="L118" s="138"/>
      <c r="M118" s="150"/>
      <c r="N118" s="150"/>
      <c r="O118" s="150"/>
      <c r="P118" s="150"/>
      <c r="Q118" s="150"/>
      <c r="R118" s="150"/>
      <c r="S118" s="138"/>
      <c r="T118" s="151" t="str">
        <f>IF(COUNTIF($A118:$S118,"&lt;&gt;")=0,"",IF($F118="بالتساوي بين المشاركين",IF(G118&lt;&gt;"نعم",0,IF(COUNTIF($H118:$L118,"نعم")=0,$D118-0,ROUND($D118/COUNTIF($G118:$L118,"نعم"),2))),IF($F118="مبالغ متفق عليها",IF(G118="نعم",M118,0),"")))</f>
      </c>
      <c r="U118" s="151" t="str">
        <f>IF(COUNTIF($A118:$S118,"&lt;&gt;")=0,"",IF($F118="بالتساوي بين المشاركين",IF(H118&lt;&gt;"نعم",0,IF(COUNTIF($I118:$L118,"نعم")=0,$D118-SUM($T118:T118),ROUND($D118/COUNTIF($G118:$L118,"نعم"),2))),IF($F118="مبالغ متفق عليها",IF(H118="نعم",N118,0),"")))</f>
      </c>
      <c r="V118" s="151" t="str">
        <f>IF(COUNTIF($A118:$S118,"&lt;&gt;")=0,"",IF($F118="بالتساوي بين المشاركين",IF(I118&lt;&gt;"نعم",0,IF(COUNTIF($J118:$L118,"نعم")=0,$D118-SUM($T118:U118),ROUND($D118/COUNTIF($G118:$L118,"نعم"),2))),IF($F118="مبالغ متفق عليها",IF(I118="نعم",O118,0),"")))</f>
      </c>
      <c r="W118" s="151" t="str">
        <f>IF(COUNTIF($A118:$S118,"&lt;&gt;")=0,"",IF($F118="بالتساوي بين المشاركين",IF(J118&lt;&gt;"نعم",0,IF(COUNTIF($K118:$L118,"نعم")=0,$D118-SUM($T118:V118),ROUND($D118/COUNTIF($G118:$L118,"نعم"),2))),IF($F118="مبالغ متفق عليها",IF(J118="نعم",P118,0),"")))</f>
      </c>
      <c r="X118" s="151" t="str">
        <f>IF(COUNTIF($A118:$S118,"&lt;&gt;")=0,"",IF($F118="بالتساوي بين المشاركين",IF(K118&lt;&gt;"نعم",0,IF(COUNTIF($L118:$L118,"نعم")=0,$D118-SUM($T118:W118),ROUND($D118/COUNTIF($G118:$L118,"نعم"),2))),IF($F118="مبالغ متفق عليها",IF(K118="نعم",Q118,0),"")))</f>
      </c>
      <c r="Y118" s="151" t="str">
        <f>IF(COUNTIF($A118:$S118,"&lt;&gt;")=0,"",IF($F118="بالتساوي بين المشاركين",IF(L118&lt;&gt;"نعم",0,IF(0=0,$D118-SUM($T118:X118),ROUND($D118/COUNTIF($G118:$L118,"نعم"),2))),IF($F118="مبالغ متفق عليها",IF(L118="نعم",R118,0),"")))</f>
      </c>
      <c r="Z118" s="165" t="str">
        <f>IF(COUNTIF($A118:$S118,"&lt;&gt;")=0,"",IF(OR($D118="",$D118&lt;=0),"أدخل مبلغًا أكبر من صفر.",IF($E118="","اختر الشخص الذي دفع المبلغ.",IF(COUNTIF($G118:$L118,"نعم")=0,"حدد شخصًا واحدًا على الأقل للمشاركة في المصروف.",IF($F118="بالتساوي بين المشاركين","جاهز",IF($F118="مبالغ متفق عليها",IF(OR(AND(G118="نعم",M118=""),AND(H118="نعم",N118=""),AND(I118="نعم",O118=""),AND(J118="نعم",P118=""),AND(K118="نعم",Q118=""),AND(L118="نعم",R118="")),"أدخل المبالغ المتفق عليها بحيث يساوي مجموعها مبلغ المصروف.",IF(ABS(SUM($M118:$R118))&lt;0.005,"أدخل المبالغ المتفق عليها بحيث يساوي مجموعها مبلغ المصروف.",IF(SUM($M118:$R118)&lt;$D118-0.005,"يتبقى للتوزيع: "&amp;ROUND($D118-SUM($M118:$R118),2)&amp;".",IF(SUM($M118:$R118)&gt;$D118+0.005,"يزيد مجموع الحصص على المصروف بمقدار "&amp;ROUND(SUM($M118:$R118)-$D118,2)&amp;".","جاهز")))),"أدخل المبالغ المتفق عليها بحيث يساوي مجموعها مبلغ المصروف."))))))</f>
      </c>
    </row>
    <row r="119">
      <c r="A119" s="149"/>
      <c r="B119" s="138"/>
      <c r="C119" s="138"/>
      <c r="D119" s="150"/>
      <c r="E119" s="138"/>
      <c r="F119" s="138"/>
      <c r="G119" s="138"/>
      <c r="H119" s="138"/>
      <c r="I119" s="138"/>
      <c r="J119" s="138"/>
      <c r="K119" s="138"/>
      <c r="L119" s="138"/>
      <c r="M119" s="150"/>
      <c r="N119" s="150"/>
      <c r="O119" s="150"/>
      <c r="P119" s="150"/>
      <c r="Q119" s="150"/>
      <c r="R119" s="150"/>
      <c r="S119" s="138"/>
      <c r="T119" s="151" t="str">
        <f>IF(COUNTIF($A119:$S119,"&lt;&gt;")=0,"",IF($F119="بالتساوي بين المشاركين",IF(G119&lt;&gt;"نعم",0,IF(COUNTIF($H119:$L119,"نعم")=0,$D119-0,ROUND($D119/COUNTIF($G119:$L119,"نعم"),2))),IF($F119="مبالغ متفق عليها",IF(G119="نعم",M119,0),"")))</f>
      </c>
      <c r="U119" s="151" t="str">
        <f>IF(COUNTIF($A119:$S119,"&lt;&gt;")=0,"",IF($F119="بالتساوي بين المشاركين",IF(H119&lt;&gt;"نعم",0,IF(COUNTIF($I119:$L119,"نعم")=0,$D119-SUM($T119:T119),ROUND($D119/COUNTIF($G119:$L119,"نعم"),2))),IF($F119="مبالغ متفق عليها",IF(H119="نعم",N119,0),"")))</f>
      </c>
      <c r="V119" s="151" t="str">
        <f>IF(COUNTIF($A119:$S119,"&lt;&gt;")=0,"",IF($F119="بالتساوي بين المشاركين",IF(I119&lt;&gt;"نعم",0,IF(COUNTIF($J119:$L119,"نعم")=0,$D119-SUM($T119:U119),ROUND($D119/COUNTIF($G119:$L119,"نعم"),2))),IF($F119="مبالغ متفق عليها",IF(I119="نعم",O119,0),"")))</f>
      </c>
      <c r="W119" s="151" t="str">
        <f>IF(COUNTIF($A119:$S119,"&lt;&gt;")=0,"",IF($F119="بالتساوي بين المشاركين",IF(J119&lt;&gt;"نعم",0,IF(COUNTIF($K119:$L119,"نعم")=0,$D119-SUM($T119:V119),ROUND($D119/COUNTIF($G119:$L119,"نعم"),2))),IF($F119="مبالغ متفق عليها",IF(J119="نعم",P119,0),"")))</f>
      </c>
      <c r="X119" s="151" t="str">
        <f>IF(COUNTIF($A119:$S119,"&lt;&gt;")=0,"",IF($F119="بالتساوي بين المشاركين",IF(K119&lt;&gt;"نعم",0,IF(COUNTIF($L119:$L119,"نعم")=0,$D119-SUM($T119:W119),ROUND($D119/COUNTIF($G119:$L119,"نعم"),2))),IF($F119="مبالغ متفق عليها",IF(K119="نعم",Q119,0),"")))</f>
      </c>
      <c r="Y119" s="151" t="str">
        <f>IF(COUNTIF($A119:$S119,"&lt;&gt;")=0,"",IF($F119="بالتساوي بين المشاركين",IF(L119&lt;&gt;"نعم",0,IF(0=0,$D119-SUM($T119:X119),ROUND($D119/COUNTIF($G119:$L119,"نعم"),2))),IF($F119="مبالغ متفق عليها",IF(L119="نعم",R119,0),"")))</f>
      </c>
      <c r="Z119" s="165" t="str">
        <f>IF(COUNTIF($A119:$S119,"&lt;&gt;")=0,"",IF(OR($D119="",$D119&lt;=0),"أدخل مبلغًا أكبر من صفر.",IF($E119="","اختر الشخص الذي دفع المبلغ.",IF(COUNTIF($G119:$L119,"نعم")=0,"حدد شخصًا واحدًا على الأقل للمشاركة في المصروف.",IF($F119="بالتساوي بين المشاركين","جاهز",IF($F119="مبالغ متفق عليها",IF(OR(AND(G119="نعم",M119=""),AND(H119="نعم",N119=""),AND(I119="نعم",O119=""),AND(J119="نعم",P119=""),AND(K119="نعم",Q119=""),AND(L119="نعم",R119="")),"أدخل المبالغ المتفق عليها بحيث يساوي مجموعها مبلغ المصروف.",IF(ABS(SUM($M119:$R119))&lt;0.005,"أدخل المبالغ المتفق عليها بحيث يساوي مجموعها مبلغ المصروف.",IF(SUM($M119:$R119)&lt;$D119-0.005,"يتبقى للتوزيع: "&amp;ROUND($D119-SUM($M119:$R119),2)&amp;".",IF(SUM($M119:$R119)&gt;$D119+0.005,"يزيد مجموع الحصص على المصروف بمقدار "&amp;ROUND(SUM($M119:$R119)-$D119,2)&amp;".","جاهز")))),"أدخل المبالغ المتفق عليها بحيث يساوي مجموعها مبلغ المصروف."))))))</f>
      </c>
    </row>
    <row r="120">
      <c r="A120" s="149"/>
      <c r="B120" s="138"/>
      <c r="C120" s="138"/>
      <c r="D120" s="150"/>
      <c r="E120" s="138"/>
      <c r="F120" s="138"/>
      <c r="G120" s="138"/>
      <c r="H120" s="138"/>
      <c r="I120" s="138"/>
      <c r="J120" s="138"/>
      <c r="K120" s="138"/>
      <c r="L120" s="138"/>
      <c r="M120" s="150"/>
      <c r="N120" s="150"/>
      <c r="O120" s="150"/>
      <c r="P120" s="150"/>
      <c r="Q120" s="150"/>
      <c r="R120" s="150"/>
      <c r="S120" s="138"/>
      <c r="T120" s="151" t="str">
        <f>IF(COUNTIF($A120:$S120,"&lt;&gt;")=0,"",IF($F120="بالتساوي بين المشاركين",IF(G120&lt;&gt;"نعم",0,IF(COUNTIF($H120:$L120,"نعم")=0,$D120-0,ROUND($D120/COUNTIF($G120:$L120,"نعم"),2))),IF($F120="مبالغ متفق عليها",IF(G120="نعم",M120,0),"")))</f>
      </c>
      <c r="U120" s="151" t="str">
        <f>IF(COUNTIF($A120:$S120,"&lt;&gt;")=0,"",IF($F120="بالتساوي بين المشاركين",IF(H120&lt;&gt;"نعم",0,IF(COUNTIF($I120:$L120,"نعم")=0,$D120-SUM($T120:T120),ROUND($D120/COUNTIF($G120:$L120,"نعم"),2))),IF($F120="مبالغ متفق عليها",IF(H120="نعم",N120,0),"")))</f>
      </c>
      <c r="V120" s="151" t="str">
        <f>IF(COUNTIF($A120:$S120,"&lt;&gt;")=0,"",IF($F120="بالتساوي بين المشاركين",IF(I120&lt;&gt;"نعم",0,IF(COUNTIF($J120:$L120,"نعم")=0,$D120-SUM($T120:U120),ROUND($D120/COUNTIF($G120:$L120,"نعم"),2))),IF($F120="مبالغ متفق عليها",IF(I120="نعم",O120,0),"")))</f>
      </c>
      <c r="W120" s="151" t="str">
        <f>IF(COUNTIF($A120:$S120,"&lt;&gt;")=0,"",IF($F120="بالتساوي بين المشاركين",IF(J120&lt;&gt;"نعم",0,IF(COUNTIF($K120:$L120,"نعم")=0,$D120-SUM($T120:V120),ROUND($D120/COUNTIF($G120:$L120,"نعم"),2))),IF($F120="مبالغ متفق عليها",IF(J120="نعم",P120,0),"")))</f>
      </c>
      <c r="X120" s="151" t="str">
        <f>IF(COUNTIF($A120:$S120,"&lt;&gt;")=0,"",IF($F120="بالتساوي بين المشاركين",IF(K120&lt;&gt;"نعم",0,IF(COUNTIF($L120:$L120,"نعم")=0,$D120-SUM($T120:W120),ROUND($D120/COUNTIF($G120:$L120,"نعم"),2))),IF($F120="مبالغ متفق عليها",IF(K120="نعم",Q120,0),"")))</f>
      </c>
      <c r="Y120" s="151" t="str">
        <f>IF(COUNTIF($A120:$S120,"&lt;&gt;")=0,"",IF($F120="بالتساوي بين المشاركين",IF(L120&lt;&gt;"نعم",0,IF(0=0,$D120-SUM($T120:X120),ROUND($D120/COUNTIF($G120:$L120,"نعم"),2))),IF($F120="مبالغ متفق عليها",IF(L120="نعم",R120,0),"")))</f>
      </c>
      <c r="Z120" s="165" t="str">
        <f>IF(COUNTIF($A120:$S120,"&lt;&gt;")=0,"",IF(OR($D120="",$D120&lt;=0),"أدخل مبلغًا أكبر من صفر.",IF($E120="","اختر الشخص الذي دفع المبلغ.",IF(COUNTIF($G120:$L120,"نعم")=0,"حدد شخصًا واحدًا على الأقل للمشاركة في المصروف.",IF($F120="بالتساوي بين المشاركين","جاهز",IF($F120="مبالغ متفق عليها",IF(OR(AND(G120="نعم",M120=""),AND(H120="نعم",N120=""),AND(I120="نعم",O120=""),AND(J120="نعم",P120=""),AND(K120="نعم",Q120=""),AND(L120="نعم",R120="")),"أدخل المبالغ المتفق عليها بحيث يساوي مجموعها مبلغ المصروف.",IF(ABS(SUM($M120:$R120))&lt;0.005,"أدخل المبالغ المتفق عليها بحيث يساوي مجموعها مبلغ المصروف.",IF(SUM($M120:$R120)&lt;$D120-0.005,"يتبقى للتوزيع: "&amp;ROUND($D120-SUM($M120:$R120),2)&amp;".",IF(SUM($M120:$R120)&gt;$D120+0.005,"يزيد مجموع الحصص على المصروف بمقدار "&amp;ROUND(SUM($M120:$R120)-$D120,2)&amp;".","جاهز")))),"أدخل المبالغ المتفق عليها بحيث يساوي مجموعها مبلغ المصروف."))))))</f>
      </c>
    </row>
    <row r="121">
      <c r="A121" s="149"/>
      <c r="B121" s="138"/>
      <c r="C121" s="138"/>
      <c r="D121" s="150"/>
      <c r="E121" s="138"/>
      <c r="F121" s="138"/>
      <c r="G121" s="138"/>
      <c r="H121" s="138"/>
      <c r="I121" s="138"/>
      <c r="J121" s="138"/>
      <c r="K121" s="138"/>
      <c r="L121" s="138"/>
      <c r="M121" s="150"/>
      <c r="N121" s="150"/>
      <c r="O121" s="150"/>
      <c r="P121" s="150"/>
      <c r="Q121" s="150"/>
      <c r="R121" s="150"/>
      <c r="S121" s="138"/>
      <c r="T121" s="151" t="str">
        <f>IF(COUNTIF($A121:$S121,"&lt;&gt;")=0,"",IF($F121="بالتساوي بين المشاركين",IF(G121&lt;&gt;"نعم",0,IF(COUNTIF($H121:$L121,"نعم")=0,$D121-0,ROUND($D121/COUNTIF($G121:$L121,"نعم"),2))),IF($F121="مبالغ متفق عليها",IF(G121="نعم",M121,0),"")))</f>
      </c>
      <c r="U121" s="151" t="str">
        <f>IF(COUNTIF($A121:$S121,"&lt;&gt;")=0,"",IF($F121="بالتساوي بين المشاركين",IF(H121&lt;&gt;"نعم",0,IF(COUNTIF($I121:$L121,"نعم")=0,$D121-SUM($T121:T121),ROUND($D121/COUNTIF($G121:$L121,"نعم"),2))),IF($F121="مبالغ متفق عليها",IF(H121="نعم",N121,0),"")))</f>
      </c>
      <c r="V121" s="151" t="str">
        <f>IF(COUNTIF($A121:$S121,"&lt;&gt;")=0,"",IF($F121="بالتساوي بين المشاركين",IF(I121&lt;&gt;"نعم",0,IF(COUNTIF($J121:$L121,"نعم")=0,$D121-SUM($T121:U121),ROUND($D121/COUNTIF($G121:$L121,"نعم"),2))),IF($F121="مبالغ متفق عليها",IF(I121="نعم",O121,0),"")))</f>
      </c>
      <c r="W121" s="151" t="str">
        <f>IF(COUNTIF($A121:$S121,"&lt;&gt;")=0,"",IF($F121="بالتساوي بين المشاركين",IF(J121&lt;&gt;"نعم",0,IF(COUNTIF($K121:$L121,"نعم")=0,$D121-SUM($T121:V121),ROUND($D121/COUNTIF($G121:$L121,"نعم"),2))),IF($F121="مبالغ متفق عليها",IF(J121="نعم",P121,0),"")))</f>
      </c>
      <c r="X121" s="151" t="str">
        <f>IF(COUNTIF($A121:$S121,"&lt;&gt;")=0,"",IF($F121="بالتساوي بين المشاركين",IF(K121&lt;&gt;"نعم",0,IF(COUNTIF($L121:$L121,"نعم")=0,$D121-SUM($T121:W121),ROUND($D121/COUNTIF($G121:$L121,"نعم"),2))),IF($F121="مبالغ متفق عليها",IF(K121="نعم",Q121,0),"")))</f>
      </c>
      <c r="Y121" s="151" t="str">
        <f>IF(COUNTIF($A121:$S121,"&lt;&gt;")=0,"",IF($F121="بالتساوي بين المشاركين",IF(L121&lt;&gt;"نعم",0,IF(0=0,$D121-SUM($T121:X121),ROUND($D121/COUNTIF($G121:$L121,"نعم"),2))),IF($F121="مبالغ متفق عليها",IF(L121="نعم",R121,0),"")))</f>
      </c>
      <c r="Z121" s="165" t="str">
        <f>IF(COUNTIF($A121:$S121,"&lt;&gt;")=0,"",IF(OR($D121="",$D121&lt;=0),"أدخل مبلغًا أكبر من صفر.",IF($E121="","اختر الشخص الذي دفع المبلغ.",IF(COUNTIF($G121:$L121,"نعم")=0,"حدد شخصًا واحدًا على الأقل للمشاركة في المصروف.",IF($F121="بالتساوي بين المشاركين","جاهز",IF($F121="مبالغ متفق عليها",IF(OR(AND(G121="نعم",M121=""),AND(H121="نعم",N121=""),AND(I121="نعم",O121=""),AND(J121="نعم",P121=""),AND(K121="نعم",Q121=""),AND(L121="نعم",R121="")),"أدخل المبالغ المتفق عليها بحيث يساوي مجموعها مبلغ المصروف.",IF(ABS(SUM($M121:$R121))&lt;0.005,"أدخل المبالغ المتفق عليها بحيث يساوي مجموعها مبلغ المصروف.",IF(SUM($M121:$R121)&lt;$D121-0.005,"يتبقى للتوزيع: "&amp;ROUND($D121-SUM($M121:$R121),2)&amp;".",IF(SUM($M121:$R121)&gt;$D121+0.005,"يزيد مجموع الحصص على المصروف بمقدار "&amp;ROUND(SUM($M121:$R121)-$D121,2)&amp;".","جاهز")))),"أدخل المبالغ المتفق عليها بحيث يساوي مجموعها مبلغ المصروف."))))))</f>
      </c>
    </row>
    <row r="122">
      <c r="A122" s="149"/>
      <c r="B122" s="138"/>
      <c r="C122" s="138"/>
      <c r="D122" s="150"/>
      <c r="E122" s="138"/>
      <c r="F122" s="138"/>
      <c r="G122" s="138"/>
      <c r="H122" s="138"/>
      <c r="I122" s="138"/>
      <c r="J122" s="138"/>
      <c r="K122" s="138"/>
      <c r="L122" s="138"/>
      <c r="M122" s="150"/>
      <c r="N122" s="150"/>
      <c r="O122" s="150"/>
      <c r="P122" s="150"/>
      <c r="Q122" s="150"/>
      <c r="R122" s="150"/>
      <c r="S122" s="138"/>
      <c r="T122" s="151" t="str">
        <f>IF(COUNTIF($A122:$S122,"&lt;&gt;")=0,"",IF($F122="بالتساوي بين المشاركين",IF(G122&lt;&gt;"نعم",0,IF(COUNTIF($H122:$L122,"نعم")=0,$D122-0,ROUND($D122/COUNTIF($G122:$L122,"نعم"),2))),IF($F122="مبالغ متفق عليها",IF(G122="نعم",M122,0),"")))</f>
      </c>
      <c r="U122" s="151" t="str">
        <f>IF(COUNTIF($A122:$S122,"&lt;&gt;")=0,"",IF($F122="بالتساوي بين المشاركين",IF(H122&lt;&gt;"نعم",0,IF(COUNTIF($I122:$L122,"نعم")=0,$D122-SUM($T122:T122),ROUND($D122/COUNTIF($G122:$L122,"نعم"),2))),IF($F122="مبالغ متفق عليها",IF(H122="نعم",N122,0),"")))</f>
      </c>
      <c r="V122" s="151" t="str">
        <f>IF(COUNTIF($A122:$S122,"&lt;&gt;")=0,"",IF($F122="بالتساوي بين المشاركين",IF(I122&lt;&gt;"نعم",0,IF(COUNTIF($J122:$L122,"نعم")=0,$D122-SUM($T122:U122),ROUND($D122/COUNTIF($G122:$L122,"نعم"),2))),IF($F122="مبالغ متفق عليها",IF(I122="نعم",O122,0),"")))</f>
      </c>
      <c r="W122" s="151" t="str">
        <f>IF(COUNTIF($A122:$S122,"&lt;&gt;")=0,"",IF($F122="بالتساوي بين المشاركين",IF(J122&lt;&gt;"نعم",0,IF(COUNTIF($K122:$L122,"نعم")=0,$D122-SUM($T122:V122),ROUND($D122/COUNTIF($G122:$L122,"نعم"),2))),IF($F122="مبالغ متفق عليها",IF(J122="نعم",P122,0),"")))</f>
      </c>
      <c r="X122" s="151" t="str">
        <f>IF(COUNTIF($A122:$S122,"&lt;&gt;")=0,"",IF($F122="بالتساوي بين المشاركين",IF(K122&lt;&gt;"نعم",0,IF(COUNTIF($L122:$L122,"نعم")=0,$D122-SUM($T122:W122),ROUND($D122/COUNTIF($G122:$L122,"نعم"),2))),IF($F122="مبالغ متفق عليها",IF(K122="نعم",Q122,0),"")))</f>
      </c>
      <c r="Y122" s="151" t="str">
        <f>IF(COUNTIF($A122:$S122,"&lt;&gt;")=0,"",IF($F122="بالتساوي بين المشاركين",IF(L122&lt;&gt;"نعم",0,IF(0=0,$D122-SUM($T122:X122),ROUND($D122/COUNTIF($G122:$L122,"نعم"),2))),IF($F122="مبالغ متفق عليها",IF(L122="نعم",R122,0),"")))</f>
      </c>
      <c r="Z122" s="165" t="str">
        <f>IF(COUNTIF($A122:$S122,"&lt;&gt;")=0,"",IF(OR($D122="",$D122&lt;=0),"أدخل مبلغًا أكبر من صفر.",IF($E122="","اختر الشخص الذي دفع المبلغ.",IF(COUNTIF($G122:$L122,"نعم")=0,"حدد شخصًا واحدًا على الأقل للمشاركة في المصروف.",IF($F122="بالتساوي بين المشاركين","جاهز",IF($F122="مبالغ متفق عليها",IF(OR(AND(G122="نعم",M122=""),AND(H122="نعم",N122=""),AND(I122="نعم",O122=""),AND(J122="نعم",P122=""),AND(K122="نعم",Q122=""),AND(L122="نعم",R122="")),"أدخل المبالغ المتفق عليها بحيث يساوي مجموعها مبلغ المصروف.",IF(ABS(SUM($M122:$R122))&lt;0.005,"أدخل المبالغ المتفق عليها بحيث يساوي مجموعها مبلغ المصروف.",IF(SUM($M122:$R122)&lt;$D122-0.005,"يتبقى للتوزيع: "&amp;ROUND($D122-SUM($M122:$R122),2)&amp;".",IF(SUM($M122:$R122)&gt;$D122+0.005,"يزيد مجموع الحصص على المصروف بمقدار "&amp;ROUND(SUM($M122:$R122)-$D122,2)&amp;".","جاهز")))),"أدخل المبالغ المتفق عليها بحيث يساوي مجموعها مبلغ المصروف."))))))</f>
      </c>
    </row>
    <row r="123">
      <c r="A123" s="149"/>
      <c r="B123" s="138"/>
      <c r="C123" s="138"/>
      <c r="D123" s="150"/>
      <c r="E123" s="138"/>
      <c r="F123" s="138"/>
      <c r="G123" s="138"/>
      <c r="H123" s="138"/>
      <c r="I123" s="138"/>
      <c r="J123" s="138"/>
      <c r="K123" s="138"/>
      <c r="L123" s="138"/>
      <c r="M123" s="150"/>
      <c r="N123" s="150"/>
      <c r="O123" s="150"/>
      <c r="P123" s="150"/>
      <c r="Q123" s="150"/>
      <c r="R123" s="150"/>
      <c r="S123" s="138"/>
      <c r="T123" s="151" t="str">
        <f>IF(COUNTIF($A123:$S123,"&lt;&gt;")=0,"",IF($F123="بالتساوي بين المشاركين",IF(G123&lt;&gt;"نعم",0,IF(COUNTIF($H123:$L123,"نعم")=0,$D123-0,ROUND($D123/COUNTIF($G123:$L123,"نعم"),2))),IF($F123="مبالغ متفق عليها",IF(G123="نعم",M123,0),"")))</f>
      </c>
      <c r="U123" s="151" t="str">
        <f>IF(COUNTIF($A123:$S123,"&lt;&gt;")=0,"",IF($F123="بالتساوي بين المشاركين",IF(H123&lt;&gt;"نعم",0,IF(COUNTIF($I123:$L123,"نعم")=0,$D123-SUM($T123:T123),ROUND($D123/COUNTIF($G123:$L123,"نعم"),2))),IF($F123="مبالغ متفق عليها",IF(H123="نعم",N123,0),"")))</f>
      </c>
      <c r="V123" s="151" t="str">
        <f>IF(COUNTIF($A123:$S123,"&lt;&gt;")=0,"",IF($F123="بالتساوي بين المشاركين",IF(I123&lt;&gt;"نعم",0,IF(COUNTIF($J123:$L123,"نعم")=0,$D123-SUM($T123:U123),ROUND($D123/COUNTIF($G123:$L123,"نعم"),2))),IF($F123="مبالغ متفق عليها",IF(I123="نعم",O123,0),"")))</f>
      </c>
      <c r="W123" s="151" t="str">
        <f>IF(COUNTIF($A123:$S123,"&lt;&gt;")=0,"",IF($F123="بالتساوي بين المشاركين",IF(J123&lt;&gt;"نعم",0,IF(COUNTIF($K123:$L123,"نعم")=0,$D123-SUM($T123:V123),ROUND($D123/COUNTIF($G123:$L123,"نعم"),2))),IF($F123="مبالغ متفق عليها",IF(J123="نعم",P123,0),"")))</f>
      </c>
      <c r="X123" s="151" t="str">
        <f>IF(COUNTIF($A123:$S123,"&lt;&gt;")=0,"",IF($F123="بالتساوي بين المشاركين",IF(K123&lt;&gt;"نعم",0,IF(COUNTIF($L123:$L123,"نعم")=0,$D123-SUM($T123:W123),ROUND($D123/COUNTIF($G123:$L123,"نعم"),2))),IF($F123="مبالغ متفق عليها",IF(K123="نعم",Q123,0),"")))</f>
      </c>
      <c r="Y123" s="151" t="str">
        <f>IF(COUNTIF($A123:$S123,"&lt;&gt;")=0,"",IF($F123="بالتساوي بين المشاركين",IF(L123&lt;&gt;"نعم",0,IF(0=0,$D123-SUM($T123:X123),ROUND($D123/COUNTIF($G123:$L123,"نعم"),2))),IF($F123="مبالغ متفق عليها",IF(L123="نعم",R123,0),"")))</f>
      </c>
      <c r="Z123" s="165" t="str">
        <f>IF(COUNTIF($A123:$S123,"&lt;&gt;")=0,"",IF(OR($D123="",$D123&lt;=0),"أدخل مبلغًا أكبر من صفر.",IF($E123="","اختر الشخص الذي دفع المبلغ.",IF(COUNTIF($G123:$L123,"نعم")=0,"حدد شخصًا واحدًا على الأقل للمشاركة في المصروف.",IF($F123="بالتساوي بين المشاركين","جاهز",IF($F123="مبالغ متفق عليها",IF(OR(AND(G123="نعم",M123=""),AND(H123="نعم",N123=""),AND(I123="نعم",O123=""),AND(J123="نعم",P123=""),AND(K123="نعم",Q123=""),AND(L123="نعم",R123="")),"أدخل المبالغ المتفق عليها بحيث يساوي مجموعها مبلغ المصروف.",IF(ABS(SUM($M123:$R123))&lt;0.005,"أدخل المبالغ المتفق عليها بحيث يساوي مجموعها مبلغ المصروف.",IF(SUM($M123:$R123)&lt;$D123-0.005,"يتبقى للتوزيع: "&amp;ROUND($D123-SUM($M123:$R123),2)&amp;".",IF(SUM($M123:$R123)&gt;$D123+0.005,"يزيد مجموع الحصص على المصروف بمقدار "&amp;ROUND(SUM($M123:$R123)-$D123,2)&amp;".","جاهز")))),"أدخل المبالغ المتفق عليها بحيث يساوي مجموعها مبلغ المصروف."))))))</f>
      </c>
    </row>
    <row r="124">
      <c r="A124" s="149"/>
      <c r="B124" s="138"/>
      <c r="C124" s="138"/>
      <c r="D124" s="150"/>
      <c r="E124" s="138"/>
      <c r="F124" s="138"/>
      <c r="G124" s="138"/>
      <c r="H124" s="138"/>
      <c r="I124" s="138"/>
      <c r="J124" s="138"/>
      <c r="K124" s="138"/>
      <c r="L124" s="138"/>
      <c r="M124" s="150"/>
      <c r="N124" s="150"/>
      <c r="O124" s="150"/>
      <c r="P124" s="150"/>
      <c r="Q124" s="150"/>
      <c r="R124" s="150"/>
      <c r="S124" s="138"/>
      <c r="T124" s="151" t="str">
        <f>IF(COUNTIF($A124:$S124,"&lt;&gt;")=0,"",IF($F124="بالتساوي بين المشاركين",IF(G124&lt;&gt;"نعم",0,IF(COUNTIF($H124:$L124,"نعم")=0,$D124-0,ROUND($D124/COUNTIF($G124:$L124,"نعم"),2))),IF($F124="مبالغ متفق عليها",IF(G124="نعم",M124,0),"")))</f>
      </c>
      <c r="U124" s="151" t="str">
        <f>IF(COUNTIF($A124:$S124,"&lt;&gt;")=0,"",IF($F124="بالتساوي بين المشاركين",IF(H124&lt;&gt;"نعم",0,IF(COUNTIF($I124:$L124,"نعم")=0,$D124-SUM($T124:T124),ROUND($D124/COUNTIF($G124:$L124,"نعم"),2))),IF($F124="مبالغ متفق عليها",IF(H124="نعم",N124,0),"")))</f>
      </c>
      <c r="V124" s="151" t="str">
        <f>IF(COUNTIF($A124:$S124,"&lt;&gt;")=0,"",IF($F124="بالتساوي بين المشاركين",IF(I124&lt;&gt;"نعم",0,IF(COUNTIF($J124:$L124,"نعم")=0,$D124-SUM($T124:U124),ROUND($D124/COUNTIF($G124:$L124,"نعم"),2))),IF($F124="مبالغ متفق عليها",IF(I124="نعم",O124,0),"")))</f>
      </c>
      <c r="W124" s="151" t="str">
        <f>IF(COUNTIF($A124:$S124,"&lt;&gt;")=0,"",IF($F124="بالتساوي بين المشاركين",IF(J124&lt;&gt;"نعم",0,IF(COUNTIF($K124:$L124,"نعم")=0,$D124-SUM($T124:V124),ROUND($D124/COUNTIF($G124:$L124,"نعم"),2))),IF($F124="مبالغ متفق عليها",IF(J124="نعم",P124,0),"")))</f>
      </c>
      <c r="X124" s="151" t="str">
        <f>IF(COUNTIF($A124:$S124,"&lt;&gt;")=0,"",IF($F124="بالتساوي بين المشاركين",IF(K124&lt;&gt;"نعم",0,IF(COUNTIF($L124:$L124,"نعم")=0,$D124-SUM($T124:W124),ROUND($D124/COUNTIF($G124:$L124,"نعم"),2))),IF($F124="مبالغ متفق عليها",IF(K124="نعم",Q124,0),"")))</f>
      </c>
      <c r="Y124" s="151" t="str">
        <f>IF(COUNTIF($A124:$S124,"&lt;&gt;")=0,"",IF($F124="بالتساوي بين المشاركين",IF(L124&lt;&gt;"نعم",0,IF(0=0,$D124-SUM($T124:X124),ROUND($D124/COUNTIF($G124:$L124,"نعم"),2))),IF($F124="مبالغ متفق عليها",IF(L124="نعم",R124,0),"")))</f>
      </c>
      <c r="Z124" s="165" t="str">
        <f>IF(COUNTIF($A124:$S124,"&lt;&gt;")=0,"",IF(OR($D124="",$D124&lt;=0),"أدخل مبلغًا أكبر من صفر.",IF($E124="","اختر الشخص الذي دفع المبلغ.",IF(COUNTIF($G124:$L124,"نعم")=0,"حدد شخصًا واحدًا على الأقل للمشاركة في المصروف.",IF($F124="بالتساوي بين المشاركين","جاهز",IF($F124="مبالغ متفق عليها",IF(OR(AND(G124="نعم",M124=""),AND(H124="نعم",N124=""),AND(I124="نعم",O124=""),AND(J124="نعم",P124=""),AND(K124="نعم",Q124=""),AND(L124="نعم",R124="")),"أدخل المبالغ المتفق عليها بحيث يساوي مجموعها مبلغ المصروف.",IF(ABS(SUM($M124:$R124))&lt;0.005,"أدخل المبالغ المتفق عليها بحيث يساوي مجموعها مبلغ المصروف.",IF(SUM($M124:$R124)&lt;$D124-0.005,"يتبقى للتوزيع: "&amp;ROUND($D124-SUM($M124:$R124),2)&amp;".",IF(SUM($M124:$R124)&gt;$D124+0.005,"يزيد مجموع الحصص على المصروف بمقدار "&amp;ROUND(SUM($M124:$R124)-$D124,2)&amp;".","جاهز")))),"أدخل المبالغ المتفق عليها بحيث يساوي مجموعها مبلغ المصروف."))))))</f>
      </c>
    </row>
    <row r="125">
      <c r="A125" s="149"/>
      <c r="B125" s="138"/>
      <c r="C125" s="138"/>
      <c r="D125" s="150"/>
      <c r="E125" s="138"/>
      <c r="F125" s="138"/>
      <c r="G125" s="138"/>
      <c r="H125" s="138"/>
      <c r="I125" s="138"/>
      <c r="J125" s="138"/>
      <c r="K125" s="138"/>
      <c r="L125" s="138"/>
      <c r="M125" s="150"/>
      <c r="N125" s="150"/>
      <c r="O125" s="150"/>
      <c r="P125" s="150"/>
      <c r="Q125" s="150"/>
      <c r="R125" s="150"/>
      <c r="S125" s="138"/>
      <c r="T125" s="151" t="str">
        <f>IF(COUNTIF($A125:$S125,"&lt;&gt;")=0,"",IF($F125="بالتساوي بين المشاركين",IF(G125&lt;&gt;"نعم",0,IF(COUNTIF($H125:$L125,"نعم")=0,$D125-0,ROUND($D125/COUNTIF($G125:$L125,"نعم"),2))),IF($F125="مبالغ متفق عليها",IF(G125="نعم",M125,0),"")))</f>
      </c>
      <c r="U125" s="151" t="str">
        <f>IF(COUNTIF($A125:$S125,"&lt;&gt;")=0,"",IF($F125="بالتساوي بين المشاركين",IF(H125&lt;&gt;"نعم",0,IF(COUNTIF($I125:$L125,"نعم")=0,$D125-SUM($T125:T125),ROUND($D125/COUNTIF($G125:$L125,"نعم"),2))),IF($F125="مبالغ متفق عليها",IF(H125="نعم",N125,0),"")))</f>
      </c>
      <c r="V125" s="151" t="str">
        <f>IF(COUNTIF($A125:$S125,"&lt;&gt;")=0,"",IF($F125="بالتساوي بين المشاركين",IF(I125&lt;&gt;"نعم",0,IF(COUNTIF($J125:$L125,"نعم")=0,$D125-SUM($T125:U125),ROUND($D125/COUNTIF($G125:$L125,"نعم"),2))),IF($F125="مبالغ متفق عليها",IF(I125="نعم",O125,0),"")))</f>
      </c>
      <c r="W125" s="151" t="str">
        <f>IF(COUNTIF($A125:$S125,"&lt;&gt;")=0,"",IF($F125="بالتساوي بين المشاركين",IF(J125&lt;&gt;"نعم",0,IF(COUNTIF($K125:$L125,"نعم")=0,$D125-SUM($T125:V125),ROUND($D125/COUNTIF($G125:$L125,"نعم"),2))),IF($F125="مبالغ متفق عليها",IF(J125="نعم",P125,0),"")))</f>
      </c>
      <c r="X125" s="151" t="str">
        <f>IF(COUNTIF($A125:$S125,"&lt;&gt;")=0,"",IF($F125="بالتساوي بين المشاركين",IF(K125&lt;&gt;"نعم",0,IF(COUNTIF($L125:$L125,"نعم")=0,$D125-SUM($T125:W125),ROUND($D125/COUNTIF($G125:$L125,"نعم"),2))),IF($F125="مبالغ متفق عليها",IF(K125="نعم",Q125,0),"")))</f>
      </c>
      <c r="Y125" s="151" t="str">
        <f>IF(COUNTIF($A125:$S125,"&lt;&gt;")=0,"",IF($F125="بالتساوي بين المشاركين",IF(L125&lt;&gt;"نعم",0,IF(0=0,$D125-SUM($T125:X125),ROUND($D125/COUNTIF($G125:$L125,"نعم"),2))),IF($F125="مبالغ متفق عليها",IF(L125="نعم",R125,0),"")))</f>
      </c>
      <c r="Z125" s="165" t="str">
        <f>IF(COUNTIF($A125:$S125,"&lt;&gt;")=0,"",IF(OR($D125="",$D125&lt;=0),"أدخل مبلغًا أكبر من صفر.",IF($E125="","اختر الشخص الذي دفع المبلغ.",IF(COUNTIF($G125:$L125,"نعم")=0,"حدد شخصًا واحدًا على الأقل للمشاركة في المصروف.",IF($F125="بالتساوي بين المشاركين","جاهز",IF($F125="مبالغ متفق عليها",IF(OR(AND(G125="نعم",M125=""),AND(H125="نعم",N125=""),AND(I125="نعم",O125=""),AND(J125="نعم",P125=""),AND(K125="نعم",Q125=""),AND(L125="نعم",R125="")),"أدخل المبالغ المتفق عليها بحيث يساوي مجموعها مبلغ المصروف.",IF(ABS(SUM($M125:$R125))&lt;0.005,"أدخل المبالغ المتفق عليها بحيث يساوي مجموعها مبلغ المصروف.",IF(SUM($M125:$R125)&lt;$D125-0.005,"يتبقى للتوزيع: "&amp;ROUND($D125-SUM($M125:$R125),2)&amp;".",IF(SUM($M125:$R125)&gt;$D125+0.005,"يزيد مجموع الحصص على المصروف بمقدار "&amp;ROUND(SUM($M125:$R125)-$D125,2)&amp;".","جاهز")))),"أدخل المبالغ المتفق عليها بحيث يساوي مجموعها مبلغ المصروف."))))))</f>
      </c>
    </row>
    <row r="126">
      <c r="A126" s="149"/>
      <c r="B126" s="138"/>
      <c r="C126" s="138"/>
      <c r="D126" s="150"/>
      <c r="E126" s="138"/>
      <c r="F126" s="138"/>
      <c r="G126" s="138"/>
      <c r="H126" s="138"/>
      <c r="I126" s="138"/>
      <c r="J126" s="138"/>
      <c r="K126" s="138"/>
      <c r="L126" s="138"/>
      <c r="M126" s="150"/>
      <c r="N126" s="150"/>
      <c r="O126" s="150"/>
      <c r="P126" s="150"/>
      <c r="Q126" s="150"/>
      <c r="R126" s="150"/>
      <c r="S126" s="138"/>
      <c r="T126" s="151" t="str">
        <f>IF(COUNTIF($A126:$S126,"&lt;&gt;")=0,"",IF($F126="بالتساوي بين المشاركين",IF(G126&lt;&gt;"نعم",0,IF(COUNTIF($H126:$L126,"نعم")=0,$D126-0,ROUND($D126/COUNTIF($G126:$L126,"نعم"),2))),IF($F126="مبالغ متفق عليها",IF(G126="نعم",M126,0),"")))</f>
      </c>
      <c r="U126" s="151" t="str">
        <f>IF(COUNTIF($A126:$S126,"&lt;&gt;")=0,"",IF($F126="بالتساوي بين المشاركين",IF(H126&lt;&gt;"نعم",0,IF(COUNTIF($I126:$L126,"نعم")=0,$D126-SUM($T126:T126),ROUND($D126/COUNTIF($G126:$L126,"نعم"),2))),IF($F126="مبالغ متفق عليها",IF(H126="نعم",N126,0),"")))</f>
      </c>
      <c r="V126" s="151" t="str">
        <f>IF(COUNTIF($A126:$S126,"&lt;&gt;")=0,"",IF($F126="بالتساوي بين المشاركين",IF(I126&lt;&gt;"نعم",0,IF(COUNTIF($J126:$L126,"نعم")=0,$D126-SUM($T126:U126),ROUND($D126/COUNTIF($G126:$L126,"نعم"),2))),IF($F126="مبالغ متفق عليها",IF(I126="نعم",O126,0),"")))</f>
      </c>
      <c r="W126" s="151" t="str">
        <f>IF(COUNTIF($A126:$S126,"&lt;&gt;")=0,"",IF($F126="بالتساوي بين المشاركين",IF(J126&lt;&gt;"نعم",0,IF(COUNTIF($K126:$L126,"نعم")=0,$D126-SUM($T126:V126),ROUND($D126/COUNTIF($G126:$L126,"نعم"),2))),IF($F126="مبالغ متفق عليها",IF(J126="نعم",P126,0),"")))</f>
      </c>
      <c r="X126" s="151" t="str">
        <f>IF(COUNTIF($A126:$S126,"&lt;&gt;")=0,"",IF($F126="بالتساوي بين المشاركين",IF(K126&lt;&gt;"نعم",0,IF(COUNTIF($L126:$L126,"نعم")=0,$D126-SUM($T126:W126),ROUND($D126/COUNTIF($G126:$L126,"نعم"),2))),IF($F126="مبالغ متفق عليها",IF(K126="نعم",Q126,0),"")))</f>
      </c>
      <c r="Y126" s="151" t="str">
        <f>IF(COUNTIF($A126:$S126,"&lt;&gt;")=0,"",IF($F126="بالتساوي بين المشاركين",IF(L126&lt;&gt;"نعم",0,IF(0=0,$D126-SUM($T126:X126),ROUND($D126/COUNTIF($G126:$L126,"نعم"),2))),IF($F126="مبالغ متفق عليها",IF(L126="نعم",R126,0),"")))</f>
      </c>
      <c r="Z126" s="165" t="str">
        <f>IF(COUNTIF($A126:$S126,"&lt;&gt;")=0,"",IF(OR($D126="",$D126&lt;=0),"أدخل مبلغًا أكبر من صفر.",IF($E126="","اختر الشخص الذي دفع المبلغ.",IF(COUNTIF($G126:$L126,"نعم")=0,"حدد شخصًا واحدًا على الأقل للمشاركة في المصروف.",IF($F126="بالتساوي بين المشاركين","جاهز",IF($F126="مبالغ متفق عليها",IF(OR(AND(G126="نعم",M126=""),AND(H126="نعم",N126=""),AND(I126="نعم",O126=""),AND(J126="نعم",P126=""),AND(K126="نعم",Q126=""),AND(L126="نعم",R126="")),"أدخل المبالغ المتفق عليها بحيث يساوي مجموعها مبلغ المصروف.",IF(ABS(SUM($M126:$R126))&lt;0.005,"أدخل المبالغ المتفق عليها بحيث يساوي مجموعها مبلغ المصروف.",IF(SUM($M126:$R126)&lt;$D126-0.005,"يتبقى للتوزيع: "&amp;ROUND($D126-SUM($M126:$R126),2)&amp;".",IF(SUM($M126:$R126)&gt;$D126+0.005,"يزيد مجموع الحصص على المصروف بمقدار "&amp;ROUND(SUM($M126:$R126)-$D126,2)&amp;".","جاهز")))),"أدخل المبالغ المتفق عليها بحيث يساوي مجموعها مبلغ المصروف."))))))</f>
      </c>
    </row>
    <row r="127">
      <c r="A127" s="149"/>
      <c r="B127" s="138"/>
      <c r="C127" s="138"/>
      <c r="D127" s="150"/>
      <c r="E127" s="138"/>
      <c r="F127" s="138"/>
      <c r="G127" s="138"/>
      <c r="H127" s="138"/>
      <c r="I127" s="138"/>
      <c r="J127" s="138"/>
      <c r="K127" s="138"/>
      <c r="L127" s="138"/>
      <c r="M127" s="150"/>
      <c r="N127" s="150"/>
      <c r="O127" s="150"/>
      <c r="P127" s="150"/>
      <c r="Q127" s="150"/>
      <c r="R127" s="150"/>
      <c r="S127" s="138"/>
      <c r="T127" s="151" t="str">
        <f>IF(COUNTIF($A127:$S127,"&lt;&gt;")=0,"",IF($F127="بالتساوي بين المشاركين",IF(G127&lt;&gt;"نعم",0,IF(COUNTIF($H127:$L127,"نعم")=0,$D127-0,ROUND($D127/COUNTIF($G127:$L127,"نعم"),2))),IF($F127="مبالغ متفق عليها",IF(G127="نعم",M127,0),"")))</f>
      </c>
      <c r="U127" s="151" t="str">
        <f>IF(COUNTIF($A127:$S127,"&lt;&gt;")=0,"",IF($F127="بالتساوي بين المشاركين",IF(H127&lt;&gt;"نعم",0,IF(COUNTIF($I127:$L127,"نعم")=0,$D127-SUM($T127:T127),ROUND($D127/COUNTIF($G127:$L127,"نعم"),2))),IF($F127="مبالغ متفق عليها",IF(H127="نعم",N127,0),"")))</f>
      </c>
      <c r="V127" s="151" t="str">
        <f>IF(COUNTIF($A127:$S127,"&lt;&gt;")=0,"",IF($F127="بالتساوي بين المشاركين",IF(I127&lt;&gt;"نعم",0,IF(COUNTIF($J127:$L127,"نعم")=0,$D127-SUM($T127:U127),ROUND($D127/COUNTIF($G127:$L127,"نعم"),2))),IF($F127="مبالغ متفق عليها",IF(I127="نعم",O127,0),"")))</f>
      </c>
      <c r="W127" s="151" t="str">
        <f>IF(COUNTIF($A127:$S127,"&lt;&gt;")=0,"",IF($F127="بالتساوي بين المشاركين",IF(J127&lt;&gt;"نعم",0,IF(COUNTIF($K127:$L127,"نعم")=0,$D127-SUM($T127:V127),ROUND($D127/COUNTIF($G127:$L127,"نعم"),2))),IF($F127="مبالغ متفق عليها",IF(J127="نعم",P127,0),"")))</f>
      </c>
      <c r="X127" s="151" t="str">
        <f>IF(COUNTIF($A127:$S127,"&lt;&gt;")=0,"",IF($F127="بالتساوي بين المشاركين",IF(K127&lt;&gt;"نعم",0,IF(COUNTIF($L127:$L127,"نعم")=0,$D127-SUM($T127:W127),ROUND($D127/COUNTIF($G127:$L127,"نعم"),2))),IF($F127="مبالغ متفق عليها",IF(K127="نعم",Q127,0),"")))</f>
      </c>
      <c r="Y127" s="151" t="str">
        <f>IF(COUNTIF($A127:$S127,"&lt;&gt;")=0,"",IF($F127="بالتساوي بين المشاركين",IF(L127&lt;&gt;"نعم",0,IF(0=0,$D127-SUM($T127:X127),ROUND($D127/COUNTIF($G127:$L127,"نعم"),2))),IF($F127="مبالغ متفق عليها",IF(L127="نعم",R127,0),"")))</f>
      </c>
      <c r="Z127" s="165" t="str">
        <f>IF(COUNTIF($A127:$S127,"&lt;&gt;")=0,"",IF(OR($D127="",$D127&lt;=0),"أدخل مبلغًا أكبر من صفر.",IF($E127="","اختر الشخص الذي دفع المبلغ.",IF(COUNTIF($G127:$L127,"نعم")=0,"حدد شخصًا واحدًا على الأقل للمشاركة في المصروف.",IF($F127="بالتساوي بين المشاركين","جاهز",IF($F127="مبالغ متفق عليها",IF(OR(AND(G127="نعم",M127=""),AND(H127="نعم",N127=""),AND(I127="نعم",O127=""),AND(J127="نعم",P127=""),AND(K127="نعم",Q127=""),AND(L127="نعم",R127="")),"أدخل المبالغ المتفق عليها بحيث يساوي مجموعها مبلغ المصروف.",IF(ABS(SUM($M127:$R127))&lt;0.005,"أدخل المبالغ المتفق عليها بحيث يساوي مجموعها مبلغ المصروف.",IF(SUM($M127:$R127)&lt;$D127-0.005,"يتبقى للتوزيع: "&amp;ROUND($D127-SUM($M127:$R127),2)&amp;".",IF(SUM($M127:$R127)&gt;$D127+0.005,"يزيد مجموع الحصص على المصروف بمقدار "&amp;ROUND(SUM($M127:$R127)-$D127,2)&amp;".","جاهز")))),"أدخل المبالغ المتفق عليها بحيث يساوي مجموعها مبلغ المصروف."))))))</f>
      </c>
    </row>
    <row r="128">
      <c r="A128" s="149"/>
      <c r="B128" s="138"/>
      <c r="C128" s="138"/>
      <c r="D128" s="150"/>
      <c r="E128" s="138"/>
      <c r="F128" s="138"/>
      <c r="G128" s="138"/>
      <c r="H128" s="138"/>
      <c r="I128" s="138"/>
      <c r="J128" s="138"/>
      <c r="K128" s="138"/>
      <c r="L128" s="138"/>
      <c r="M128" s="150"/>
      <c r="N128" s="150"/>
      <c r="O128" s="150"/>
      <c r="P128" s="150"/>
      <c r="Q128" s="150"/>
      <c r="R128" s="150"/>
      <c r="S128" s="138"/>
      <c r="T128" s="151" t="str">
        <f>IF(COUNTIF($A128:$S128,"&lt;&gt;")=0,"",IF($F128="بالتساوي بين المشاركين",IF(G128&lt;&gt;"نعم",0,IF(COUNTIF($H128:$L128,"نعم")=0,$D128-0,ROUND($D128/COUNTIF($G128:$L128,"نعم"),2))),IF($F128="مبالغ متفق عليها",IF(G128="نعم",M128,0),"")))</f>
      </c>
      <c r="U128" s="151" t="str">
        <f>IF(COUNTIF($A128:$S128,"&lt;&gt;")=0,"",IF($F128="بالتساوي بين المشاركين",IF(H128&lt;&gt;"نعم",0,IF(COUNTIF($I128:$L128,"نعم")=0,$D128-SUM($T128:T128),ROUND($D128/COUNTIF($G128:$L128,"نعم"),2))),IF($F128="مبالغ متفق عليها",IF(H128="نعم",N128,0),"")))</f>
      </c>
      <c r="V128" s="151" t="str">
        <f>IF(COUNTIF($A128:$S128,"&lt;&gt;")=0,"",IF($F128="بالتساوي بين المشاركين",IF(I128&lt;&gt;"نعم",0,IF(COUNTIF($J128:$L128,"نعم")=0,$D128-SUM($T128:U128),ROUND($D128/COUNTIF($G128:$L128,"نعم"),2))),IF($F128="مبالغ متفق عليها",IF(I128="نعم",O128,0),"")))</f>
      </c>
      <c r="W128" s="151" t="str">
        <f>IF(COUNTIF($A128:$S128,"&lt;&gt;")=0,"",IF($F128="بالتساوي بين المشاركين",IF(J128&lt;&gt;"نعم",0,IF(COUNTIF($K128:$L128,"نعم")=0,$D128-SUM($T128:V128),ROUND($D128/COUNTIF($G128:$L128,"نعم"),2))),IF($F128="مبالغ متفق عليها",IF(J128="نعم",P128,0),"")))</f>
      </c>
      <c r="X128" s="151" t="str">
        <f>IF(COUNTIF($A128:$S128,"&lt;&gt;")=0,"",IF($F128="بالتساوي بين المشاركين",IF(K128&lt;&gt;"نعم",0,IF(COUNTIF($L128:$L128,"نعم")=0,$D128-SUM($T128:W128),ROUND($D128/COUNTIF($G128:$L128,"نعم"),2))),IF($F128="مبالغ متفق عليها",IF(K128="نعم",Q128,0),"")))</f>
      </c>
      <c r="Y128" s="151" t="str">
        <f>IF(COUNTIF($A128:$S128,"&lt;&gt;")=0,"",IF($F128="بالتساوي بين المشاركين",IF(L128&lt;&gt;"نعم",0,IF(0=0,$D128-SUM($T128:X128),ROUND($D128/COUNTIF($G128:$L128,"نعم"),2))),IF($F128="مبالغ متفق عليها",IF(L128="نعم",R128,0),"")))</f>
      </c>
      <c r="Z128" s="165" t="str">
        <f>IF(COUNTIF($A128:$S128,"&lt;&gt;")=0,"",IF(OR($D128="",$D128&lt;=0),"أدخل مبلغًا أكبر من صفر.",IF($E128="","اختر الشخص الذي دفع المبلغ.",IF(COUNTIF($G128:$L128,"نعم")=0,"حدد شخصًا واحدًا على الأقل للمشاركة في المصروف.",IF($F128="بالتساوي بين المشاركين","جاهز",IF($F128="مبالغ متفق عليها",IF(OR(AND(G128="نعم",M128=""),AND(H128="نعم",N128=""),AND(I128="نعم",O128=""),AND(J128="نعم",P128=""),AND(K128="نعم",Q128=""),AND(L128="نعم",R128="")),"أدخل المبالغ المتفق عليها بحيث يساوي مجموعها مبلغ المصروف.",IF(ABS(SUM($M128:$R128))&lt;0.005,"أدخل المبالغ المتفق عليها بحيث يساوي مجموعها مبلغ المصروف.",IF(SUM($M128:$R128)&lt;$D128-0.005,"يتبقى للتوزيع: "&amp;ROUND($D128-SUM($M128:$R128),2)&amp;".",IF(SUM($M128:$R128)&gt;$D128+0.005,"يزيد مجموع الحصص على المصروف بمقدار "&amp;ROUND(SUM($M128:$R128)-$D128,2)&amp;".","جاهز")))),"أدخل المبالغ المتفق عليها بحيث يساوي مجموعها مبلغ المصروف."))))))</f>
      </c>
    </row>
    <row r="129">
      <c r="A129" s="149"/>
      <c r="B129" s="138"/>
      <c r="C129" s="138"/>
      <c r="D129" s="150"/>
      <c r="E129" s="138"/>
      <c r="F129" s="138"/>
      <c r="G129" s="138"/>
      <c r="H129" s="138"/>
      <c r="I129" s="138"/>
      <c r="J129" s="138"/>
      <c r="K129" s="138"/>
      <c r="L129" s="138"/>
      <c r="M129" s="150"/>
      <c r="N129" s="150"/>
      <c r="O129" s="150"/>
      <c r="P129" s="150"/>
      <c r="Q129" s="150"/>
      <c r="R129" s="150"/>
      <c r="S129" s="138"/>
      <c r="T129" s="151" t="str">
        <f>IF(COUNTIF($A129:$S129,"&lt;&gt;")=0,"",IF($F129="بالتساوي بين المشاركين",IF(G129&lt;&gt;"نعم",0,IF(COUNTIF($H129:$L129,"نعم")=0,$D129-0,ROUND($D129/COUNTIF($G129:$L129,"نعم"),2))),IF($F129="مبالغ متفق عليها",IF(G129="نعم",M129,0),"")))</f>
      </c>
      <c r="U129" s="151" t="str">
        <f>IF(COUNTIF($A129:$S129,"&lt;&gt;")=0,"",IF($F129="بالتساوي بين المشاركين",IF(H129&lt;&gt;"نعم",0,IF(COUNTIF($I129:$L129,"نعم")=0,$D129-SUM($T129:T129),ROUND($D129/COUNTIF($G129:$L129,"نعم"),2))),IF($F129="مبالغ متفق عليها",IF(H129="نعم",N129,0),"")))</f>
      </c>
      <c r="V129" s="151" t="str">
        <f>IF(COUNTIF($A129:$S129,"&lt;&gt;")=0,"",IF($F129="بالتساوي بين المشاركين",IF(I129&lt;&gt;"نعم",0,IF(COUNTIF($J129:$L129,"نعم")=0,$D129-SUM($T129:U129),ROUND($D129/COUNTIF($G129:$L129,"نعم"),2))),IF($F129="مبالغ متفق عليها",IF(I129="نعم",O129,0),"")))</f>
      </c>
      <c r="W129" s="151" t="str">
        <f>IF(COUNTIF($A129:$S129,"&lt;&gt;")=0,"",IF($F129="بالتساوي بين المشاركين",IF(J129&lt;&gt;"نعم",0,IF(COUNTIF($K129:$L129,"نعم")=0,$D129-SUM($T129:V129),ROUND($D129/COUNTIF($G129:$L129,"نعم"),2))),IF($F129="مبالغ متفق عليها",IF(J129="نعم",P129,0),"")))</f>
      </c>
      <c r="X129" s="151" t="str">
        <f>IF(COUNTIF($A129:$S129,"&lt;&gt;")=0,"",IF($F129="بالتساوي بين المشاركين",IF(K129&lt;&gt;"نعم",0,IF(COUNTIF($L129:$L129,"نعم")=0,$D129-SUM($T129:W129),ROUND($D129/COUNTIF($G129:$L129,"نعم"),2))),IF($F129="مبالغ متفق عليها",IF(K129="نعم",Q129,0),"")))</f>
      </c>
      <c r="Y129" s="151" t="str">
        <f>IF(COUNTIF($A129:$S129,"&lt;&gt;")=0,"",IF($F129="بالتساوي بين المشاركين",IF(L129&lt;&gt;"نعم",0,IF(0=0,$D129-SUM($T129:X129),ROUND($D129/COUNTIF($G129:$L129,"نعم"),2))),IF($F129="مبالغ متفق عليها",IF(L129="نعم",R129,0),"")))</f>
      </c>
      <c r="Z129" s="165" t="str">
        <f>IF(COUNTIF($A129:$S129,"&lt;&gt;")=0,"",IF(OR($D129="",$D129&lt;=0),"أدخل مبلغًا أكبر من صفر.",IF($E129="","اختر الشخص الذي دفع المبلغ.",IF(COUNTIF($G129:$L129,"نعم")=0,"حدد شخصًا واحدًا على الأقل للمشاركة في المصروف.",IF($F129="بالتساوي بين المشاركين","جاهز",IF($F129="مبالغ متفق عليها",IF(OR(AND(G129="نعم",M129=""),AND(H129="نعم",N129=""),AND(I129="نعم",O129=""),AND(J129="نعم",P129=""),AND(K129="نعم",Q129=""),AND(L129="نعم",R129="")),"أدخل المبالغ المتفق عليها بحيث يساوي مجموعها مبلغ المصروف.",IF(ABS(SUM($M129:$R129))&lt;0.005,"أدخل المبالغ المتفق عليها بحيث يساوي مجموعها مبلغ المصروف.",IF(SUM($M129:$R129)&lt;$D129-0.005,"يتبقى للتوزيع: "&amp;ROUND($D129-SUM($M129:$R129),2)&amp;".",IF(SUM($M129:$R129)&gt;$D129+0.005,"يزيد مجموع الحصص على المصروف بمقدار "&amp;ROUND(SUM($M129:$R129)-$D129,2)&amp;".","جاهز")))),"أدخل المبالغ المتفق عليها بحيث يساوي مجموعها مبلغ المصروف."))))))</f>
      </c>
    </row>
    <row r="130">
      <c r="A130" s="149"/>
      <c r="B130" s="138"/>
      <c r="C130" s="138"/>
      <c r="D130" s="150"/>
      <c r="E130" s="138"/>
      <c r="F130" s="138"/>
      <c r="G130" s="138"/>
      <c r="H130" s="138"/>
      <c r="I130" s="138"/>
      <c r="J130" s="138"/>
      <c r="K130" s="138"/>
      <c r="L130" s="138"/>
      <c r="M130" s="150"/>
      <c r="N130" s="150"/>
      <c r="O130" s="150"/>
      <c r="P130" s="150"/>
      <c r="Q130" s="150"/>
      <c r="R130" s="150"/>
      <c r="S130" s="138"/>
      <c r="T130" s="151" t="str">
        <f>IF(COUNTIF($A130:$S130,"&lt;&gt;")=0,"",IF($F130="بالتساوي بين المشاركين",IF(G130&lt;&gt;"نعم",0,IF(COUNTIF($H130:$L130,"نعم")=0,$D130-0,ROUND($D130/COUNTIF($G130:$L130,"نعم"),2))),IF($F130="مبالغ متفق عليها",IF(G130="نعم",M130,0),"")))</f>
      </c>
      <c r="U130" s="151" t="str">
        <f>IF(COUNTIF($A130:$S130,"&lt;&gt;")=0,"",IF($F130="بالتساوي بين المشاركين",IF(H130&lt;&gt;"نعم",0,IF(COUNTIF($I130:$L130,"نعم")=0,$D130-SUM($T130:T130),ROUND($D130/COUNTIF($G130:$L130,"نعم"),2))),IF($F130="مبالغ متفق عليها",IF(H130="نعم",N130,0),"")))</f>
      </c>
      <c r="V130" s="151" t="str">
        <f>IF(COUNTIF($A130:$S130,"&lt;&gt;")=0,"",IF($F130="بالتساوي بين المشاركين",IF(I130&lt;&gt;"نعم",0,IF(COUNTIF($J130:$L130,"نعم")=0,$D130-SUM($T130:U130),ROUND($D130/COUNTIF($G130:$L130,"نعم"),2))),IF($F130="مبالغ متفق عليها",IF(I130="نعم",O130,0),"")))</f>
      </c>
      <c r="W130" s="151" t="str">
        <f>IF(COUNTIF($A130:$S130,"&lt;&gt;")=0,"",IF($F130="بالتساوي بين المشاركين",IF(J130&lt;&gt;"نعم",0,IF(COUNTIF($K130:$L130,"نعم")=0,$D130-SUM($T130:V130),ROUND($D130/COUNTIF($G130:$L130,"نعم"),2))),IF($F130="مبالغ متفق عليها",IF(J130="نعم",P130,0),"")))</f>
      </c>
      <c r="X130" s="151" t="str">
        <f>IF(COUNTIF($A130:$S130,"&lt;&gt;")=0,"",IF($F130="بالتساوي بين المشاركين",IF(K130&lt;&gt;"نعم",0,IF(COUNTIF($L130:$L130,"نعم")=0,$D130-SUM($T130:W130),ROUND($D130/COUNTIF($G130:$L130,"نعم"),2))),IF($F130="مبالغ متفق عليها",IF(K130="نعم",Q130,0),"")))</f>
      </c>
      <c r="Y130" s="151" t="str">
        <f>IF(COUNTIF($A130:$S130,"&lt;&gt;")=0,"",IF($F130="بالتساوي بين المشاركين",IF(L130&lt;&gt;"نعم",0,IF(0=0,$D130-SUM($T130:X130),ROUND($D130/COUNTIF($G130:$L130,"نعم"),2))),IF($F130="مبالغ متفق عليها",IF(L130="نعم",R130,0),"")))</f>
      </c>
      <c r="Z130" s="165" t="str">
        <f>IF(COUNTIF($A130:$S130,"&lt;&gt;")=0,"",IF(OR($D130="",$D130&lt;=0),"أدخل مبلغًا أكبر من صفر.",IF($E130="","اختر الشخص الذي دفع المبلغ.",IF(COUNTIF($G130:$L130,"نعم")=0,"حدد شخصًا واحدًا على الأقل للمشاركة في المصروف.",IF($F130="بالتساوي بين المشاركين","جاهز",IF($F130="مبالغ متفق عليها",IF(OR(AND(G130="نعم",M130=""),AND(H130="نعم",N130=""),AND(I130="نعم",O130=""),AND(J130="نعم",P130=""),AND(K130="نعم",Q130=""),AND(L130="نعم",R130="")),"أدخل المبالغ المتفق عليها بحيث يساوي مجموعها مبلغ المصروف.",IF(ABS(SUM($M130:$R130))&lt;0.005,"أدخل المبالغ المتفق عليها بحيث يساوي مجموعها مبلغ المصروف.",IF(SUM($M130:$R130)&lt;$D130-0.005,"يتبقى للتوزيع: "&amp;ROUND($D130-SUM($M130:$R130),2)&amp;".",IF(SUM($M130:$R130)&gt;$D130+0.005,"يزيد مجموع الحصص على المصروف بمقدار "&amp;ROUND(SUM($M130:$R130)-$D130,2)&amp;".","جاهز")))),"أدخل المبالغ المتفق عليها بحيث يساوي مجموعها مبلغ المصروف."))))))</f>
      </c>
    </row>
    <row r="131">
      <c r="A131" s="149"/>
      <c r="B131" s="138"/>
      <c r="C131" s="138"/>
      <c r="D131" s="150"/>
      <c r="E131" s="138"/>
      <c r="F131" s="138"/>
      <c r="G131" s="138"/>
      <c r="H131" s="138"/>
      <c r="I131" s="138"/>
      <c r="J131" s="138"/>
      <c r="K131" s="138"/>
      <c r="L131" s="138"/>
      <c r="M131" s="150"/>
      <c r="N131" s="150"/>
      <c r="O131" s="150"/>
      <c r="P131" s="150"/>
      <c r="Q131" s="150"/>
      <c r="R131" s="150"/>
      <c r="S131" s="138"/>
      <c r="T131" s="151" t="str">
        <f>IF(COUNTIF($A131:$S131,"&lt;&gt;")=0,"",IF($F131="بالتساوي بين المشاركين",IF(G131&lt;&gt;"نعم",0,IF(COUNTIF($H131:$L131,"نعم")=0,$D131-0,ROUND($D131/COUNTIF($G131:$L131,"نعم"),2))),IF($F131="مبالغ متفق عليها",IF(G131="نعم",M131,0),"")))</f>
      </c>
      <c r="U131" s="151" t="str">
        <f>IF(COUNTIF($A131:$S131,"&lt;&gt;")=0,"",IF($F131="بالتساوي بين المشاركين",IF(H131&lt;&gt;"نعم",0,IF(COUNTIF($I131:$L131,"نعم")=0,$D131-SUM($T131:T131),ROUND($D131/COUNTIF($G131:$L131,"نعم"),2))),IF($F131="مبالغ متفق عليها",IF(H131="نعم",N131,0),"")))</f>
      </c>
      <c r="V131" s="151" t="str">
        <f>IF(COUNTIF($A131:$S131,"&lt;&gt;")=0,"",IF($F131="بالتساوي بين المشاركين",IF(I131&lt;&gt;"نعم",0,IF(COUNTIF($J131:$L131,"نعم")=0,$D131-SUM($T131:U131),ROUND($D131/COUNTIF($G131:$L131,"نعم"),2))),IF($F131="مبالغ متفق عليها",IF(I131="نعم",O131,0),"")))</f>
      </c>
      <c r="W131" s="151" t="str">
        <f>IF(COUNTIF($A131:$S131,"&lt;&gt;")=0,"",IF($F131="بالتساوي بين المشاركين",IF(J131&lt;&gt;"نعم",0,IF(COUNTIF($K131:$L131,"نعم")=0,$D131-SUM($T131:V131),ROUND($D131/COUNTIF($G131:$L131,"نعم"),2))),IF($F131="مبالغ متفق عليها",IF(J131="نعم",P131,0),"")))</f>
      </c>
      <c r="X131" s="151" t="str">
        <f>IF(COUNTIF($A131:$S131,"&lt;&gt;")=0,"",IF($F131="بالتساوي بين المشاركين",IF(K131&lt;&gt;"نعم",0,IF(COUNTIF($L131:$L131,"نعم")=0,$D131-SUM($T131:W131),ROUND($D131/COUNTIF($G131:$L131,"نعم"),2))),IF($F131="مبالغ متفق عليها",IF(K131="نعم",Q131,0),"")))</f>
      </c>
      <c r="Y131" s="151" t="str">
        <f>IF(COUNTIF($A131:$S131,"&lt;&gt;")=0,"",IF($F131="بالتساوي بين المشاركين",IF(L131&lt;&gt;"نعم",0,IF(0=0,$D131-SUM($T131:X131),ROUND($D131/COUNTIF($G131:$L131,"نعم"),2))),IF($F131="مبالغ متفق عليها",IF(L131="نعم",R131,0),"")))</f>
      </c>
      <c r="Z131" s="165" t="str">
        <f>IF(COUNTIF($A131:$S131,"&lt;&gt;")=0,"",IF(OR($D131="",$D131&lt;=0),"أدخل مبلغًا أكبر من صفر.",IF($E131="","اختر الشخص الذي دفع المبلغ.",IF(COUNTIF($G131:$L131,"نعم")=0,"حدد شخصًا واحدًا على الأقل للمشاركة في المصروف.",IF($F131="بالتساوي بين المشاركين","جاهز",IF($F131="مبالغ متفق عليها",IF(OR(AND(G131="نعم",M131=""),AND(H131="نعم",N131=""),AND(I131="نعم",O131=""),AND(J131="نعم",P131=""),AND(K131="نعم",Q131=""),AND(L131="نعم",R131="")),"أدخل المبالغ المتفق عليها بحيث يساوي مجموعها مبلغ المصروف.",IF(ABS(SUM($M131:$R131))&lt;0.005,"أدخل المبالغ المتفق عليها بحيث يساوي مجموعها مبلغ المصروف.",IF(SUM($M131:$R131)&lt;$D131-0.005,"يتبقى للتوزيع: "&amp;ROUND($D131-SUM($M131:$R131),2)&amp;".",IF(SUM($M131:$R131)&gt;$D131+0.005,"يزيد مجموع الحصص على المصروف بمقدار "&amp;ROUND(SUM($M131:$R131)-$D131,2)&amp;".","جاهز")))),"أدخل المبالغ المتفق عليها بحيث يساوي مجموعها مبلغ المصروف."))))))</f>
      </c>
    </row>
    <row r="132">
      <c r="A132" s="149"/>
      <c r="B132" s="138"/>
      <c r="C132" s="138"/>
      <c r="D132" s="150"/>
      <c r="E132" s="138"/>
      <c r="F132" s="138"/>
      <c r="G132" s="138"/>
      <c r="H132" s="138"/>
      <c r="I132" s="138"/>
      <c r="J132" s="138"/>
      <c r="K132" s="138"/>
      <c r="L132" s="138"/>
      <c r="M132" s="150"/>
      <c r="N132" s="150"/>
      <c r="O132" s="150"/>
      <c r="P132" s="150"/>
      <c r="Q132" s="150"/>
      <c r="R132" s="150"/>
      <c r="S132" s="138"/>
      <c r="T132" s="151" t="str">
        <f>IF(COUNTIF($A132:$S132,"&lt;&gt;")=0,"",IF($F132="بالتساوي بين المشاركين",IF(G132&lt;&gt;"نعم",0,IF(COUNTIF($H132:$L132,"نعم")=0,$D132-0,ROUND($D132/COUNTIF($G132:$L132,"نعم"),2))),IF($F132="مبالغ متفق عليها",IF(G132="نعم",M132,0),"")))</f>
      </c>
      <c r="U132" s="151" t="str">
        <f>IF(COUNTIF($A132:$S132,"&lt;&gt;")=0,"",IF($F132="بالتساوي بين المشاركين",IF(H132&lt;&gt;"نعم",0,IF(COUNTIF($I132:$L132,"نعم")=0,$D132-SUM($T132:T132),ROUND($D132/COUNTIF($G132:$L132,"نعم"),2))),IF($F132="مبالغ متفق عليها",IF(H132="نعم",N132,0),"")))</f>
      </c>
      <c r="V132" s="151" t="str">
        <f>IF(COUNTIF($A132:$S132,"&lt;&gt;")=0,"",IF($F132="بالتساوي بين المشاركين",IF(I132&lt;&gt;"نعم",0,IF(COUNTIF($J132:$L132,"نعم")=0,$D132-SUM($T132:U132),ROUND($D132/COUNTIF($G132:$L132,"نعم"),2))),IF($F132="مبالغ متفق عليها",IF(I132="نعم",O132,0),"")))</f>
      </c>
      <c r="W132" s="151" t="str">
        <f>IF(COUNTIF($A132:$S132,"&lt;&gt;")=0,"",IF($F132="بالتساوي بين المشاركين",IF(J132&lt;&gt;"نعم",0,IF(COUNTIF($K132:$L132,"نعم")=0,$D132-SUM($T132:V132),ROUND($D132/COUNTIF($G132:$L132,"نعم"),2))),IF($F132="مبالغ متفق عليها",IF(J132="نعم",P132,0),"")))</f>
      </c>
      <c r="X132" s="151" t="str">
        <f>IF(COUNTIF($A132:$S132,"&lt;&gt;")=0,"",IF($F132="بالتساوي بين المشاركين",IF(K132&lt;&gt;"نعم",0,IF(COUNTIF($L132:$L132,"نعم")=0,$D132-SUM($T132:W132),ROUND($D132/COUNTIF($G132:$L132,"نعم"),2))),IF($F132="مبالغ متفق عليها",IF(K132="نعم",Q132,0),"")))</f>
      </c>
      <c r="Y132" s="151" t="str">
        <f>IF(COUNTIF($A132:$S132,"&lt;&gt;")=0,"",IF($F132="بالتساوي بين المشاركين",IF(L132&lt;&gt;"نعم",0,IF(0=0,$D132-SUM($T132:X132),ROUND($D132/COUNTIF($G132:$L132,"نعم"),2))),IF($F132="مبالغ متفق عليها",IF(L132="نعم",R132,0),"")))</f>
      </c>
      <c r="Z132" s="165" t="str">
        <f>IF(COUNTIF($A132:$S132,"&lt;&gt;")=0,"",IF(OR($D132="",$D132&lt;=0),"أدخل مبلغًا أكبر من صفر.",IF($E132="","اختر الشخص الذي دفع المبلغ.",IF(COUNTIF($G132:$L132,"نعم")=0,"حدد شخصًا واحدًا على الأقل للمشاركة في المصروف.",IF($F132="بالتساوي بين المشاركين","جاهز",IF($F132="مبالغ متفق عليها",IF(OR(AND(G132="نعم",M132=""),AND(H132="نعم",N132=""),AND(I132="نعم",O132=""),AND(J132="نعم",P132=""),AND(K132="نعم",Q132=""),AND(L132="نعم",R132="")),"أدخل المبالغ المتفق عليها بحيث يساوي مجموعها مبلغ المصروف.",IF(ABS(SUM($M132:$R132))&lt;0.005,"أدخل المبالغ المتفق عليها بحيث يساوي مجموعها مبلغ المصروف.",IF(SUM($M132:$R132)&lt;$D132-0.005,"يتبقى للتوزيع: "&amp;ROUND($D132-SUM($M132:$R132),2)&amp;".",IF(SUM($M132:$R132)&gt;$D132+0.005,"يزيد مجموع الحصص على المصروف بمقدار "&amp;ROUND(SUM($M132:$R132)-$D132,2)&amp;".","جاهز")))),"أدخل المبالغ المتفق عليها بحيث يساوي مجموعها مبلغ المصروف."))))))</f>
      </c>
    </row>
    <row r="133">
      <c r="A133" s="149"/>
      <c r="B133" s="138"/>
      <c r="C133" s="138"/>
      <c r="D133" s="150"/>
      <c r="E133" s="138"/>
      <c r="F133" s="138"/>
      <c r="G133" s="138"/>
      <c r="H133" s="138"/>
      <c r="I133" s="138"/>
      <c r="J133" s="138"/>
      <c r="K133" s="138"/>
      <c r="L133" s="138"/>
      <c r="M133" s="150"/>
      <c r="N133" s="150"/>
      <c r="O133" s="150"/>
      <c r="P133" s="150"/>
      <c r="Q133" s="150"/>
      <c r="R133" s="150"/>
      <c r="S133" s="138"/>
      <c r="T133" s="151" t="str">
        <f>IF(COUNTIF($A133:$S133,"&lt;&gt;")=0,"",IF($F133="بالتساوي بين المشاركين",IF(G133&lt;&gt;"نعم",0,IF(COUNTIF($H133:$L133,"نعم")=0,$D133-0,ROUND($D133/COUNTIF($G133:$L133,"نعم"),2))),IF($F133="مبالغ متفق عليها",IF(G133="نعم",M133,0),"")))</f>
      </c>
      <c r="U133" s="151" t="str">
        <f>IF(COUNTIF($A133:$S133,"&lt;&gt;")=0,"",IF($F133="بالتساوي بين المشاركين",IF(H133&lt;&gt;"نعم",0,IF(COUNTIF($I133:$L133,"نعم")=0,$D133-SUM($T133:T133),ROUND($D133/COUNTIF($G133:$L133,"نعم"),2))),IF($F133="مبالغ متفق عليها",IF(H133="نعم",N133,0),"")))</f>
      </c>
      <c r="V133" s="151" t="str">
        <f>IF(COUNTIF($A133:$S133,"&lt;&gt;")=0,"",IF($F133="بالتساوي بين المشاركين",IF(I133&lt;&gt;"نعم",0,IF(COUNTIF($J133:$L133,"نعم")=0,$D133-SUM($T133:U133),ROUND($D133/COUNTIF($G133:$L133,"نعم"),2))),IF($F133="مبالغ متفق عليها",IF(I133="نعم",O133,0),"")))</f>
      </c>
      <c r="W133" s="151" t="str">
        <f>IF(COUNTIF($A133:$S133,"&lt;&gt;")=0,"",IF($F133="بالتساوي بين المشاركين",IF(J133&lt;&gt;"نعم",0,IF(COUNTIF($K133:$L133,"نعم")=0,$D133-SUM($T133:V133),ROUND($D133/COUNTIF($G133:$L133,"نعم"),2))),IF($F133="مبالغ متفق عليها",IF(J133="نعم",P133,0),"")))</f>
      </c>
      <c r="X133" s="151" t="str">
        <f>IF(COUNTIF($A133:$S133,"&lt;&gt;")=0,"",IF($F133="بالتساوي بين المشاركين",IF(K133&lt;&gt;"نعم",0,IF(COUNTIF($L133:$L133,"نعم")=0,$D133-SUM($T133:W133),ROUND($D133/COUNTIF($G133:$L133,"نعم"),2))),IF($F133="مبالغ متفق عليها",IF(K133="نعم",Q133,0),"")))</f>
      </c>
      <c r="Y133" s="151" t="str">
        <f>IF(COUNTIF($A133:$S133,"&lt;&gt;")=0,"",IF($F133="بالتساوي بين المشاركين",IF(L133&lt;&gt;"نعم",0,IF(0=0,$D133-SUM($T133:X133),ROUND($D133/COUNTIF($G133:$L133,"نعم"),2))),IF($F133="مبالغ متفق عليها",IF(L133="نعم",R133,0),"")))</f>
      </c>
      <c r="Z133" s="165" t="str">
        <f>IF(COUNTIF($A133:$S133,"&lt;&gt;")=0,"",IF(OR($D133="",$D133&lt;=0),"أدخل مبلغًا أكبر من صفر.",IF($E133="","اختر الشخص الذي دفع المبلغ.",IF(COUNTIF($G133:$L133,"نعم")=0,"حدد شخصًا واحدًا على الأقل للمشاركة في المصروف.",IF($F133="بالتساوي بين المشاركين","جاهز",IF($F133="مبالغ متفق عليها",IF(OR(AND(G133="نعم",M133=""),AND(H133="نعم",N133=""),AND(I133="نعم",O133=""),AND(J133="نعم",P133=""),AND(K133="نعم",Q133=""),AND(L133="نعم",R133="")),"أدخل المبالغ المتفق عليها بحيث يساوي مجموعها مبلغ المصروف.",IF(ABS(SUM($M133:$R133))&lt;0.005,"أدخل المبالغ المتفق عليها بحيث يساوي مجموعها مبلغ المصروف.",IF(SUM($M133:$R133)&lt;$D133-0.005,"يتبقى للتوزيع: "&amp;ROUND($D133-SUM($M133:$R133),2)&amp;".",IF(SUM($M133:$R133)&gt;$D133+0.005,"يزيد مجموع الحصص على المصروف بمقدار "&amp;ROUND(SUM($M133:$R133)-$D133,2)&amp;".","جاهز")))),"أدخل المبالغ المتفق عليها بحيث يساوي مجموعها مبلغ المصروف."))))))</f>
      </c>
    </row>
    <row r="134">
      <c r="A134" s="149"/>
      <c r="B134" s="138"/>
      <c r="C134" s="138"/>
      <c r="D134" s="150"/>
      <c r="E134" s="138"/>
      <c r="F134" s="138"/>
      <c r="G134" s="138"/>
      <c r="H134" s="138"/>
      <c r="I134" s="138"/>
      <c r="J134" s="138"/>
      <c r="K134" s="138"/>
      <c r="L134" s="138"/>
      <c r="M134" s="150"/>
      <c r="N134" s="150"/>
      <c r="O134" s="150"/>
      <c r="P134" s="150"/>
      <c r="Q134" s="150"/>
      <c r="R134" s="150"/>
      <c r="S134" s="138"/>
      <c r="T134" s="151" t="str">
        <f>IF(COUNTIF($A134:$S134,"&lt;&gt;")=0,"",IF($F134="بالتساوي بين المشاركين",IF(G134&lt;&gt;"نعم",0,IF(COUNTIF($H134:$L134,"نعم")=0,$D134-0,ROUND($D134/COUNTIF($G134:$L134,"نعم"),2))),IF($F134="مبالغ متفق عليها",IF(G134="نعم",M134,0),"")))</f>
      </c>
      <c r="U134" s="151" t="str">
        <f>IF(COUNTIF($A134:$S134,"&lt;&gt;")=0,"",IF($F134="بالتساوي بين المشاركين",IF(H134&lt;&gt;"نعم",0,IF(COUNTIF($I134:$L134,"نعم")=0,$D134-SUM($T134:T134),ROUND($D134/COUNTIF($G134:$L134,"نعم"),2))),IF($F134="مبالغ متفق عليها",IF(H134="نعم",N134,0),"")))</f>
      </c>
      <c r="V134" s="151" t="str">
        <f>IF(COUNTIF($A134:$S134,"&lt;&gt;")=0,"",IF($F134="بالتساوي بين المشاركين",IF(I134&lt;&gt;"نعم",0,IF(COUNTIF($J134:$L134,"نعم")=0,$D134-SUM($T134:U134),ROUND($D134/COUNTIF($G134:$L134,"نعم"),2))),IF($F134="مبالغ متفق عليها",IF(I134="نعم",O134,0),"")))</f>
      </c>
      <c r="W134" s="151" t="str">
        <f>IF(COUNTIF($A134:$S134,"&lt;&gt;")=0,"",IF($F134="بالتساوي بين المشاركين",IF(J134&lt;&gt;"نعم",0,IF(COUNTIF($K134:$L134,"نعم")=0,$D134-SUM($T134:V134),ROUND($D134/COUNTIF($G134:$L134,"نعم"),2))),IF($F134="مبالغ متفق عليها",IF(J134="نعم",P134,0),"")))</f>
      </c>
      <c r="X134" s="151" t="str">
        <f>IF(COUNTIF($A134:$S134,"&lt;&gt;")=0,"",IF($F134="بالتساوي بين المشاركين",IF(K134&lt;&gt;"نعم",0,IF(COUNTIF($L134:$L134,"نعم")=0,$D134-SUM($T134:W134),ROUND($D134/COUNTIF($G134:$L134,"نعم"),2))),IF($F134="مبالغ متفق عليها",IF(K134="نعم",Q134,0),"")))</f>
      </c>
      <c r="Y134" s="151" t="str">
        <f>IF(COUNTIF($A134:$S134,"&lt;&gt;")=0,"",IF($F134="بالتساوي بين المشاركين",IF(L134&lt;&gt;"نعم",0,IF(0=0,$D134-SUM($T134:X134),ROUND($D134/COUNTIF($G134:$L134,"نعم"),2))),IF($F134="مبالغ متفق عليها",IF(L134="نعم",R134,0),"")))</f>
      </c>
      <c r="Z134" s="165" t="str">
        <f>IF(COUNTIF($A134:$S134,"&lt;&gt;")=0,"",IF(OR($D134="",$D134&lt;=0),"أدخل مبلغًا أكبر من صفر.",IF($E134="","اختر الشخص الذي دفع المبلغ.",IF(COUNTIF($G134:$L134,"نعم")=0,"حدد شخصًا واحدًا على الأقل للمشاركة في المصروف.",IF($F134="بالتساوي بين المشاركين","جاهز",IF($F134="مبالغ متفق عليها",IF(OR(AND(G134="نعم",M134=""),AND(H134="نعم",N134=""),AND(I134="نعم",O134=""),AND(J134="نعم",P134=""),AND(K134="نعم",Q134=""),AND(L134="نعم",R134="")),"أدخل المبالغ المتفق عليها بحيث يساوي مجموعها مبلغ المصروف.",IF(ABS(SUM($M134:$R134))&lt;0.005,"أدخل المبالغ المتفق عليها بحيث يساوي مجموعها مبلغ المصروف.",IF(SUM($M134:$R134)&lt;$D134-0.005,"يتبقى للتوزيع: "&amp;ROUND($D134-SUM($M134:$R134),2)&amp;".",IF(SUM($M134:$R134)&gt;$D134+0.005,"يزيد مجموع الحصص على المصروف بمقدار "&amp;ROUND(SUM($M134:$R134)-$D134,2)&amp;".","جاهز")))),"أدخل المبالغ المتفق عليها بحيث يساوي مجموعها مبلغ المصروف."))))))</f>
      </c>
    </row>
    <row r="135">
      <c r="A135" s="149"/>
      <c r="B135" s="138"/>
      <c r="C135" s="138"/>
      <c r="D135" s="150"/>
      <c r="E135" s="138"/>
      <c r="F135" s="138"/>
      <c r="G135" s="138"/>
      <c r="H135" s="138"/>
      <c r="I135" s="138"/>
      <c r="J135" s="138"/>
      <c r="K135" s="138"/>
      <c r="L135" s="138"/>
      <c r="M135" s="150"/>
      <c r="N135" s="150"/>
      <c r="O135" s="150"/>
      <c r="P135" s="150"/>
      <c r="Q135" s="150"/>
      <c r="R135" s="150"/>
      <c r="S135" s="138"/>
      <c r="T135" s="151" t="str">
        <f>IF(COUNTIF($A135:$S135,"&lt;&gt;")=0,"",IF($F135="بالتساوي بين المشاركين",IF(G135&lt;&gt;"نعم",0,IF(COUNTIF($H135:$L135,"نعم")=0,$D135-0,ROUND($D135/COUNTIF($G135:$L135,"نعم"),2))),IF($F135="مبالغ متفق عليها",IF(G135="نعم",M135,0),"")))</f>
      </c>
      <c r="U135" s="151" t="str">
        <f>IF(COUNTIF($A135:$S135,"&lt;&gt;")=0,"",IF($F135="بالتساوي بين المشاركين",IF(H135&lt;&gt;"نعم",0,IF(COUNTIF($I135:$L135,"نعم")=0,$D135-SUM($T135:T135),ROUND($D135/COUNTIF($G135:$L135,"نعم"),2))),IF($F135="مبالغ متفق عليها",IF(H135="نعم",N135,0),"")))</f>
      </c>
      <c r="V135" s="151" t="str">
        <f>IF(COUNTIF($A135:$S135,"&lt;&gt;")=0,"",IF($F135="بالتساوي بين المشاركين",IF(I135&lt;&gt;"نعم",0,IF(COUNTIF($J135:$L135,"نعم")=0,$D135-SUM($T135:U135),ROUND($D135/COUNTIF($G135:$L135,"نعم"),2))),IF($F135="مبالغ متفق عليها",IF(I135="نعم",O135,0),"")))</f>
      </c>
      <c r="W135" s="151" t="str">
        <f>IF(COUNTIF($A135:$S135,"&lt;&gt;")=0,"",IF($F135="بالتساوي بين المشاركين",IF(J135&lt;&gt;"نعم",0,IF(COUNTIF($K135:$L135,"نعم")=0,$D135-SUM($T135:V135),ROUND($D135/COUNTIF($G135:$L135,"نعم"),2))),IF($F135="مبالغ متفق عليها",IF(J135="نعم",P135,0),"")))</f>
      </c>
      <c r="X135" s="151" t="str">
        <f>IF(COUNTIF($A135:$S135,"&lt;&gt;")=0,"",IF($F135="بالتساوي بين المشاركين",IF(K135&lt;&gt;"نعم",0,IF(COUNTIF($L135:$L135,"نعم")=0,$D135-SUM($T135:W135),ROUND($D135/COUNTIF($G135:$L135,"نعم"),2))),IF($F135="مبالغ متفق عليها",IF(K135="نعم",Q135,0),"")))</f>
      </c>
      <c r="Y135" s="151" t="str">
        <f>IF(COUNTIF($A135:$S135,"&lt;&gt;")=0,"",IF($F135="بالتساوي بين المشاركين",IF(L135&lt;&gt;"نعم",0,IF(0=0,$D135-SUM($T135:X135),ROUND($D135/COUNTIF($G135:$L135,"نعم"),2))),IF($F135="مبالغ متفق عليها",IF(L135="نعم",R135,0),"")))</f>
      </c>
      <c r="Z135" s="165" t="str">
        <f>IF(COUNTIF($A135:$S135,"&lt;&gt;")=0,"",IF(OR($D135="",$D135&lt;=0),"أدخل مبلغًا أكبر من صفر.",IF($E135="","اختر الشخص الذي دفع المبلغ.",IF(COUNTIF($G135:$L135,"نعم")=0,"حدد شخصًا واحدًا على الأقل للمشاركة في المصروف.",IF($F135="بالتساوي بين المشاركين","جاهز",IF($F135="مبالغ متفق عليها",IF(OR(AND(G135="نعم",M135=""),AND(H135="نعم",N135=""),AND(I135="نعم",O135=""),AND(J135="نعم",P135=""),AND(K135="نعم",Q135=""),AND(L135="نعم",R135="")),"أدخل المبالغ المتفق عليها بحيث يساوي مجموعها مبلغ المصروف.",IF(ABS(SUM($M135:$R135))&lt;0.005,"أدخل المبالغ المتفق عليها بحيث يساوي مجموعها مبلغ المصروف.",IF(SUM($M135:$R135)&lt;$D135-0.005,"يتبقى للتوزيع: "&amp;ROUND($D135-SUM($M135:$R135),2)&amp;".",IF(SUM($M135:$R135)&gt;$D135+0.005,"يزيد مجموع الحصص على المصروف بمقدار "&amp;ROUND(SUM($M135:$R135)-$D135,2)&amp;".","جاهز")))),"أدخل المبالغ المتفق عليها بحيث يساوي مجموعها مبلغ المصروف."))))))</f>
      </c>
    </row>
    <row r="136">
      <c r="A136" s="149"/>
      <c r="B136" s="138"/>
      <c r="C136" s="138"/>
      <c r="D136" s="150"/>
      <c r="E136" s="138"/>
      <c r="F136" s="138"/>
      <c r="G136" s="138"/>
      <c r="H136" s="138"/>
      <c r="I136" s="138"/>
      <c r="J136" s="138"/>
      <c r="K136" s="138"/>
      <c r="L136" s="138"/>
      <c r="M136" s="150"/>
      <c r="N136" s="150"/>
      <c r="O136" s="150"/>
      <c r="P136" s="150"/>
      <c r="Q136" s="150"/>
      <c r="R136" s="150"/>
      <c r="S136" s="138"/>
      <c r="T136" s="151" t="str">
        <f>IF(COUNTIF($A136:$S136,"&lt;&gt;")=0,"",IF($F136="بالتساوي بين المشاركين",IF(G136&lt;&gt;"نعم",0,IF(COUNTIF($H136:$L136,"نعم")=0,$D136-0,ROUND($D136/COUNTIF($G136:$L136,"نعم"),2))),IF($F136="مبالغ متفق عليها",IF(G136="نعم",M136,0),"")))</f>
      </c>
      <c r="U136" s="151" t="str">
        <f>IF(COUNTIF($A136:$S136,"&lt;&gt;")=0,"",IF($F136="بالتساوي بين المشاركين",IF(H136&lt;&gt;"نعم",0,IF(COUNTIF($I136:$L136,"نعم")=0,$D136-SUM($T136:T136),ROUND($D136/COUNTIF($G136:$L136,"نعم"),2))),IF($F136="مبالغ متفق عليها",IF(H136="نعم",N136,0),"")))</f>
      </c>
      <c r="V136" s="151" t="str">
        <f>IF(COUNTIF($A136:$S136,"&lt;&gt;")=0,"",IF($F136="بالتساوي بين المشاركين",IF(I136&lt;&gt;"نعم",0,IF(COUNTIF($J136:$L136,"نعم")=0,$D136-SUM($T136:U136),ROUND($D136/COUNTIF($G136:$L136,"نعم"),2))),IF($F136="مبالغ متفق عليها",IF(I136="نعم",O136,0),"")))</f>
      </c>
      <c r="W136" s="151" t="str">
        <f>IF(COUNTIF($A136:$S136,"&lt;&gt;")=0,"",IF($F136="بالتساوي بين المشاركين",IF(J136&lt;&gt;"نعم",0,IF(COUNTIF($K136:$L136,"نعم")=0,$D136-SUM($T136:V136),ROUND($D136/COUNTIF($G136:$L136,"نعم"),2))),IF($F136="مبالغ متفق عليها",IF(J136="نعم",P136,0),"")))</f>
      </c>
      <c r="X136" s="151" t="str">
        <f>IF(COUNTIF($A136:$S136,"&lt;&gt;")=0,"",IF($F136="بالتساوي بين المشاركين",IF(K136&lt;&gt;"نعم",0,IF(COUNTIF($L136:$L136,"نعم")=0,$D136-SUM($T136:W136),ROUND($D136/COUNTIF($G136:$L136,"نعم"),2))),IF($F136="مبالغ متفق عليها",IF(K136="نعم",Q136,0),"")))</f>
      </c>
      <c r="Y136" s="151" t="str">
        <f>IF(COUNTIF($A136:$S136,"&lt;&gt;")=0,"",IF($F136="بالتساوي بين المشاركين",IF(L136&lt;&gt;"نعم",0,IF(0=0,$D136-SUM($T136:X136),ROUND($D136/COUNTIF($G136:$L136,"نعم"),2))),IF($F136="مبالغ متفق عليها",IF(L136="نعم",R136,0),"")))</f>
      </c>
      <c r="Z136" s="165" t="str">
        <f>IF(COUNTIF($A136:$S136,"&lt;&gt;")=0,"",IF(OR($D136="",$D136&lt;=0),"أدخل مبلغًا أكبر من صفر.",IF($E136="","اختر الشخص الذي دفع المبلغ.",IF(COUNTIF($G136:$L136,"نعم")=0,"حدد شخصًا واحدًا على الأقل للمشاركة في المصروف.",IF($F136="بالتساوي بين المشاركين","جاهز",IF($F136="مبالغ متفق عليها",IF(OR(AND(G136="نعم",M136=""),AND(H136="نعم",N136=""),AND(I136="نعم",O136=""),AND(J136="نعم",P136=""),AND(K136="نعم",Q136=""),AND(L136="نعم",R136="")),"أدخل المبالغ المتفق عليها بحيث يساوي مجموعها مبلغ المصروف.",IF(ABS(SUM($M136:$R136))&lt;0.005,"أدخل المبالغ المتفق عليها بحيث يساوي مجموعها مبلغ المصروف.",IF(SUM($M136:$R136)&lt;$D136-0.005,"يتبقى للتوزيع: "&amp;ROUND($D136-SUM($M136:$R136),2)&amp;".",IF(SUM($M136:$R136)&gt;$D136+0.005,"يزيد مجموع الحصص على المصروف بمقدار "&amp;ROUND(SUM($M136:$R136)-$D136,2)&amp;".","جاهز")))),"أدخل المبالغ المتفق عليها بحيث يساوي مجموعها مبلغ المصروف."))))))</f>
      </c>
    </row>
    <row r="137">
      <c r="A137" s="149"/>
      <c r="B137" s="138"/>
      <c r="C137" s="138"/>
      <c r="D137" s="150"/>
      <c r="E137" s="138"/>
      <c r="F137" s="138"/>
      <c r="G137" s="138"/>
      <c r="H137" s="138"/>
      <c r="I137" s="138"/>
      <c r="J137" s="138"/>
      <c r="K137" s="138"/>
      <c r="L137" s="138"/>
      <c r="M137" s="150"/>
      <c r="N137" s="150"/>
      <c r="O137" s="150"/>
      <c r="P137" s="150"/>
      <c r="Q137" s="150"/>
      <c r="R137" s="150"/>
      <c r="S137" s="138"/>
      <c r="T137" s="151" t="str">
        <f>IF(COUNTIF($A137:$S137,"&lt;&gt;")=0,"",IF($F137="بالتساوي بين المشاركين",IF(G137&lt;&gt;"نعم",0,IF(COUNTIF($H137:$L137,"نعم")=0,$D137-0,ROUND($D137/COUNTIF($G137:$L137,"نعم"),2))),IF($F137="مبالغ متفق عليها",IF(G137="نعم",M137,0),"")))</f>
      </c>
      <c r="U137" s="151" t="str">
        <f>IF(COUNTIF($A137:$S137,"&lt;&gt;")=0,"",IF($F137="بالتساوي بين المشاركين",IF(H137&lt;&gt;"نعم",0,IF(COUNTIF($I137:$L137,"نعم")=0,$D137-SUM($T137:T137),ROUND($D137/COUNTIF($G137:$L137,"نعم"),2))),IF($F137="مبالغ متفق عليها",IF(H137="نعم",N137,0),"")))</f>
      </c>
      <c r="V137" s="151" t="str">
        <f>IF(COUNTIF($A137:$S137,"&lt;&gt;")=0,"",IF($F137="بالتساوي بين المشاركين",IF(I137&lt;&gt;"نعم",0,IF(COUNTIF($J137:$L137,"نعم")=0,$D137-SUM($T137:U137),ROUND($D137/COUNTIF($G137:$L137,"نعم"),2))),IF($F137="مبالغ متفق عليها",IF(I137="نعم",O137,0),"")))</f>
      </c>
      <c r="W137" s="151" t="str">
        <f>IF(COUNTIF($A137:$S137,"&lt;&gt;")=0,"",IF($F137="بالتساوي بين المشاركين",IF(J137&lt;&gt;"نعم",0,IF(COUNTIF($K137:$L137,"نعم")=0,$D137-SUM($T137:V137),ROUND($D137/COUNTIF($G137:$L137,"نعم"),2))),IF($F137="مبالغ متفق عليها",IF(J137="نعم",P137,0),"")))</f>
      </c>
      <c r="X137" s="151" t="str">
        <f>IF(COUNTIF($A137:$S137,"&lt;&gt;")=0,"",IF($F137="بالتساوي بين المشاركين",IF(K137&lt;&gt;"نعم",0,IF(COUNTIF($L137:$L137,"نعم")=0,$D137-SUM($T137:W137),ROUND($D137/COUNTIF($G137:$L137,"نعم"),2))),IF($F137="مبالغ متفق عليها",IF(K137="نعم",Q137,0),"")))</f>
      </c>
      <c r="Y137" s="151" t="str">
        <f>IF(COUNTIF($A137:$S137,"&lt;&gt;")=0,"",IF($F137="بالتساوي بين المشاركين",IF(L137&lt;&gt;"نعم",0,IF(0=0,$D137-SUM($T137:X137),ROUND($D137/COUNTIF($G137:$L137,"نعم"),2))),IF($F137="مبالغ متفق عليها",IF(L137="نعم",R137,0),"")))</f>
      </c>
      <c r="Z137" s="165" t="str">
        <f>IF(COUNTIF($A137:$S137,"&lt;&gt;")=0,"",IF(OR($D137="",$D137&lt;=0),"أدخل مبلغًا أكبر من صفر.",IF($E137="","اختر الشخص الذي دفع المبلغ.",IF(COUNTIF($G137:$L137,"نعم")=0,"حدد شخصًا واحدًا على الأقل للمشاركة في المصروف.",IF($F137="بالتساوي بين المشاركين","جاهز",IF($F137="مبالغ متفق عليها",IF(OR(AND(G137="نعم",M137=""),AND(H137="نعم",N137=""),AND(I137="نعم",O137=""),AND(J137="نعم",P137=""),AND(K137="نعم",Q137=""),AND(L137="نعم",R137="")),"أدخل المبالغ المتفق عليها بحيث يساوي مجموعها مبلغ المصروف.",IF(ABS(SUM($M137:$R137))&lt;0.005,"أدخل المبالغ المتفق عليها بحيث يساوي مجموعها مبلغ المصروف.",IF(SUM($M137:$R137)&lt;$D137-0.005,"يتبقى للتوزيع: "&amp;ROUND($D137-SUM($M137:$R137),2)&amp;".",IF(SUM($M137:$R137)&gt;$D137+0.005,"يزيد مجموع الحصص على المصروف بمقدار "&amp;ROUND(SUM($M137:$R137)-$D137,2)&amp;".","جاهز")))),"أدخل المبالغ المتفق عليها بحيث يساوي مجموعها مبلغ المصروف."))))))</f>
      </c>
    </row>
    <row r="138">
      <c r="A138" s="149"/>
      <c r="B138" s="138"/>
      <c r="C138" s="138"/>
      <c r="D138" s="150"/>
      <c r="E138" s="138"/>
      <c r="F138" s="138"/>
      <c r="G138" s="138"/>
      <c r="H138" s="138"/>
      <c r="I138" s="138"/>
      <c r="J138" s="138"/>
      <c r="K138" s="138"/>
      <c r="L138" s="138"/>
      <c r="M138" s="150"/>
      <c r="N138" s="150"/>
      <c r="O138" s="150"/>
      <c r="P138" s="150"/>
      <c r="Q138" s="150"/>
      <c r="R138" s="150"/>
      <c r="S138" s="138"/>
      <c r="T138" s="151" t="str">
        <f>IF(COUNTIF($A138:$S138,"&lt;&gt;")=0,"",IF($F138="بالتساوي بين المشاركين",IF(G138&lt;&gt;"نعم",0,IF(COUNTIF($H138:$L138,"نعم")=0,$D138-0,ROUND($D138/COUNTIF($G138:$L138,"نعم"),2))),IF($F138="مبالغ متفق عليها",IF(G138="نعم",M138,0),"")))</f>
      </c>
      <c r="U138" s="151" t="str">
        <f>IF(COUNTIF($A138:$S138,"&lt;&gt;")=0,"",IF($F138="بالتساوي بين المشاركين",IF(H138&lt;&gt;"نعم",0,IF(COUNTIF($I138:$L138,"نعم")=0,$D138-SUM($T138:T138),ROUND($D138/COUNTIF($G138:$L138,"نعم"),2))),IF($F138="مبالغ متفق عليها",IF(H138="نعم",N138,0),"")))</f>
      </c>
      <c r="V138" s="151" t="str">
        <f>IF(COUNTIF($A138:$S138,"&lt;&gt;")=0,"",IF($F138="بالتساوي بين المشاركين",IF(I138&lt;&gt;"نعم",0,IF(COUNTIF($J138:$L138,"نعم")=0,$D138-SUM($T138:U138),ROUND($D138/COUNTIF($G138:$L138,"نعم"),2))),IF($F138="مبالغ متفق عليها",IF(I138="نعم",O138,0),"")))</f>
      </c>
      <c r="W138" s="151" t="str">
        <f>IF(COUNTIF($A138:$S138,"&lt;&gt;")=0,"",IF($F138="بالتساوي بين المشاركين",IF(J138&lt;&gt;"نعم",0,IF(COUNTIF($K138:$L138,"نعم")=0,$D138-SUM($T138:V138),ROUND($D138/COUNTIF($G138:$L138,"نعم"),2))),IF($F138="مبالغ متفق عليها",IF(J138="نعم",P138,0),"")))</f>
      </c>
      <c r="X138" s="151" t="str">
        <f>IF(COUNTIF($A138:$S138,"&lt;&gt;")=0,"",IF($F138="بالتساوي بين المشاركين",IF(K138&lt;&gt;"نعم",0,IF(COUNTIF($L138:$L138,"نعم")=0,$D138-SUM($T138:W138),ROUND($D138/COUNTIF($G138:$L138,"نعم"),2))),IF($F138="مبالغ متفق عليها",IF(K138="نعم",Q138,0),"")))</f>
      </c>
      <c r="Y138" s="151" t="str">
        <f>IF(COUNTIF($A138:$S138,"&lt;&gt;")=0,"",IF($F138="بالتساوي بين المشاركين",IF(L138&lt;&gt;"نعم",0,IF(0=0,$D138-SUM($T138:X138),ROUND($D138/COUNTIF($G138:$L138,"نعم"),2))),IF($F138="مبالغ متفق عليها",IF(L138="نعم",R138,0),"")))</f>
      </c>
      <c r="Z138" s="165" t="str">
        <f>IF(COUNTIF($A138:$S138,"&lt;&gt;")=0,"",IF(OR($D138="",$D138&lt;=0),"أدخل مبلغًا أكبر من صفر.",IF($E138="","اختر الشخص الذي دفع المبلغ.",IF(COUNTIF($G138:$L138,"نعم")=0,"حدد شخصًا واحدًا على الأقل للمشاركة في المصروف.",IF($F138="بالتساوي بين المشاركين","جاهز",IF($F138="مبالغ متفق عليها",IF(OR(AND(G138="نعم",M138=""),AND(H138="نعم",N138=""),AND(I138="نعم",O138=""),AND(J138="نعم",P138=""),AND(K138="نعم",Q138=""),AND(L138="نعم",R138="")),"أدخل المبالغ المتفق عليها بحيث يساوي مجموعها مبلغ المصروف.",IF(ABS(SUM($M138:$R138))&lt;0.005,"أدخل المبالغ المتفق عليها بحيث يساوي مجموعها مبلغ المصروف.",IF(SUM($M138:$R138)&lt;$D138-0.005,"يتبقى للتوزيع: "&amp;ROUND($D138-SUM($M138:$R138),2)&amp;".",IF(SUM($M138:$R138)&gt;$D138+0.005,"يزيد مجموع الحصص على المصروف بمقدار "&amp;ROUND(SUM($M138:$R138)-$D138,2)&amp;".","جاهز")))),"أدخل المبالغ المتفق عليها بحيث يساوي مجموعها مبلغ المصروف."))))))</f>
      </c>
    </row>
    <row r="139">
      <c r="A139" s="149"/>
      <c r="B139" s="138"/>
      <c r="C139" s="138"/>
      <c r="D139" s="150"/>
      <c r="E139" s="138"/>
      <c r="F139" s="138"/>
      <c r="G139" s="138"/>
      <c r="H139" s="138"/>
      <c r="I139" s="138"/>
      <c r="J139" s="138"/>
      <c r="K139" s="138"/>
      <c r="L139" s="138"/>
      <c r="M139" s="150"/>
      <c r="N139" s="150"/>
      <c r="O139" s="150"/>
      <c r="P139" s="150"/>
      <c r="Q139" s="150"/>
      <c r="R139" s="150"/>
      <c r="S139" s="138"/>
      <c r="T139" s="151" t="str">
        <f>IF(COUNTIF($A139:$S139,"&lt;&gt;")=0,"",IF($F139="بالتساوي بين المشاركين",IF(G139&lt;&gt;"نعم",0,IF(COUNTIF($H139:$L139,"نعم")=0,$D139-0,ROUND($D139/COUNTIF($G139:$L139,"نعم"),2))),IF($F139="مبالغ متفق عليها",IF(G139="نعم",M139,0),"")))</f>
      </c>
      <c r="U139" s="151" t="str">
        <f>IF(COUNTIF($A139:$S139,"&lt;&gt;")=0,"",IF($F139="بالتساوي بين المشاركين",IF(H139&lt;&gt;"نعم",0,IF(COUNTIF($I139:$L139,"نعم")=0,$D139-SUM($T139:T139),ROUND($D139/COUNTIF($G139:$L139,"نعم"),2))),IF($F139="مبالغ متفق عليها",IF(H139="نعم",N139,0),"")))</f>
      </c>
      <c r="V139" s="151" t="str">
        <f>IF(COUNTIF($A139:$S139,"&lt;&gt;")=0,"",IF($F139="بالتساوي بين المشاركين",IF(I139&lt;&gt;"نعم",0,IF(COUNTIF($J139:$L139,"نعم")=0,$D139-SUM($T139:U139),ROUND($D139/COUNTIF($G139:$L139,"نعم"),2))),IF($F139="مبالغ متفق عليها",IF(I139="نعم",O139,0),"")))</f>
      </c>
      <c r="W139" s="151" t="str">
        <f>IF(COUNTIF($A139:$S139,"&lt;&gt;")=0,"",IF($F139="بالتساوي بين المشاركين",IF(J139&lt;&gt;"نعم",0,IF(COUNTIF($K139:$L139,"نعم")=0,$D139-SUM($T139:V139),ROUND($D139/COUNTIF($G139:$L139,"نعم"),2))),IF($F139="مبالغ متفق عليها",IF(J139="نعم",P139,0),"")))</f>
      </c>
      <c r="X139" s="151" t="str">
        <f>IF(COUNTIF($A139:$S139,"&lt;&gt;")=0,"",IF($F139="بالتساوي بين المشاركين",IF(K139&lt;&gt;"نعم",0,IF(COUNTIF($L139:$L139,"نعم")=0,$D139-SUM($T139:W139),ROUND($D139/COUNTIF($G139:$L139,"نعم"),2))),IF($F139="مبالغ متفق عليها",IF(K139="نعم",Q139,0),"")))</f>
      </c>
      <c r="Y139" s="151" t="str">
        <f>IF(COUNTIF($A139:$S139,"&lt;&gt;")=0,"",IF($F139="بالتساوي بين المشاركين",IF(L139&lt;&gt;"نعم",0,IF(0=0,$D139-SUM($T139:X139),ROUND($D139/COUNTIF($G139:$L139,"نعم"),2))),IF($F139="مبالغ متفق عليها",IF(L139="نعم",R139,0),"")))</f>
      </c>
      <c r="Z139" s="165" t="str">
        <f>IF(COUNTIF($A139:$S139,"&lt;&gt;")=0,"",IF(OR($D139="",$D139&lt;=0),"أدخل مبلغًا أكبر من صفر.",IF($E139="","اختر الشخص الذي دفع المبلغ.",IF(COUNTIF($G139:$L139,"نعم")=0,"حدد شخصًا واحدًا على الأقل للمشاركة في المصروف.",IF($F139="بالتساوي بين المشاركين","جاهز",IF($F139="مبالغ متفق عليها",IF(OR(AND(G139="نعم",M139=""),AND(H139="نعم",N139=""),AND(I139="نعم",O139=""),AND(J139="نعم",P139=""),AND(K139="نعم",Q139=""),AND(L139="نعم",R139="")),"أدخل المبالغ المتفق عليها بحيث يساوي مجموعها مبلغ المصروف.",IF(ABS(SUM($M139:$R139))&lt;0.005,"أدخل المبالغ المتفق عليها بحيث يساوي مجموعها مبلغ المصروف.",IF(SUM($M139:$R139)&lt;$D139-0.005,"يتبقى للتوزيع: "&amp;ROUND($D139-SUM($M139:$R139),2)&amp;".",IF(SUM($M139:$R139)&gt;$D139+0.005,"يزيد مجموع الحصص على المصروف بمقدار "&amp;ROUND(SUM($M139:$R139)-$D139,2)&amp;".","جاهز")))),"أدخل المبالغ المتفق عليها بحيث يساوي مجموعها مبلغ المصروف."))))))</f>
      </c>
    </row>
    <row r="140">
      <c r="A140" s="149"/>
      <c r="B140" s="138"/>
      <c r="C140" s="138"/>
      <c r="D140" s="150"/>
      <c r="E140" s="138"/>
      <c r="F140" s="138"/>
      <c r="G140" s="138"/>
      <c r="H140" s="138"/>
      <c r="I140" s="138"/>
      <c r="J140" s="138"/>
      <c r="K140" s="138"/>
      <c r="L140" s="138"/>
      <c r="M140" s="150"/>
      <c r="N140" s="150"/>
      <c r="O140" s="150"/>
      <c r="P140" s="150"/>
      <c r="Q140" s="150"/>
      <c r="R140" s="150"/>
      <c r="S140" s="138"/>
      <c r="T140" s="151" t="str">
        <f>IF(COUNTIF($A140:$S140,"&lt;&gt;")=0,"",IF($F140="بالتساوي بين المشاركين",IF(G140&lt;&gt;"نعم",0,IF(COUNTIF($H140:$L140,"نعم")=0,$D140-0,ROUND($D140/COUNTIF($G140:$L140,"نعم"),2))),IF($F140="مبالغ متفق عليها",IF(G140="نعم",M140,0),"")))</f>
      </c>
      <c r="U140" s="151" t="str">
        <f>IF(COUNTIF($A140:$S140,"&lt;&gt;")=0,"",IF($F140="بالتساوي بين المشاركين",IF(H140&lt;&gt;"نعم",0,IF(COUNTIF($I140:$L140,"نعم")=0,$D140-SUM($T140:T140),ROUND($D140/COUNTIF($G140:$L140,"نعم"),2))),IF($F140="مبالغ متفق عليها",IF(H140="نعم",N140,0),"")))</f>
      </c>
      <c r="V140" s="151" t="str">
        <f>IF(COUNTIF($A140:$S140,"&lt;&gt;")=0,"",IF($F140="بالتساوي بين المشاركين",IF(I140&lt;&gt;"نعم",0,IF(COUNTIF($J140:$L140,"نعم")=0,$D140-SUM($T140:U140),ROUND($D140/COUNTIF($G140:$L140,"نعم"),2))),IF($F140="مبالغ متفق عليها",IF(I140="نعم",O140,0),"")))</f>
      </c>
      <c r="W140" s="151" t="str">
        <f>IF(COUNTIF($A140:$S140,"&lt;&gt;")=0,"",IF($F140="بالتساوي بين المشاركين",IF(J140&lt;&gt;"نعم",0,IF(COUNTIF($K140:$L140,"نعم")=0,$D140-SUM($T140:V140),ROUND($D140/COUNTIF($G140:$L140,"نعم"),2))),IF($F140="مبالغ متفق عليها",IF(J140="نعم",P140,0),"")))</f>
      </c>
      <c r="X140" s="151" t="str">
        <f>IF(COUNTIF($A140:$S140,"&lt;&gt;")=0,"",IF($F140="بالتساوي بين المشاركين",IF(K140&lt;&gt;"نعم",0,IF(COUNTIF($L140:$L140,"نعم")=0,$D140-SUM($T140:W140),ROUND($D140/COUNTIF($G140:$L140,"نعم"),2))),IF($F140="مبالغ متفق عليها",IF(K140="نعم",Q140,0),"")))</f>
      </c>
      <c r="Y140" s="151" t="str">
        <f>IF(COUNTIF($A140:$S140,"&lt;&gt;")=0,"",IF($F140="بالتساوي بين المشاركين",IF(L140&lt;&gt;"نعم",0,IF(0=0,$D140-SUM($T140:X140),ROUND($D140/COUNTIF($G140:$L140,"نعم"),2))),IF($F140="مبالغ متفق عليها",IF(L140="نعم",R140,0),"")))</f>
      </c>
      <c r="Z140" s="165" t="str">
        <f>IF(COUNTIF($A140:$S140,"&lt;&gt;")=0,"",IF(OR($D140="",$D140&lt;=0),"أدخل مبلغًا أكبر من صفر.",IF($E140="","اختر الشخص الذي دفع المبلغ.",IF(COUNTIF($G140:$L140,"نعم")=0,"حدد شخصًا واحدًا على الأقل للمشاركة في المصروف.",IF($F140="بالتساوي بين المشاركين","جاهز",IF($F140="مبالغ متفق عليها",IF(OR(AND(G140="نعم",M140=""),AND(H140="نعم",N140=""),AND(I140="نعم",O140=""),AND(J140="نعم",P140=""),AND(K140="نعم",Q140=""),AND(L140="نعم",R140="")),"أدخل المبالغ المتفق عليها بحيث يساوي مجموعها مبلغ المصروف.",IF(ABS(SUM($M140:$R140))&lt;0.005,"أدخل المبالغ المتفق عليها بحيث يساوي مجموعها مبلغ المصروف.",IF(SUM($M140:$R140)&lt;$D140-0.005,"يتبقى للتوزيع: "&amp;ROUND($D140-SUM($M140:$R140),2)&amp;".",IF(SUM($M140:$R140)&gt;$D140+0.005,"يزيد مجموع الحصص على المصروف بمقدار "&amp;ROUND(SUM($M140:$R140)-$D140,2)&amp;".","جاهز")))),"أدخل المبالغ المتفق عليها بحيث يساوي مجموعها مبلغ المصروف."))))))</f>
      </c>
    </row>
    <row r="141">
      <c r="A141" s="149"/>
      <c r="B141" s="138"/>
      <c r="C141" s="138"/>
      <c r="D141" s="150"/>
      <c r="E141" s="138"/>
      <c r="F141" s="138"/>
      <c r="G141" s="138"/>
      <c r="H141" s="138"/>
      <c r="I141" s="138"/>
      <c r="J141" s="138"/>
      <c r="K141" s="138"/>
      <c r="L141" s="138"/>
      <c r="M141" s="150"/>
      <c r="N141" s="150"/>
      <c r="O141" s="150"/>
      <c r="P141" s="150"/>
      <c r="Q141" s="150"/>
      <c r="R141" s="150"/>
      <c r="S141" s="138"/>
      <c r="T141" s="151" t="str">
        <f>IF(COUNTIF($A141:$S141,"&lt;&gt;")=0,"",IF($F141="بالتساوي بين المشاركين",IF(G141&lt;&gt;"نعم",0,IF(COUNTIF($H141:$L141,"نعم")=0,$D141-0,ROUND($D141/COUNTIF($G141:$L141,"نعم"),2))),IF($F141="مبالغ متفق عليها",IF(G141="نعم",M141,0),"")))</f>
      </c>
      <c r="U141" s="151" t="str">
        <f>IF(COUNTIF($A141:$S141,"&lt;&gt;")=0,"",IF($F141="بالتساوي بين المشاركين",IF(H141&lt;&gt;"نعم",0,IF(COUNTIF($I141:$L141,"نعم")=0,$D141-SUM($T141:T141),ROUND($D141/COUNTIF($G141:$L141,"نعم"),2))),IF($F141="مبالغ متفق عليها",IF(H141="نعم",N141,0),"")))</f>
      </c>
      <c r="V141" s="151" t="str">
        <f>IF(COUNTIF($A141:$S141,"&lt;&gt;")=0,"",IF($F141="بالتساوي بين المشاركين",IF(I141&lt;&gt;"نعم",0,IF(COUNTIF($J141:$L141,"نعم")=0,$D141-SUM($T141:U141),ROUND($D141/COUNTIF($G141:$L141,"نعم"),2))),IF($F141="مبالغ متفق عليها",IF(I141="نعم",O141,0),"")))</f>
      </c>
      <c r="W141" s="151" t="str">
        <f>IF(COUNTIF($A141:$S141,"&lt;&gt;")=0,"",IF($F141="بالتساوي بين المشاركين",IF(J141&lt;&gt;"نعم",0,IF(COUNTIF($K141:$L141,"نعم")=0,$D141-SUM($T141:V141),ROUND($D141/COUNTIF($G141:$L141,"نعم"),2))),IF($F141="مبالغ متفق عليها",IF(J141="نعم",P141,0),"")))</f>
      </c>
      <c r="X141" s="151" t="str">
        <f>IF(COUNTIF($A141:$S141,"&lt;&gt;")=0,"",IF($F141="بالتساوي بين المشاركين",IF(K141&lt;&gt;"نعم",0,IF(COUNTIF($L141:$L141,"نعم")=0,$D141-SUM($T141:W141),ROUND($D141/COUNTIF($G141:$L141,"نعم"),2))),IF($F141="مبالغ متفق عليها",IF(K141="نعم",Q141,0),"")))</f>
      </c>
      <c r="Y141" s="151" t="str">
        <f>IF(COUNTIF($A141:$S141,"&lt;&gt;")=0,"",IF($F141="بالتساوي بين المشاركين",IF(L141&lt;&gt;"نعم",0,IF(0=0,$D141-SUM($T141:X141),ROUND($D141/COUNTIF($G141:$L141,"نعم"),2))),IF($F141="مبالغ متفق عليها",IF(L141="نعم",R141,0),"")))</f>
      </c>
      <c r="Z141" s="165" t="str">
        <f>IF(COUNTIF($A141:$S141,"&lt;&gt;")=0,"",IF(OR($D141="",$D141&lt;=0),"أدخل مبلغًا أكبر من صفر.",IF($E141="","اختر الشخص الذي دفع المبلغ.",IF(COUNTIF($G141:$L141,"نعم")=0,"حدد شخصًا واحدًا على الأقل للمشاركة في المصروف.",IF($F141="بالتساوي بين المشاركين","جاهز",IF($F141="مبالغ متفق عليها",IF(OR(AND(G141="نعم",M141=""),AND(H141="نعم",N141=""),AND(I141="نعم",O141=""),AND(J141="نعم",P141=""),AND(K141="نعم",Q141=""),AND(L141="نعم",R141="")),"أدخل المبالغ المتفق عليها بحيث يساوي مجموعها مبلغ المصروف.",IF(ABS(SUM($M141:$R141))&lt;0.005,"أدخل المبالغ المتفق عليها بحيث يساوي مجموعها مبلغ المصروف.",IF(SUM($M141:$R141)&lt;$D141-0.005,"يتبقى للتوزيع: "&amp;ROUND($D141-SUM($M141:$R141),2)&amp;".",IF(SUM($M141:$R141)&gt;$D141+0.005,"يزيد مجموع الحصص على المصروف بمقدار "&amp;ROUND(SUM($M141:$R141)-$D141,2)&amp;".","جاهز")))),"أدخل المبالغ المتفق عليها بحيث يساوي مجموعها مبلغ المصروف."))))))</f>
      </c>
    </row>
    <row r="142">
      <c r="A142" s="149"/>
      <c r="B142" s="138"/>
      <c r="C142" s="138"/>
      <c r="D142" s="150"/>
      <c r="E142" s="138"/>
      <c r="F142" s="138"/>
      <c r="G142" s="138"/>
      <c r="H142" s="138"/>
      <c r="I142" s="138"/>
      <c r="J142" s="138"/>
      <c r="K142" s="138"/>
      <c r="L142" s="138"/>
      <c r="M142" s="150"/>
      <c r="N142" s="150"/>
      <c r="O142" s="150"/>
      <c r="P142" s="150"/>
      <c r="Q142" s="150"/>
      <c r="R142" s="150"/>
      <c r="S142" s="138"/>
      <c r="T142" s="151" t="str">
        <f>IF(COUNTIF($A142:$S142,"&lt;&gt;")=0,"",IF($F142="بالتساوي بين المشاركين",IF(G142&lt;&gt;"نعم",0,IF(COUNTIF($H142:$L142,"نعم")=0,$D142-0,ROUND($D142/COUNTIF($G142:$L142,"نعم"),2))),IF($F142="مبالغ متفق عليها",IF(G142="نعم",M142,0),"")))</f>
      </c>
      <c r="U142" s="151" t="str">
        <f>IF(COUNTIF($A142:$S142,"&lt;&gt;")=0,"",IF($F142="بالتساوي بين المشاركين",IF(H142&lt;&gt;"نعم",0,IF(COUNTIF($I142:$L142,"نعم")=0,$D142-SUM($T142:T142),ROUND($D142/COUNTIF($G142:$L142,"نعم"),2))),IF($F142="مبالغ متفق عليها",IF(H142="نعم",N142,0),"")))</f>
      </c>
      <c r="V142" s="151" t="str">
        <f>IF(COUNTIF($A142:$S142,"&lt;&gt;")=0,"",IF($F142="بالتساوي بين المشاركين",IF(I142&lt;&gt;"نعم",0,IF(COUNTIF($J142:$L142,"نعم")=0,$D142-SUM($T142:U142),ROUND($D142/COUNTIF($G142:$L142,"نعم"),2))),IF($F142="مبالغ متفق عليها",IF(I142="نعم",O142,0),"")))</f>
      </c>
      <c r="W142" s="151" t="str">
        <f>IF(COUNTIF($A142:$S142,"&lt;&gt;")=0,"",IF($F142="بالتساوي بين المشاركين",IF(J142&lt;&gt;"نعم",0,IF(COUNTIF($K142:$L142,"نعم")=0,$D142-SUM($T142:V142),ROUND($D142/COUNTIF($G142:$L142,"نعم"),2))),IF($F142="مبالغ متفق عليها",IF(J142="نعم",P142,0),"")))</f>
      </c>
      <c r="X142" s="151" t="str">
        <f>IF(COUNTIF($A142:$S142,"&lt;&gt;")=0,"",IF($F142="بالتساوي بين المشاركين",IF(K142&lt;&gt;"نعم",0,IF(COUNTIF($L142:$L142,"نعم")=0,$D142-SUM($T142:W142),ROUND($D142/COUNTIF($G142:$L142,"نعم"),2))),IF($F142="مبالغ متفق عليها",IF(K142="نعم",Q142,0),"")))</f>
      </c>
      <c r="Y142" s="151" t="str">
        <f>IF(COUNTIF($A142:$S142,"&lt;&gt;")=0,"",IF($F142="بالتساوي بين المشاركين",IF(L142&lt;&gt;"نعم",0,IF(0=0,$D142-SUM($T142:X142),ROUND($D142/COUNTIF($G142:$L142,"نعم"),2))),IF($F142="مبالغ متفق عليها",IF(L142="نعم",R142,0),"")))</f>
      </c>
      <c r="Z142" s="165" t="str">
        <f>IF(COUNTIF($A142:$S142,"&lt;&gt;")=0,"",IF(OR($D142="",$D142&lt;=0),"أدخل مبلغًا أكبر من صفر.",IF($E142="","اختر الشخص الذي دفع المبلغ.",IF(COUNTIF($G142:$L142,"نعم")=0,"حدد شخصًا واحدًا على الأقل للمشاركة في المصروف.",IF($F142="بالتساوي بين المشاركين","جاهز",IF($F142="مبالغ متفق عليها",IF(OR(AND(G142="نعم",M142=""),AND(H142="نعم",N142=""),AND(I142="نعم",O142=""),AND(J142="نعم",P142=""),AND(K142="نعم",Q142=""),AND(L142="نعم",R142="")),"أدخل المبالغ المتفق عليها بحيث يساوي مجموعها مبلغ المصروف.",IF(ABS(SUM($M142:$R142))&lt;0.005,"أدخل المبالغ المتفق عليها بحيث يساوي مجموعها مبلغ المصروف.",IF(SUM($M142:$R142)&lt;$D142-0.005,"يتبقى للتوزيع: "&amp;ROUND($D142-SUM($M142:$R142),2)&amp;".",IF(SUM($M142:$R142)&gt;$D142+0.005,"يزيد مجموع الحصص على المصروف بمقدار "&amp;ROUND(SUM($M142:$R142)-$D142,2)&amp;".","جاهز")))),"أدخل المبالغ المتفق عليها بحيث يساوي مجموعها مبلغ المصروف."))))))</f>
      </c>
    </row>
    <row r="143">
      <c r="A143" s="149"/>
      <c r="B143" s="138"/>
      <c r="C143" s="138"/>
      <c r="D143" s="150"/>
      <c r="E143" s="138"/>
      <c r="F143" s="138"/>
      <c r="G143" s="138"/>
      <c r="H143" s="138"/>
      <c r="I143" s="138"/>
      <c r="J143" s="138"/>
      <c r="K143" s="138"/>
      <c r="L143" s="138"/>
      <c r="M143" s="150"/>
      <c r="N143" s="150"/>
      <c r="O143" s="150"/>
      <c r="P143" s="150"/>
      <c r="Q143" s="150"/>
      <c r="R143" s="150"/>
      <c r="S143" s="138"/>
      <c r="T143" s="151" t="str">
        <f>IF(COUNTIF($A143:$S143,"&lt;&gt;")=0,"",IF($F143="بالتساوي بين المشاركين",IF(G143&lt;&gt;"نعم",0,IF(COUNTIF($H143:$L143,"نعم")=0,$D143-0,ROUND($D143/COUNTIF($G143:$L143,"نعم"),2))),IF($F143="مبالغ متفق عليها",IF(G143="نعم",M143,0),"")))</f>
      </c>
      <c r="U143" s="151" t="str">
        <f>IF(COUNTIF($A143:$S143,"&lt;&gt;")=0,"",IF($F143="بالتساوي بين المشاركين",IF(H143&lt;&gt;"نعم",0,IF(COUNTIF($I143:$L143,"نعم")=0,$D143-SUM($T143:T143),ROUND($D143/COUNTIF($G143:$L143,"نعم"),2))),IF($F143="مبالغ متفق عليها",IF(H143="نعم",N143,0),"")))</f>
      </c>
      <c r="V143" s="151" t="str">
        <f>IF(COUNTIF($A143:$S143,"&lt;&gt;")=0,"",IF($F143="بالتساوي بين المشاركين",IF(I143&lt;&gt;"نعم",0,IF(COUNTIF($J143:$L143,"نعم")=0,$D143-SUM($T143:U143),ROUND($D143/COUNTIF($G143:$L143,"نعم"),2))),IF($F143="مبالغ متفق عليها",IF(I143="نعم",O143,0),"")))</f>
      </c>
      <c r="W143" s="151" t="str">
        <f>IF(COUNTIF($A143:$S143,"&lt;&gt;")=0,"",IF($F143="بالتساوي بين المشاركين",IF(J143&lt;&gt;"نعم",0,IF(COUNTIF($K143:$L143,"نعم")=0,$D143-SUM($T143:V143),ROUND($D143/COUNTIF($G143:$L143,"نعم"),2))),IF($F143="مبالغ متفق عليها",IF(J143="نعم",P143,0),"")))</f>
      </c>
      <c r="X143" s="151" t="str">
        <f>IF(COUNTIF($A143:$S143,"&lt;&gt;")=0,"",IF($F143="بالتساوي بين المشاركين",IF(K143&lt;&gt;"نعم",0,IF(COUNTIF($L143:$L143,"نعم")=0,$D143-SUM($T143:W143),ROUND($D143/COUNTIF($G143:$L143,"نعم"),2))),IF($F143="مبالغ متفق عليها",IF(K143="نعم",Q143,0),"")))</f>
      </c>
      <c r="Y143" s="151" t="str">
        <f>IF(COUNTIF($A143:$S143,"&lt;&gt;")=0,"",IF($F143="بالتساوي بين المشاركين",IF(L143&lt;&gt;"نعم",0,IF(0=0,$D143-SUM($T143:X143),ROUND($D143/COUNTIF($G143:$L143,"نعم"),2))),IF($F143="مبالغ متفق عليها",IF(L143="نعم",R143,0),"")))</f>
      </c>
      <c r="Z143" s="165" t="str">
        <f>IF(COUNTIF($A143:$S143,"&lt;&gt;")=0,"",IF(OR($D143="",$D143&lt;=0),"أدخل مبلغًا أكبر من صفر.",IF($E143="","اختر الشخص الذي دفع المبلغ.",IF(COUNTIF($G143:$L143,"نعم")=0,"حدد شخصًا واحدًا على الأقل للمشاركة في المصروف.",IF($F143="بالتساوي بين المشاركين","جاهز",IF($F143="مبالغ متفق عليها",IF(OR(AND(G143="نعم",M143=""),AND(H143="نعم",N143=""),AND(I143="نعم",O143=""),AND(J143="نعم",P143=""),AND(K143="نعم",Q143=""),AND(L143="نعم",R143="")),"أدخل المبالغ المتفق عليها بحيث يساوي مجموعها مبلغ المصروف.",IF(ABS(SUM($M143:$R143))&lt;0.005,"أدخل المبالغ المتفق عليها بحيث يساوي مجموعها مبلغ المصروف.",IF(SUM($M143:$R143)&lt;$D143-0.005,"يتبقى للتوزيع: "&amp;ROUND($D143-SUM($M143:$R143),2)&amp;".",IF(SUM($M143:$R143)&gt;$D143+0.005,"يزيد مجموع الحصص على المصروف بمقدار "&amp;ROUND(SUM($M143:$R143)-$D143,2)&amp;".","جاهز")))),"أدخل المبالغ المتفق عليها بحيث يساوي مجموعها مبلغ المصروف."))))))</f>
      </c>
    </row>
    <row r="144">
      <c r="A144" s="149"/>
      <c r="B144" s="138"/>
      <c r="C144" s="138"/>
      <c r="D144" s="150"/>
      <c r="E144" s="138"/>
      <c r="F144" s="138"/>
      <c r="G144" s="138"/>
      <c r="H144" s="138"/>
      <c r="I144" s="138"/>
      <c r="J144" s="138"/>
      <c r="K144" s="138"/>
      <c r="L144" s="138"/>
      <c r="M144" s="150"/>
      <c r="N144" s="150"/>
      <c r="O144" s="150"/>
      <c r="P144" s="150"/>
      <c r="Q144" s="150"/>
      <c r="R144" s="150"/>
      <c r="S144" s="138"/>
      <c r="T144" s="151" t="str">
        <f>IF(COUNTIF($A144:$S144,"&lt;&gt;")=0,"",IF($F144="بالتساوي بين المشاركين",IF(G144&lt;&gt;"نعم",0,IF(COUNTIF($H144:$L144,"نعم")=0,$D144-0,ROUND($D144/COUNTIF($G144:$L144,"نعم"),2))),IF($F144="مبالغ متفق عليها",IF(G144="نعم",M144,0),"")))</f>
      </c>
      <c r="U144" s="151" t="str">
        <f>IF(COUNTIF($A144:$S144,"&lt;&gt;")=0,"",IF($F144="بالتساوي بين المشاركين",IF(H144&lt;&gt;"نعم",0,IF(COUNTIF($I144:$L144,"نعم")=0,$D144-SUM($T144:T144),ROUND($D144/COUNTIF($G144:$L144,"نعم"),2))),IF($F144="مبالغ متفق عليها",IF(H144="نعم",N144,0),"")))</f>
      </c>
      <c r="V144" s="151" t="str">
        <f>IF(COUNTIF($A144:$S144,"&lt;&gt;")=0,"",IF($F144="بالتساوي بين المشاركين",IF(I144&lt;&gt;"نعم",0,IF(COUNTIF($J144:$L144,"نعم")=0,$D144-SUM($T144:U144),ROUND($D144/COUNTIF($G144:$L144,"نعم"),2))),IF($F144="مبالغ متفق عليها",IF(I144="نعم",O144,0),"")))</f>
      </c>
      <c r="W144" s="151" t="str">
        <f>IF(COUNTIF($A144:$S144,"&lt;&gt;")=0,"",IF($F144="بالتساوي بين المشاركين",IF(J144&lt;&gt;"نعم",0,IF(COUNTIF($K144:$L144,"نعم")=0,$D144-SUM($T144:V144),ROUND($D144/COUNTIF($G144:$L144,"نعم"),2))),IF($F144="مبالغ متفق عليها",IF(J144="نعم",P144,0),"")))</f>
      </c>
      <c r="X144" s="151" t="str">
        <f>IF(COUNTIF($A144:$S144,"&lt;&gt;")=0,"",IF($F144="بالتساوي بين المشاركين",IF(K144&lt;&gt;"نعم",0,IF(COUNTIF($L144:$L144,"نعم")=0,$D144-SUM($T144:W144),ROUND($D144/COUNTIF($G144:$L144,"نعم"),2))),IF($F144="مبالغ متفق عليها",IF(K144="نعم",Q144,0),"")))</f>
      </c>
      <c r="Y144" s="151" t="str">
        <f>IF(COUNTIF($A144:$S144,"&lt;&gt;")=0,"",IF($F144="بالتساوي بين المشاركين",IF(L144&lt;&gt;"نعم",0,IF(0=0,$D144-SUM($T144:X144),ROUND($D144/COUNTIF($G144:$L144,"نعم"),2))),IF($F144="مبالغ متفق عليها",IF(L144="نعم",R144,0),"")))</f>
      </c>
      <c r="Z144" s="165" t="str">
        <f>IF(COUNTIF($A144:$S144,"&lt;&gt;")=0,"",IF(OR($D144="",$D144&lt;=0),"أدخل مبلغًا أكبر من صفر.",IF($E144="","اختر الشخص الذي دفع المبلغ.",IF(COUNTIF($G144:$L144,"نعم")=0,"حدد شخصًا واحدًا على الأقل للمشاركة في المصروف.",IF($F144="بالتساوي بين المشاركين","جاهز",IF($F144="مبالغ متفق عليها",IF(OR(AND(G144="نعم",M144=""),AND(H144="نعم",N144=""),AND(I144="نعم",O144=""),AND(J144="نعم",P144=""),AND(K144="نعم",Q144=""),AND(L144="نعم",R144="")),"أدخل المبالغ المتفق عليها بحيث يساوي مجموعها مبلغ المصروف.",IF(ABS(SUM($M144:$R144))&lt;0.005,"أدخل المبالغ المتفق عليها بحيث يساوي مجموعها مبلغ المصروف.",IF(SUM($M144:$R144)&lt;$D144-0.005,"يتبقى للتوزيع: "&amp;ROUND($D144-SUM($M144:$R144),2)&amp;".",IF(SUM($M144:$R144)&gt;$D144+0.005,"يزيد مجموع الحصص على المصروف بمقدار "&amp;ROUND(SUM($M144:$R144)-$D144,2)&amp;".","جاهز")))),"أدخل المبالغ المتفق عليها بحيث يساوي مجموعها مبلغ المصروف."))))))</f>
      </c>
    </row>
    <row r="145">
      <c r="A145" s="149"/>
      <c r="B145" s="138"/>
      <c r="C145" s="138"/>
      <c r="D145" s="150"/>
      <c r="E145" s="138"/>
      <c r="F145" s="138"/>
      <c r="G145" s="138"/>
      <c r="H145" s="138"/>
      <c r="I145" s="138"/>
      <c r="J145" s="138"/>
      <c r="K145" s="138"/>
      <c r="L145" s="138"/>
      <c r="M145" s="150"/>
      <c r="N145" s="150"/>
      <c r="O145" s="150"/>
      <c r="P145" s="150"/>
      <c r="Q145" s="150"/>
      <c r="R145" s="150"/>
      <c r="S145" s="138"/>
      <c r="T145" s="151" t="str">
        <f>IF(COUNTIF($A145:$S145,"&lt;&gt;")=0,"",IF($F145="بالتساوي بين المشاركين",IF(G145&lt;&gt;"نعم",0,IF(COUNTIF($H145:$L145,"نعم")=0,$D145-0,ROUND($D145/COUNTIF($G145:$L145,"نعم"),2))),IF($F145="مبالغ متفق عليها",IF(G145="نعم",M145,0),"")))</f>
      </c>
      <c r="U145" s="151" t="str">
        <f>IF(COUNTIF($A145:$S145,"&lt;&gt;")=0,"",IF($F145="بالتساوي بين المشاركين",IF(H145&lt;&gt;"نعم",0,IF(COUNTIF($I145:$L145,"نعم")=0,$D145-SUM($T145:T145),ROUND($D145/COUNTIF($G145:$L145,"نعم"),2))),IF($F145="مبالغ متفق عليها",IF(H145="نعم",N145,0),"")))</f>
      </c>
      <c r="V145" s="151" t="str">
        <f>IF(COUNTIF($A145:$S145,"&lt;&gt;")=0,"",IF($F145="بالتساوي بين المشاركين",IF(I145&lt;&gt;"نعم",0,IF(COUNTIF($J145:$L145,"نعم")=0,$D145-SUM($T145:U145),ROUND($D145/COUNTIF($G145:$L145,"نعم"),2))),IF($F145="مبالغ متفق عليها",IF(I145="نعم",O145,0),"")))</f>
      </c>
      <c r="W145" s="151" t="str">
        <f>IF(COUNTIF($A145:$S145,"&lt;&gt;")=0,"",IF($F145="بالتساوي بين المشاركين",IF(J145&lt;&gt;"نعم",0,IF(COUNTIF($K145:$L145,"نعم")=0,$D145-SUM($T145:V145),ROUND($D145/COUNTIF($G145:$L145,"نعم"),2))),IF($F145="مبالغ متفق عليها",IF(J145="نعم",P145,0),"")))</f>
      </c>
      <c r="X145" s="151" t="str">
        <f>IF(COUNTIF($A145:$S145,"&lt;&gt;")=0,"",IF($F145="بالتساوي بين المشاركين",IF(K145&lt;&gt;"نعم",0,IF(COUNTIF($L145:$L145,"نعم")=0,$D145-SUM($T145:W145),ROUND($D145/COUNTIF($G145:$L145,"نعم"),2))),IF($F145="مبالغ متفق عليها",IF(K145="نعم",Q145,0),"")))</f>
      </c>
      <c r="Y145" s="151" t="str">
        <f>IF(COUNTIF($A145:$S145,"&lt;&gt;")=0,"",IF($F145="بالتساوي بين المشاركين",IF(L145&lt;&gt;"نعم",0,IF(0=0,$D145-SUM($T145:X145),ROUND($D145/COUNTIF($G145:$L145,"نعم"),2))),IF($F145="مبالغ متفق عليها",IF(L145="نعم",R145,0),"")))</f>
      </c>
      <c r="Z145" s="165" t="str">
        <f>IF(COUNTIF($A145:$S145,"&lt;&gt;")=0,"",IF(OR($D145="",$D145&lt;=0),"أدخل مبلغًا أكبر من صفر.",IF($E145="","اختر الشخص الذي دفع المبلغ.",IF(COUNTIF($G145:$L145,"نعم")=0,"حدد شخصًا واحدًا على الأقل للمشاركة في المصروف.",IF($F145="بالتساوي بين المشاركين","جاهز",IF($F145="مبالغ متفق عليها",IF(OR(AND(G145="نعم",M145=""),AND(H145="نعم",N145=""),AND(I145="نعم",O145=""),AND(J145="نعم",P145=""),AND(K145="نعم",Q145=""),AND(L145="نعم",R145="")),"أدخل المبالغ المتفق عليها بحيث يساوي مجموعها مبلغ المصروف.",IF(ABS(SUM($M145:$R145))&lt;0.005,"أدخل المبالغ المتفق عليها بحيث يساوي مجموعها مبلغ المصروف.",IF(SUM($M145:$R145)&lt;$D145-0.005,"يتبقى للتوزيع: "&amp;ROUND($D145-SUM($M145:$R145),2)&amp;".",IF(SUM($M145:$R145)&gt;$D145+0.005,"يزيد مجموع الحصص على المصروف بمقدار "&amp;ROUND(SUM($M145:$R145)-$D145,2)&amp;".","جاهز")))),"أدخل المبالغ المتفق عليها بحيث يساوي مجموعها مبلغ المصروف."))))))</f>
      </c>
    </row>
    <row r="146">
      <c r="A146" s="149"/>
      <c r="B146" s="138"/>
      <c r="C146" s="138"/>
      <c r="D146" s="150"/>
      <c r="E146" s="138"/>
      <c r="F146" s="138"/>
      <c r="G146" s="138"/>
      <c r="H146" s="138"/>
      <c r="I146" s="138"/>
      <c r="J146" s="138"/>
      <c r="K146" s="138"/>
      <c r="L146" s="138"/>
      <c r="M146" s="150"/>
      <c r="N146" s="150"/>
      <c r="O146" s="150"/>
      <c r="P146" s="150"/>
      <c r="Q146" s="150"/>
      <c r="R146" s="150"/>
      <c r="S146" s="138"/>
      <c r="T146" s="151" t="str">
        <f>IF(COUNTIF($A146:$S146,"&lt;&gt;")=0,"",IF($F146="بالتساوي بين المشاركين",IF(G146&lt;&gt;"نعم",0,IF(COUNTIF($H146:$L146,"نعم")=0,$D146-0,ROUND($D146/COUNTIF($G146:$L146,"نعم"),2))),IF($F146="مبالغ متفق عليها",IF(G146="نعم",M146,0),"")))</f>
      </c>
      <c r="U146" s="151" t="str">
        <f>IF(COUNTIF($A146:$S146,"&lt;&gt;")=0,"",IF($F146="بالتساوي بين المشاركين",IF(H146&lt;&gt;"نعم",0,IF(COUNTIF($I146:$L146,"نعم")=0,$D146-SUM($T146:T146),ROUND($D146/COUNTIF($G146:$L146,"نعم"),2))),IF($F146="مبالغ متفق عليها",IF(H146="نعم",N146,0),"")))</f>
      </c>
      <c r="V146" s="151" t="str">
        <f>IF(COUNTIF($A146:$S146,"&lt;&gt;")=0,"",IF($F146="بالتساوي بين المشاركين",IF(I146&lt;&gt;"نعم",0,IF(COUNTIF($J146:$L146,"نعم")=0,$D146-SUM($T146:U146),ROUND($D146/COUNTIF($G146:$L146,"نعم"),2))),IF($F146="مبالغ متفق عليها",IF(I146="نعم",O146,0),"")))</f>
      </c>
      <c r="W146" s="151" t="str">
        <f>IF(COUNTIF($A146:$S146,"&lt;&gt;")=0,"",IF($F146="بالتساوي بين المشاركين",IF(J146&lt;&gt;"نعم",0,IF(COUNTIF($K146:$L146,"نعم")=0,$D146-SUM($T146:V146),ROUND($D146/COUNTIF($G146:$L146,"نعم"),2))),IF($F146="مبالغ متفق عليها",IF(J146="نعم",P146,0),"")))</f>
      </c>
      <c r="X146" s="151" t="str">
        <f>IF(COUNTIF($A146:$S146,"&lt;&gt;")=0,"",IF($F146="بالتساوي بين المشاركين",IF(K146&lt;&gt;"نعم",0,IF(COUNTIF($L146:$L146,"نعم")=0,$D146-SUM($T146:W146),ROUND($D146/COUNTIF($G146:$L146,"نعم"),2))),IF($F146="مبالغ متفق عليها",IF(K146="نعم",Q146,0),"")))</f>
      </c>
      <c r="Y146" s="151" t="str">
        <f>IF(COUNTIF($A146:$S146,"&lt;&gt;")=0,"",IF($F146="بالتساوي بين المشاركين",IF(L146&lt;&gt;"نعم",0,IF(0=0,$D146-SUM($T146:X146),ROUND($D146/COUNTIF($G146:$L146,"نعم"),2))),IF($F146="مبالغ متفق عليها",IF(L146="نعم",R146,0),"")))</f>
      </c>
      <c r="Z146" s="165" t="str">
        <f>IF(COUNTIF($A146:$S146,"&lt;&gt;")=0,"",IF(OR($D146="",$D146&lt;=0),"أدخل مبلغًا أكبر من صفر.",IF($E146="","اختر الشخص الذي دفع المبلغ.",IF(COUNTIF($G146:$L146,"نعم")=0,"حدد شخصًا واحدًا على الأقل للمشاركة في المصروف.",IF($F146="بالتساوي بين المشاركين","جاهز",IF($F146="مبالغ متفق عليها",IF(OR(AND(G146="نعم",M146=""),AND(H146="نعم",N146=""),AND(I146="نعم",O146=""),AND(J146="نعم",P146=""),AND(K146="نعم",Q146=""),AND(L146="نعم",R146="")),"أدخل المبالغ المتفق عليها بحيث يساوي مجموعها مبلغ المصروف.",IF(ABS(SUM($M146:$R146))&lt;0.005,"أدخل المبالغ المتفق عليها بحيث يساوي مجموعها مبلغ المصروف.",IF(SUM($M146:$R146)&lt;$D146-0.005,"يتبقى للتوزيع: "&amp;ROUND($D146-SUM($M146:$R146),2)&amp;".",IF(SUM($M146:$R146)&gt;$D146+0.005,"يزيد مجموع الحصص على المصروف بمقدار "&amp;ROUND(SUM($M146:$R146)-$D146,2)&amp;".","جاهز")))),"أدخل المبالغ المتفق عليها بحيث يساوي مجموعها مبلغ المصروف."))))))</f>
      </c>
    </row>
    <row r="147">
      <c r="A147" s="149"/>
      <c r="B147" s="138"/>
      <c r="C147" s="138"/>
      <c r="D147" s="150"/>
      <c r="E147" s="138"/>
      <c r="F147" s="138"/>
      <c r="G147" s="138"/>
      <c r="H147" s="138"/>
      <c r="I147" s="138"/>
      <c r="J147" s="138"/>
      <c r="K147" s="138"/>
      <c r="L147" s="138"/>
      <c r="M147" s="150"/>
      <c r="N147" s="150"/>
      <c r="O147" s="150"/>
      <c r="P147" s="150"/>
      <c r="Q147" s="150"/>
      <c r="R147" s="150"/>
      <c r="S147" s="138"/>
      <c r="T147" s="151" t="str">
        <f>IF(COUNTIF($A147:$S147,"&lt;&gt;")=0,"",IF($F147="بالتساوي بين المشاركين",IF(G147&lt;&gt;"نعم",0,IF(COUNTIF($H147:$L147,"نعم")=0,$D147-0,ROUND($D147/COUNTIF($G147:$L147,"نعم"),2))),IF($F147="مبالغ متفق عليها",IF(G147="نعم",M147,0),"")))</f>
      </c>
      <c r="U147" s="151" t="str">
        <f>IF(COUNTIF($A147:$S147,"&lt;&gt;")=0,"",IF($F147="بالتساوي بين المشاركين",IF(H147&lt;&gt;"نعم",0,IF(COUNTIF($I147:$L147,"نعم")=0,$D147-SUM($T147:T147),ROUND($D147/COUNTIF($G147:$L147,"نعم"),2))),IF($F147="مبالغ متفق عليها",IF(H147="نعم",N147,0),"")))</f>
      </c>
      <c r="V147" s="151" t="str">
        <f>IF(COUNTIF($A147:$S147,"&lt;&gt;")=0,"",IF($F147="بالتساوي بين المشاركين",IF(I147&lt;&gt;"نعم",0,IF(COUNTIF($J147:$L147,"نعم")=0,$D147-SUM($T147:U147),ROUND($D147/COUNTIF($G147:$L147,"نعم"),2))),IF($F147="مبالغ متفق عليها",IF(I147="نعم",O147,0),"")))</f>
      </c>
      <c r="W147" s="151" t="str">
        <f>IF(COUNTIF($A147:$S147,"&lt;&gt;")=0,"",IF($F147="بالتساوي بين المشاركين",IF(J147&lt;&gt;"نعم",0,IF(COUNTIF($K147:$L147,"نعم")=0,$D147-SUM($T147:V147),ROUND($D147/COUNTIF($G147:$L147,"نعم"),2))),IF($F147="مبالغ متفق عليها",IF(J147="نعم",P147,0),"")))</f>
      </c>
      <c r="X147" s="151" t="str">
        <f>IF(COUNTIF($A147:$S147,"&lt;&gt;")=0,"",IF($F147="بالتساوي بين المشاركين",IF(K147&lt;&gt;"نعم",0,IF(COUNTIF($L147:$L147,"نعم")=0,$D147-SUM($T147:W147),ROUND($D147/COUNTIF($G147:$L147,"نعم"),2))),IF($F147="مبالغ متفق عليها",IF(K147="نعم",Q147,0),"")))</f>
      </c>
      <c r="Y147" s="151" t="str">
        <f>IF(COUNTIF($A147:$S147,"&lt;&gt;")=0,"",IF($F147="بالتساوي بين المشاركين",IF(L147&lt;&gt;"نعم",0,IF(0=0,$D147-SUM($T147:X147),ROUND($D147/COUNTIF($G147:$L147,"نعم"),2))),IF($F147="مبالغ متفق عليها",IF(L147="نعم",R147,0),"")))</f>
      </c>
      <c r="Z147" s="165" t="str">
        <f>IF(COUNTIF($A147:$S147,"&lt;&gt;")=0,"",IF(OR($D147="",$D147&lt;=0),"أدخل مبلغًا أكبر من صفر.",IF($E147="","اختر الشخص الذي دفع المبلغ.",IF(COUNTIF($G147:$L147,"نعم")=0,"حدد شخصًا واحدًا على الأقل للمشاركة في المصروف.",IF($F147="بالتساوي بين المشاركين","جاهز",IF($F147="مبالغ متفق عليها",IF(OR(AND(G147="نعم",M147=""),AND(H147="نعم",N147=""),AND(I147="نعم",O147=""),AND(J147="نعم",P147=""),AND(K147="نعم",Q147=""),AND(L147="نعم",R147="")),"أدخل المبالغ المتفق عليها بحيث يساوي مجموعها مبلغ المصروف.",IF(ABS(SUM($M147:$R147))&lt;0.005,"أدخل المبالغ المتفق عليها بحيث يساوي مجموعها مبلغ المصروف.",IF(SUM($M147:$R147)&lt;$D147-0.005,"يتبقى للتوزيع: "&amp;ROUND($D147-SUM($M147:$R147),2)&amp;".",IF(SUM($M147:$R147)&gt;$D147+0.005,"يزيد مجموع الحصص على المصروف بمقدار "&amp;ROUND(SUM($M147:$R147)-$D147,2)&amp;".","جاهز")))),"أدخل المبالغ المتفق عليها بحيث يساوي مجموعها مبلغ المصروف."))))))</f>
      </c>
    </row>
    <row r="148">
      <c r="A148" s="149"/>
      <c r="B148" s="138"/>
      <c r="C148" s="138"/>
      <c r="D148" s="150"/>
      <c r="E148" s="138"/>
      <c r="F148" s="138"/>
      <c r="G148" s="138"/>
      <c r="H148" s="138"/>
      <c r="I148" s="138"/>
      <c r="J148" s="138"/>
      <c r="K148" s="138"/>
      <c r="L148" s="138"/>
      <c r="M148" s="150"/>
      <c r="N148" s="150"/>
      <c r="O148" s="150"/>
      <c r="P148" s="150"/>
      <c r="Q148" s="150"/>
      <c r="R148" s="150"/>
      <c r="S148" s="138"/>
      <c r="T148" s="151" t="str">
        <f>IF(COUNTIF($A148:$S148,"&lt;&gt;")=0,"",IF($F148="بالتساوي بين المشاركين",IF(G148&lt;&gt;"نعم",0,IF(COUNTIF($H148:$L148,"نعم")=0,$D148-0,ROUND($D148/COUNTIF($G148:$L148,"نعم"),2))),IF($F148="مبالغ متفق عليها",IF(G148="نعم",M148,0),"")))</f>
      </c>
      <c r="U148" s="151" t="str">
        <f>IF(COUNTIF($A148:$S148,"&lt;&gt;")=0,"",IF($F148="بالتساوي بين المشاركين",IF(H148&lt;&gt;"نعم",0,IF(COUNTIF($I148:$L148,"نعم")=0,$D148-SUM($T148:T148),ROUND($D148/COUNTIF($G148:$L148,"نعم"),2))),IF($F148="مبالغ متفق عليها",IF(H148="نعم",N148,0),"")))</f>
      </c>
      <c r="V148" s="151" t="str">
        <f>IF(COUNTIF($A148:$S148,"&lt;&gt;")=0,"",IF($F148="بالتساوي بين المشاركين",IF(I148&lt;&gt;"نعم",0,IF(COUNTIF($J148:$L148,"نعم")=0,$D148-SUM($T148:U148),ROUND($D148/COUNTIF($G148:$L148,"نعم"),2))),IF($F148="مبالغ متفق عليها",IF(I148="نعم",O148,0),"")))</f>
      </c>
      <c r="W148" s="151" t="str">
        <f>IF(COUNTIF($A148:$S148,"&lt;&gt;")=0,"",IF($F148="بالتساوي بين المشاركين",IF(J148&lt;&gt;"نعم",0,IF(COUNTIF($K148:$L148,"نعم")=0,$D148-SUM($T148:V148),ROUND($D148/COUNTIF($G148:$L148,"نعم"),2))),IF($F148="مبالغ متفق عليها",IF(J148="نعم",P148,0),"")))</f>
      </c>
      <c r="X148" s="151" t="str">
        <f>IF(COUNTIF($A148:$S148,"&lt;&gt;")=0,"",IF($F148="بالتساوي بين المشاركين",IF(K148&lt;&gt;"نعم",0,IF(COUNTIF($L148:$L148,"نعم")=0,$D148-SUM($T148:W148),ROUND($D148/COUNTIF($G148:$L148,"نعم"),2))),IF($F148="مبالغ متفق عليها",IF(K148="نعم",Q148,0),"")))</f>
      </c>
      <c r="Y148" s="151" t="str">
        <f>IF(COUNTIF($A148:$S148,"&lt;&gt;")=0,"",IF($F148="بالتساوي بين المشاركين",IF(L148&lt;&gt;"نعم",0,IF(0=0,$D148-SUM($T148:X148),ROUND($D148/COUNTIF($G148:$L148,"نعم"),2))),IF($F148="مبالغ متفق عليها",IF(L148="نعم",R148,0),"")))</f>
      </c>
      <c r="Z148" s="165" t="str">
        <f>IF(COUNTIF($A148:$S148,"&lt;&gt;")=0,"",IF(OR($D148="",$D148&lt;=0),"أدخل مبلغًا أكبر من صفر.",IF($E148="","اختر الشخص الذي دفع المبلغ.",IF(COUNTIF($G148:$L148,"نعم")=0,"حدد شخصًا واحدًا على الأقل للمشاركة في المصروف.",IF($F148="بالتساوي بين المشاركين","جاهز",IF($F148="مبالغ متفق عليها",IF(OR(AND(G148="نعم",M148=""),AND(H148="نعم",N148=""),AND(I148="نعم",O148=""),AND(J148="نعم",P148=""),AND(K148="نعم",Q148=""),AND(L148="نعم",R148="")),"أدخل المبالغ المتفق عليها بحيث يساوي مجموعها مبلغ المصروف.",IF(ABS(SUM($M148:$R148))&lt;0.005,"أدخل المبالغ المتفق عليها بحيث يساوي مجموعها مبلغ المصروف.",IF(SUM($M148:$R148)&lt;$D148-0.005,"يتبقى للتوزيع: "&amp;ROUND($D148-SUM($M148:$R148),2)&amp;".",IF(SUM($M148:$R148)&gt;$D148+0.005,"يزيد مجموع الحصص على المصروف بمقدار "&amp;ROUND(SUM($M148:$R148)-$D148,2)&amp;".","جاهز")))),"أدخل المبالغ المتفق عليها بحيث يساوي مجموعها مبلغ المصروف."))))))</f>
      </c>
    </row>
    <row r="149">
      <c r="A149" s="149"/>
      <c r="B149" s="138"/>
      <c r="C149" s="138"/>
      <c r="D149" s="150"/>
      <c r="E149" s="138"/>
      <c r="F149" s="138"/>
      <c r="G149" s="138"/>
      <c r="H149" s="138"/>
      <c r="I149" s="138"/>
      <c r="J149" s="138"/>
      <c r="K149" s="138"/>
      <c r="L149" s="138"/>
      <c r="M149" s="150"/>
      <c r="N149" s="150"/>
      <c r="O149" s="150"/>
      <c r="P149" s="150"/>
      <c r="Q149" s="150"/>
      <c r="R149" s="150"/>
      <c r="S149" s="138"/>
      <c r="T149" s="151" t="str">
        <f>IF(COUNTIF($A149:$S149,"&lt;&gt;")=0,"",IF($F149="بالتساوي بين المشاركين",IF(G149&lt;&gt;"نعم",0,IF(COUNTIF($H149:$L149,"نعم")=0,$D149-0,ROUND($D149/COUNTIF($G149:$L149,"نعم"),2))),IF($F149="مبالغ متفق عليها",IF(G149="نعم",M149,0),"")))</f>
      </c>
      <c r="U149" s="151" t="str">
        <f>IF(COUNTIF($A149:$S149,"&lt;&gt;")=0,"",IF($F149="بالتساوي بين المشاركين",IF(H149&lt;&gt;"نعم",0,IF(COUNTIF($I149:$L149,"نعم")=0,$D149-SUM($T149:T149),ROUND($D149/COUNTIF($G149:$L149,"نعم"),2))),IF($F149="مبالغ متفق عليها",IF(H149="نعم",N149,0),"")))</f>
      </c>
      <c r="V149" s="151" t="str">
        <f>IF(COUNTIF($A149:$S149,"&lt;&gt;")=0,"",IF($F149="بالتساوي بين المشاركين",IF(I149&lt;&gt;"نعم",0,IF(COUNTIF($J149:$L149,"نعم")=0,$D149-SUM($T149:U149),ROUND($D149/COUNTIF($G149:$L149,"نعم"),2))),IF($F149="مبالغ متفق عليها",IF(I149="نعم",O149,0),"")))</f>
      </c>
      <c r="W149" s="151" t="str">
        <f>IF(COUNTIF($A149:$S149,"&lt;&gt;")=0,"",IF($F149="بالتساوي بين المشاركين",IF(J149&lt;&gt;"نعم",0,IF(COUNTIF($K149:$L149,"نعم")=0,$D149-SUM($T149:V149),ROUND($D149/COUNTIF($G149:$L149,"نعم"),2))),IF($F149="مبالغ متفق عليها",IF(J149="نعم",P149,0),"")))</f>
      </c>
      <c r="X149" s="151" t="str">
        <f>IF(COUNTIF($A149:$S149,"&lt;&gt;")=0,"",IF($F149="بالتساوي بين المشاركين",IF(K149&lt;&gt;"نعم",0,IF(COUNTIF($L149:$L149,"نعم")=0,$D149-SUM($T149:W149),ROUND($D149/COUNTIF($G149:$L149,"نعم"),2))),IF($F149="مبالغ متفق عليها",IF(K149="نعم",Q149,0),"")))</f>
      </c>
      <c r="Y149" s="151" t="str">
        <f>IF(COUNTIF($A149:$S149,"&lt;&gt;")=0,"",IF($F149="بالتساوي بين المشاركين",IF(L149&lt;&gt;"نعم",0,IF(0=0,$D149-SUM($T149:X149),ROUND($D149/COUNTIF($G149:$L149,"نعم"),2))),IF($F149="مبالغ متفق عليها",IF(L149="نعم",R149,0),"")))</f>
      </c>
      <c r="Z149" s="165" t="str">
        <f>IF(COUNTIF($A149:$S149,"&lt;&gt;")=0,"",IF(OR($D149="",$D149&lt;=0),"أدخل مبلغًا أكبر من صفر.",IF($E149="","اختر الشخص الذي دفع المبلغ.",IF(COUNTIF($G149:$L149,"نعم")=0,"حدد شخصًا واحدًا على الأقل للمشاركة في المصروف.",IF($F149="بالتساوي بين المشاركين","جاهز",IF($F149="مبالغ متفق عليها",IF(OR(AND(G149="نعم",M149=""),AND(H149="نعم",N149=""),AND(I149="نعم",O149=""),AND(J149="نعم",P149=""),AND(K149="نعم",Q149=""),AND(L149="نعم",R149="")),"أدخل المبالغ المتفق عليها بحيث يساوي مجموعها مبلغ المصروف.",IF(ABS(SUM($M149:$R149))&lt;0.005,"أدخل المبالغ المتفق عليها بحيث يساوي مجموعها مبلغ المصروف.",IF(SUM($M149:$R149)&lt;$D149-0.005,"يتبقى للتوزيع: "&amp;ROUND($D149-SUM($M149:$R149),2)&amp;".",IF(SUM($M149:$R149)&gt;$D149+0.005,"يزيد مجموع الحصص على المصروف بمقدار "&amp;ROUND(SUM($M149:$R149)-$D149,2)&amp;".","جاهز")))),"أدخل المبالغ المتفق عليها بحيث يساوي مجموعها مبلغ المصروف."))))))</f>
      </c>
    </row>
    <row r="150">
      <c r="A150" s="149"/>
      <c r="B150" s="138"/>
      <c r="C150" s="138"/>
      <c r="D150" s="150"/>
      <c r="E150" s="138"/>
      <c r="F150" s="138"/>
      <c r="G150" s="138"/>
      <c r="H150" s="138"/>
      <c r="I150" s="138"/>
      <c r="J150" s="138"/>
      <c r="K150" s="138"/>
      <c r="L150" s="138"/>
      <c r="M150" s="150"/>
      <c r="N150" s="150"/>
      <c r="O150" s="150"/>
      <c r="P150" s="150"/>
      <c r="Q150" s="150"/>
      <c r="R150" s="150"/>
      <c r="S150" s="138"/>
      <c r="T150" s="151" t="str">
        <f>IF(COUNTIF($A150:$S150,"&lt;&gt;")=0,"",IF($F150="بالتساوي بين المشاركين",IF(G150&lt;&gt;"نعم",0,IF(COUNTIF($H150:$L150,"نعم")=0,$D150-0,ROUND($D150/COUNTIF($G150:$L150,"نعم"),2))),IF($F150="مبالغ متفق عليها",IF(G150="نعم",M150,0),"")))</f>
      </c>
      <c r="U150" s="151" t="str">
        <f>IF(COUNTIF($A150:$S150,"&lt;&gt;")=0,"",IF($F150="بالتساوي بين المشاركين",IF(H150&lt;&gt;"نعم",0,IF(COUNTIF($I150:$L150,"نعم")=0,$D150-SUM($T150:T150),ROUND($D150/COUNTIF($G150:$L150,"نعم"),2))),IF($F150="مبالغ متفق عليها",IF(H150="نعم",N150,0),"")))</f>
      </c>
      <c r="V150" s="151" t="str">
        <f>IF(COUNTIF($A150:$S150,"&lt;&gt;")=0,"",IF($F150="بالتساوي بين المشاركين",IF(I150&lt;&gt;"نعم",0,IF(COUNTIF($J150:$L150,"نعم")=0,$D150-SUM($T150:U150),ROUND($D150/COUNTIF($G150:$L150,"نعم"),2))),IF($F150="مبالغ متفق عليها",IF(I150="نعم",O150,0),"")))</f>
      </c>
      <c r="W150" s="151" t="str">
        <f>IF(COUNTIF($A150:$S150,"&lt;&gt;")=0,"",IF($F150="بالتساوي بين المشاركين",IF(J150&lt;&gt;"نعم",0,IF(COUNTIF($K150:$L150,"نعم")=0,$D150-SUM($T150:V150),ROUND($D150/COUNTIF($G150:$L150,"نعم"),2))),IF($F150="مبالغ متفق عليها",IF(J150="نعم",P150,0),"")))</f>
      </c>
      <c r="X150" s="151" t="str">
        <f>IF(COUNTIF($A150:$S150,"&lt;&gt;")=0,"",IF($F150="بالتساوي بين المشاركين",IF(K150&lt;&gt;"نعم",0,IF(COUNTIF($L150:$L150,"نعم")=0,$D150-SUM($T150:W150),ROUND($D150/COUNTIF($G150:$L150,"نعم"),2))),IF($F150="مبالغ متفق عليها",IF(K150="نعم",Q150,0),"")))</f>
      </c>
      <c r="Y150" s="151" t="str">
        <f>IF(COUNTIF($A150:$S150,"&lt;&gt;")=0,"",IF($F150="بالتساوي بين المشاركين",IF(L150&lt;&gt;"نعم",0,IF(0=0,$D150-SUM($T150:X150),ROUND($D150/COUNTIF($G150:$L150,"نعم"),2))),IF($F150="مبالغ متفق عليها",IF(L150="نعم",R150,0),"")))</f>
      </c>
      <c r="Z150" s="165" t="str">
        <f>IF(COUNTIF($A150:$S150,"&lt;&gt;")=0,"",IF(OR($D150="",$D150&lt;=0),"أدخل مبلغًا أكبر من صفر.",IF($E150="","اختر الشخص الذي دفع المبلغ.",IF(COUNTIF($G150:$L150,"نعم")=0,"حدد شخصًا واحدًا على الأقل للمشاركة في المصروف.",IF($F150="بالتساوي بين المشاركين","جاهز",IF($F150="مبالغ متفق عليها",IF(OR(AND(G150="نعم",M150=""),AND(H150="نعم",N150=""),AND(I150="نعم",O150=""),AND(J150="نعم",P150=""),AND(K150="نعم",Q150=""),AND(L150="نعم",R150="")),"أدخل المبالغ المتفق عليها بحيث يساوي مجموعها مبلغ المصروف.",IF(ABS(SUM($M150:$R150))&lt;0.005,"أدخل المبالغ المتفق عليها بحيث يساوي مجموعها مبلغ المصروف.",IF(SUM($M150:$R150)&lt;$D150-0.005,"يتبقى للتوزيع: "&amp;ROUND($D150-SUM($M150:$R150),2)&amp;".",IF(SUM($M150:$R150)&gt;$D150+0.005,"يزيد مجموع الحصص على المصروف بمقدار "&amp;ROUND(SUM($M150:$R150)-$D150,2)&amp;".","جاهز")))),"أدخل المبالغ المتفق عليها بحيث يساوي مجموعها مبلغ المصروف."))))))</f>
      </c>
    </row>
    <row r="151">
      <c r="A151" s="149"/>
      <c r="B151" s="138"/>
      <c r="C151" s="138"/>
      <c r="D151" s="150"/>
      <c r="E151" s="138"/>
      <c r="F151" s="138"/>
      <c r="G151" s="138"/>
      <c r="H151" s="138"/>
      <c r="I151" s="138"/>
      <c r="J151" s="138"/>
      <c r="K151" s="138"/>
      <c r="L151" s="138"/>
      <c r="M151" s="150"/>
      <c r="N151" s="150"/>
      <c r="O151" s="150"/>
      <c r="P151" s="150"/>
      <c r="Q151" s="150"/>
      <c r="R151" s="150"/>
      <c r="S151" s="138"/>
      <c r="T151" s="151" t="str">
        <f>IF(COUNTIF($A151:$S151,"&lt;&gt;")=0,"",IF($F151="بالتساوي بين المشاركين",IF(G151&lt;&gt;"نعم",0,IF(COUNTIF($H151:$L151,"نعم")=0,$D151-0,ROUND($D151/COUNTIF($G151:$L151,"نعم"),2))),IF($F151="مبالغ متفق عليها",IF(G151="نعم",M151,0),"")))</f>
      </c>
      <c r="U151" s="151" t="str">
        <f>IF(COUNTIF($A151:$S151,"&lt;&gt;")=0,"",IF($F151="بالتساوي بين المشاركين",IF(H151&lt;&gt;"نعم",0,IF(COUNTIF($I151:$L151,"نعم")=0,$D151-SUM($T151:T151),ROUND($D151/COUNTIF($G151:$L151,"نعم"),2))),IF($F151="مبالغ متفق عليها",IF(H151="نعم",N151,0),"")))</f>
      </c>
      <c r="V151" s="151" t="str">
        <f>IF(COUNTIF($A151:$S151,"&lt;&gt;")=0,"",IF($F151="بالتساوي بين المشاركين",IF(I151&lt;&gt;"نعم",0,IF(COUNTIF($J151:$L151,"نعم")=0,$D151-SUM($T151:U151),ROUND($D151/COUNTIF($G151:$L151,"نعم"),2))),IF($F151="مبالغ متفق عليها",IF(I151="نعم",O151,0),"")))</f>
      </c>
      <c r="W151" s="151" t="str">
        <f>IF(COUNTIF($A151:$S151,"&lt;&gt;")=0,"",IF($F151="بالتساوي بين المشاركين",IF(J151&lt;&gt;"نعم",0,IF(COUNTIF($K151:$L151,"نعم")=0,$D151-SUM($T151:V151),ROUND($D151/COUNTIF($G151:$L151,"نعم"),2))),IF($F151="مبالغ متفق عليها",IF(J151="نعم",P151,0),"")))</f>
      </c>
      <c r="X151" s="151" t="str">
        <f>IF(COUNTIF($A151:$S151,"&lt;&gt;")=0,"",IF($F151="بالتساوي بين المشاركين",IF(K151&lt;&gt;"نعم",0,IF(COUNTIF($L151:$L151,"نعم")=0,$D151-SUM($T151:W151),ROUND($D151/COUNTIF($G151:$L151,"نعم"),2))),IF($F151="مبالغ متفق عليها",IF(K151="نعم",Q151,0),"")))</f>
      </c>
      <c r="Y151" s="151" t="str">
        <f>IF(COUNTIF($A151:$S151,"&lt;&gt;")=0,"",IF($F151="بالتساوي بين المشاركين",IF(L151&lt;&gt;"نعم",0,IF(0=0,$D151-SUM($T151:X151),ROUND($D151/COUNTIF($G151:$L151,"نعم"),2))),IF($F151="مبالغ متفق عليها",IF(L151="نعم",R151,0),"")))</f>
      </c>
      <c r="Z151" s="165" t="str">
        <f>IF(COUNTIF($A151:$S151,"&lt;&gt;")=0,"",IF(OR($D151="",$D151&lt;=0),"أدخل مبلغًا أكبر من صفر.",IF($E151="","اختر الشخص الذي دفع المبلغ.",IF(COUNTIF($G151:$L151,"نعم")=0,"حدد شخصًا واحدًا على الأقل للمشاركة في المصروف.",IF($F151="بالتساوي بين المشاركين","جاهز",IF($F151="مبالغ متفق عليها",IF(OR(AND(G151="نعم",M151=""),AND(H151="نعم",N151=""),AND(I151="نعم",O151=""),AND(J151="نعم",P151=""),AND(K151="نعم",Q151=""),AND(L151="نعم",R151="")),"أدخل المبالغ المتفق عليها بحيث يساوي مجموعها مبلغ المصروف.",IF(ABS(SUM($M151:$R151))&lt;0.005,"أدخل المبالغ المتفق عليها بحيث يساوي مجموعها مبلغ المصروف.",IF(SUM($M151:$R151)&lt;$D151-0.005,"يتبقى للتوزيع: "&amp;ROUND($D151-SUM($M151:$R151),2)&amp;".",IF(SUM($M151:$R151)&gt;$D151+0.005,"يزيد مجموع الحصص على المصروف بمقدار "&amp;ROUND(SUM($M151:$R151)-$D151,2)&amp;".","جاهز")))),"أدخل المبالغ المتفق عليها بحيث يساوي مجموعها مبلغ المصروف."))))))</f>
      </c>
    </row>
    <row r="152">
      <c r="A152" s="149"/>
      <c r="B152" s="138"/>
      <c r="C152" s="138"/>
      <c r="D152" s="150"/>
      <c r="E152" s="138"/>
      <c r="F152" s="138"/>
      <c r="G152" s="138"/>
      <c r="H152" s="138"/>
      <c r="I152" s="138"/>
      <c r="J152" s="138"/>
      <c r="K152" s="138"/>
      <c r="L152" s="138"/>
      <c r="M152" s="150"/>
      <c r="N152" s="150"/>
      <c r="O152" s="150"/>
      <c r="P152" s="150"/>
      <c r="Q152" s="150"/>
      <c r="R152" s="150"/>
      <c r="S152" s="138"/>
      <c r="T152" s="151" t="str">
        <f>IF(COUNTIF($A152:$S152,"&lt;&gt;")=0,"",IF($F152="بالتساوي بين المشاركين",IF(G152&lt;&gt;"نعم",0,IF(COUNTIF($H152:$L152,"نعم")=0,$D152-0,ROUND($D152/COUNTIF($G152:$L152,"نعم"),2))),IF($F152="مبالغ متفق عليها",IF(G152="نعم",M152,0),"")))</f>
      </c>
      <c r="U152" s="151" t="str">
        <f>IF(COUNTIF($A152:$S152,"&lt;&gt;")=0,"",IF($F152="بالتساوي بين المشاركين",IF(H152&lt;&gt;"نعم",0,IF(COUNTIF($I152:$L152,"نعم")=0,$D152-SUM($T152:T152),ROUND($D152/COUNTIF($G152:$L152,"نعم"),2))),IF($F152="مبالغ متفق عليها",IF(H152="نعم",N152,0),"")))</f>
      </c>
      <c r="V152" s="151" t="str">
        <f>IF(COUNTIF($A152:$S152,"&lt;&gt;")=0,"",IF($F152="بالتساوي بين المشاركين",IF(I152&lt;&gt;"نعم",0,IF(COUNTIF($J152:$L152,"نعم")=0,$D152-SUM($T152:U152),ROUND($D152/COUNTIF($G152:$L152,"نعم"),2))),IF($F152="مبالغ متفق عليها",IF(I152="نعم",O152,0),"")))</f>
      </c>
      <c r="W152" s="151" t="str">
        <f>IF(COUNTIF($A152:$S152,"&lt;&gt;")=0,"",IF($F152="بالتساوي بين المشاركين",IF(J152&lt;&gt;"نعم",0,IF(COUNTIF($K152:$L152,"نعم")=0,$D152-SUM($T152:V152),ROUND($D152/COUNTIF($G152:$L152,"نعم"),2))),IF($F152="مبالغ متفق عليها",IF(J152="نعم",P152,0),"")))</f>
      </c>
      <c r="X152" s="151" t="str">
        <f>IF(COUNTIF($A152:$S152,"&lt;&gt;")=0,"",IF($F152="بالتساوي بين المشاركين",IF(K152&lt;&gt;"نعم",0,IF(COUNTIF($L152:$L152,"نعم")=0,$D152-SUM($T152:W152),ROUND($D152/COUNTIF($G152:$L152,"نعم"),2))),IF($F152="مبالغ متفق عليها",IF(K152="نعم",Q152,0),"")))</f>
      </c>
      <c r="Y152" s="151" t="str">
        <f>IF(COUNTIF($A152:$S152,"&lt;&gt;")=0,"",IF($F152="بالتساوي بين المشاركين",IF(L152&lt;&gt;"نعم",0,IF(0=0,$D152-SUM($T152:X152),ROUND($D152/COUNTIF($G152:$L152,"نعم"),2))),IF($F152="مبالغ متفق عليها",IF(L152="نعم",R152,0),"")))</f>
      </c>
      <c r="Z152" s="165" t="str">
        <f>IF(COUNTIF($A152:$S152,"&lt;&gt;")=0,"",IF(OR($D152="",$D152&lt;=0),"أدخل مبلغًا أكبر من صفر.",IF($E152="","اختر الشخص الذي دفع المبلغ.",IF(COUNTIF($G152:$L152,"نعم")=0,"حدد شخصًا واحدًا على الأقل للمشاركة في المصروف.",IF($F152="بالتساوي بين المشاركين","جاهز",IF($F152="مبالغ متفق عليها",IF(OR(AND(G152="نعم",M152=""),AND(H152="نعم",N152=""),AND(I152="نعم",O152=""),AND(J152="نعم",P152=""),AND(K152="نعم",Q152=""),AND(L152="نعم",R152="")),"أدخل المبالغ المتفق عليها بحيث يساوي مجموعها مبلغ المصروف.",IF(ABS(SUM($M152:$R152))&lt;0.005,"أدخل المبالغ المتفق عليها بحيث يساوي مجموعها مبلغ المصروف.",IF(SUM($M152:$R152)&lt;$D152-0.005,"يتبقى للتوزيع: "&amp;ROUND($D152-SUM($M152:$R152),2)&amp;".",IF(SUM($M152:$R152)&gt;$D152+0.005,"يزيد مجموع الحصص على المصروف بمقدار "&amp;ROUND(SUM($M152:$R152)-$D152,2)&amp;".","جاهز")))),"أدخل المبالغ المتفق عليها بحيث يساوي مجموعها مبلغ المصروف."))))))</f>
      </c>
    </row>
    <row r="153">
      <c r="A153" s="149"/>
      <c r="B153" s="138"/>
      <c r="C153" s="138"/>
      <c r="D153" s="150"/>
      <c r="E153" s="138"/>
      <c r="F153" s="138"/>
      <c r="G153" s="138"/>
      <c r="H153" s="138"/>
      <c r="I153" s="138"/>
      <c r="J153" s="138"/>
      <c r="K153" s="138"/>
      <c r="L153" s="138"/>
      <c r="M153" s="150"/>
      <c r="N153" s="150"/>
      <c r="O153" s="150"/>
      <c r="P153" s="150"/>
      <c r="Q153" s="150"/>
      <c r="R153" s="150"/>
      <c r="S153" s="138"/>
      <c r="T153" s="151" t="str">
        <f>IF(COUNTIF($A153:$S153,"&lt;&gt;")=0,"",IF($F153="بالتساوي بين المشاركين",IF(G153&lt;&gt;"نعم",0,IF(COUNTIF($H153:$L153,"نعم")=0,$D153-0,ROUND($D153/COUNTIF($G153:$L153,"نعم"),2))),IF($F153="مبالغ متفق عليها",IF(G153="نعم",M153,0),"")))</f>
      </c>
      <c r="U153" s="151" t="str">
        <f>IF(COUNTIF($A153:$S153,"&lt;&gt;")=0,"",IF($F153="بالتساوي بين المشاركين",IF(H153&lt;&gt;"نعم",0,IF(COUNTIF($I153:$L153,"نعم")=0,$D153-SUM($T153:T153),ROUND($D153/COUNTIF($G153:$L153,"نعم"),2))),IF($F153="مبالغ متفق عليها",IF(H153="نعم",N153,0),"")))</f>
      </c>
      <c r="V153" s="151" t="str">
        <f>IF(COUNTIF($A153:$S153,"&lt;&gt;")=0,"",IF($F153="بالتساوي بين المشاركين",IF(I153&lt;&gt;"نعم",0,IF(COUNTIF($J153:$L153,"نعم")=0,$D153-SUM($T153:U153),ROUND($D153/COUNTIF($G153:$L153,"نعم"),2))),IF($F153="مبالغ متفق عليها",IF(I153="نعم",O153,0),"")))</f>
      </c>
      <c r="W153" s="151" t="str">
        <f>IF(COUNTIF($A153:$S153,"&lt;&gt;")=0,"",IF($F153="بالتساوي بين المشاركين",IF(J153&lt;&gt;"نعم",0,IF(COUNTIF($K153:$L153,"نعم")=0,$D153-SUM($T153:V153),ROUND($D153/COUNTIF($G153:$L153,"نعم"),2))),IF($F153="مبالغ متفق عليها",IF(J153="نعم",P153,0),"")))</f>
      </c>
      <c r="X153" s="151" t="str">
        <f>IF(COUNTIF($A153:$S153,"&lt;&gt;")=0,"",IF($F153="بالتساوي بين المشاركين",IF(K153&lt;&gt;"نعم",0,IF(COUNTIF($L153:$L153,"نعم")=0,$D153-SUM($T153:W153),ROUND($D153/COUNTIF($G153:$L153,"نعم"),2))),IF($F153="مبالغ متفق عليها",IF(K153="نعم",Q153,0),"")))</f>
      </c>
      <c r="Y153" s="151" t="str">
        <f>IF(COUNTIF($A153:$S153,"&lt;&gt;")=0,"",IF($F153="بالتساوي بين المشاركين",IF(L153&lt;&gt;"نعم",0,IF(0=0,$D153-SUM($T153:X153),ROUND($D153/COUNTIF($G153:$L153,"نعم"),2))),IF($F153="مبالغ متفق عليها",IF(L153="نعم",R153,0),"")))</f>
      </c>
      <c r="Z153" s="165" t="str">
        <f>IF(COUNTIF($A153:$S153,"&lt;&gt;")=0,"",IF(OR($D153="",$D153&lt;=0),"أدخل مبلغًا أكبر من صفر.",IF($E153="","اختر الشخص الذي دفع المبلغ.",IF(COUNTIF($G153:$L153,"نعم")=0,"حدد شخصًا واحدًا على الأقل للمشاركة في المصروف.",IF($F153="بالتساوي بين المشاركين","جاهز",IF($F153="مبالغ متفق عليها",IF(OR(AND(G153="نعم",M153=""),AND(H153="نعم",N153=""),AND(I153="نعم",O153=""),AND(J153="نعم",P153=""),AND(K153="نعم",Q153=""),AND(L153="نعم",R153="")),"أدخل المبالغ المتفق عليها بحيث يساوي مجموعها مبلغ المصروف.",IF(ABS(SUM($M153:$R153))&lt;0.005,"أدخل المبالغ المتفق عليها بحيث يساوي مجموعها مبلغ المصروف.",IF(SUM($M153:$R153)&lt;$D153-0.005,"يتبقى للتوزيع: "&amp;ROUND($D153-SUM($M153:$R153),2)&amp;".",IF(SUM($M153:$R153)&gt;$D153+0.005,"يزيد مجموع الحصص على المصروف بمقدار "&amp;ROUND(SUM($M153:$R153)-$D153,2)&amp;".","جاهز")))),"أدخل المبالغ المتفق عليها بحيث يساوي مجموعها مبلغ المصروف."))))))</f>
      </c>
    </row>
    <row r="154">
      <c r="A154" s="149"/>
      <c r="B154" s="138"/>
      <c r="C154" s="138"/>
      <c r="D154" s="150"/>
      <c r="E154" s="138"/>
      <c r="F154" s="138"/>
      <c r="G154" s="138"/>
      <c r="H154" s="138"/>
      <c r="I154" s="138"/>
      <c r="J154" s="138"/>
      <c r="K154" s="138"/>
      <c r="L154" s="138"/>
      <c r="M154" s="150"/>
      <c r="N154" s="150"/>
      <c r="O154" s="150"/>
      <c r="P154" s="150"/>
      <c r="Q154" s="150"/>
      <c r="R154" s="150"/>
      <c r="S154" s="138"/>
      <c r="T154" s="151" t="str">
        <f>IF(COUNTIF($A154:$S154,"&lt;&gt;")=0,"",IF($F154="بالتساوي بين المشاركين",IF(G154&lt;&gt;"نعم",0,IF(COUNTIF($H154:$L154,"نعم")=0,$D154-0,ROUND($D154/COUNTIF($G154:$L154,"نعم"),2))),IF($F154="مبالغ متفق عليها",IF(G154="نعم",M154,0),"")))</f>
      </c>
      <c r="U154" s="151" t="str">
        <f>IF(COUNTIF($A154:$S154,"&lt;&gt;")=0,"",IF($F154="بالتساوي بين المشاركين",IF(H154&lt;&gt;"نعم",0,IF(COUNTIF($I154:$L154,"نعم")=0,$D154-SUM($T154:T154),ROUND($D154/COUNTIF($G154:$L154,"نعم"),2))),IF($F154="مبالغ متفق عليها",IF(H154="نعم",N154,0),"")))</f>
      </c>
      <c r="V154" s="151" t="str">
        <f>IF(COUNTIF($A154:$S154,"&lt;&gt;")=0,"",IF($F154="بالتساوي بين المشاركين",IF(I154&lt;&gt;"نعم",0,IF(COUNTIF($J154:$L154,"نعم")=0,$D154-SUM($T154:U154),ROUND($D154/COUNTIF($G154:$L154,"نعم"),2))),IF($F154="مبالغ متفق عليها",IF(I154="نعم",O154,0),"")))</f>
      </c>
      <c r="W154" s="151" t="str">
        <f>IF(COUNTIF($A154:$S154,"&lt;&gt;")=0,"",IF($F154="بالتساوي بين المشاركين",IF(J154&lt;&gt;"نعم",0,IF(COUNTIF($K154:$L154,"نعم")=0,$D154-SUM($T154:V154),ROUND($D154/COUNTIF($G154:$L154,"نعم"),2))),IF($F154="مبالغ متفق عليها",IF(J154="نعم",P154,0),"")))</f>
      </c>
      <c r="X154" s="151" t="str">
        <f>IF(COUNTIF($A154:$S154,"&lt;&gt;")=0,"",IF($F154="بالتساوي بين المشاركين",IF(K154&lt;&gt;"نعم",0,IF(COUNTIF($L154:$L154,"نعم")=0,$D154-SUM($T154:W154),ROUND($D154/COUNTIF($G154:$L154,"نعم"),2))),IF($F154="مبالغ متفق عليها",IF(K154="نعم",Q154,0),"")))</f>
      </c>
      <c r="Y154" s="151" t="str">
        <f>IF(COUNTIF($A154:$S154,"&lt;&gt;")=0,"",IF($F154="بالتساوي بين المشاركين",IF(L154&lt;&gt;"نعم",0,IF(0=0,$D154-SUM($T154:X154),ROUND($D154/COUNTIF($G154:$L154,"نعم"),2))),IF($F154="مبالغ متفق عليها",IF(L154="نعم",R154,0),"")))</f>
      </c>
      <c r="Z154" s="165" t="str">
        <f>IF(COUNTIF($A154:$S154,"&lt;&gt;")=0,"",IF(OR($D154="",$D154&lt;=0),"أدخل مبلغًا أكبر من صفر.",IF($E154="","اختر الشخص الذي دفع المبلغ.",IF(COUNTIF($G154:$L154,"نعم")=0,"حدد شخصًا واحدًا على الأقل للمشاركة في المصروف.",IF($F154="بالتساوي بين المشاركين","جاهز",IF($F154="مبالغ متفق عليها",IF(OR(AND(G154="نعم",M154=""),AND(H154="نعم",N154=""),AND(I154="نعم",O154=""),AND(J154="نعم",P154=""),AND(K154="نعم",Q154=""),AND(L154="نعم",R154="")),"أدخل المبالغ المتفق عليها بحيث يساوي مجموعها مبلغ المصروف.",IF(ABS(SUM($M154:$R154))&lt;0.005,"أدخل المبالغ المتفق عليها بحيث يساوي مجموعها مبلغ المصروف.",IF(SUM($M154:$R154)&lt;$D154-0.005,"يتبقى للتوزيع: "&amp;ROUND($D154-SUM($M154:$R154),2)&amp;".",IF(SUM($M154:$R154)&gt;$D154+0.005,"يزيد مجموع الحصص على المصروف بمقدار "&amp;ROUND(SUM($M154:$R154)-$D154,2)&amp;".","جاهز")))),"أدخل المبالغ المتفق عليها بحيث يساوي مجموعها مبلغ المصروف."))))))</f>
      </c>
    </row>
    <row r="155">
      <c r="A155" s="149"/>
      <c r="B155" s="138"/>
      <c r="C155" s="138"/>
      <c r="D155" s="150"/>
      <c r="E155" s="138"/>
      <c r="F155" s="138"/>
      <c r="G155" s="138"/>
      <c r="H155" s="138"/>
      <c r="I155" s="138"/>
      <c r="J155" s="138"/>
      <c r="K155" s="138"/>
      <c r="L155" s="138"/>
      <c r="M155" s="150"/>
      <c r="N155" s="150"/>
      <c r="O155" s="150"/>
      <c r="P155" s="150"/>
      <c r="Q155" s="150"/>
      <c r="R155" s="150"/>
      <c r="S155" s="138"/>
      <c r="T155" s="151" t="str">
        <f>IF(COUNTIF($A155:$S155,"&lt;&gt;")=0,"",IF($F155="بالتساوي بين المشاركين",IF(G155&lt;&gt;"نعم",0,IF(COUNTIF($H155:$L155,"نعم")=0,$D155-0,ROUND($D155/COUNTIF($G155:$L155,"نعم"),2))),IF($F155="مبالغ متفق عليها",IF(G155="نعم",M155,0),"")))</f>
      </c>
      <c r="U155" s="151" t="str">
        <f>IF(COUNTIF($A155:$S155,"&lt;&gt;")=0,"",IF($F155="بالتساوي بين المشاركين",IF(H155&lt;&gt;"نعم",0,IF(COUNTIF($I155:$L155,"نعم")=0,$D155-SUM($T155:T155),ROUND($D155/COUNTIF($G155:$L155,"نعم"),2))),IF($F155="مبالغ متفق عليها",IF(H155="نعم",N155,0),"")))</f>
      </c>
      <c r="V155" s="151" t="str">
        <f>IF(COUNTIF($A155:$S155,"&lt;&gt;")=0,"",IF($F155="بالتساوي بين المشاركين",IF(I155&lt;&gt;"نعم",0,IF(COUNTIF($J155:$L155,"نعم")=0,$D155-SUM($T155:U155),ROUND($D155/COUNTIF($G155:$L155,"نعم"),2))),IF($F155="مبالغ متفق عليها",IF(I155="نعم",O155,0),"")))</f>
      </c>
      <c r="W155" s="151" t="str">
        <f>IF(COUNTIF($A155:$S155,"&lt;&gt;")=0,"",IF($F155="بالتساوي بين المشاركين",IF(J155&lt;&gt;"نعم",0,IF(COUNTIF($K155:$L155,"نعم")=0,$D155-SUM($T155:V155),ROUND($D155/COUNTIF($G155:$L155,"نعم"),2))),IF($F155="مبالغ متفق عليها",IF(J155="نعم",P155,0),"")))</f>
      </c>
      <c r="X155" s="151" t="str">
        <f>IF(COUNTIF($A155:$S155,"&lt;&gt;")=0,"",IF($F155="بالتساوي بين المشاركين",IF(K155&lt;&gt;"نعم",0,IF(COUNTIF($L155:$L155,"نعم")=0,$D155-SUM($T155:W155),ROUND($D155/COUNTIF($G155:$L155,"نعم"),2))),IF($F155="مبالغ متفق عليها",IF(K155="نعم",Q155,0),"")))</f>
      </c>
      <c r="Y155" s="151" t="str">
        <f>IF(COUNTIF($A155:$S155,"&lt;&gt;")=0,"",IF($F155="بالتساوي بين المشاركين",IF(L155&lt;&gt;"نعم",0,IF(0=0,$D155-SUM($T155:X155),ROUND($D155/COUNTIF($G155:$L155,"نعم"),2))),IF($F155="مبالغ متفق عليها",IF(L155="نعم",R155,0),"")))</f>
      </c>
      <c r="Z155" s="165" t="str">
        <f>IF(COUNTIF($A155:$S155,"&lt;&gt;")=0,"",IF(OR($D155="",$D155&lt;=0),"أدخل مبلغًا أكبر من صفر.",IF($E155="","اختر الشخص الذي دفع المبلغ.",IF(COUNTIF($G155:$L155,"نعم")=0,"حدد شخصًا واحدًا على الأقل للمشاركة في المصروف.",IF($F155="بالتساوي بين المشاركين","جاهز",IF($F155="مبالغ متفق عليها",IF(OR(AND(G155="نعم",M155=""),AND(H155="نعم",N155=""),AND(I155="نعم",O155=""),AND(J155="نعم",P155=""),AND(K155="نعم",Q155=""),AND(L155="نعم",R155="")),"أدخل المبالغ المتفق عليها بحيث يساوي مجموعها مبلغ المصروف.",IF(ABS(SUM($M155:$R155))&lt;0.005,"أدخل المبالغ المتفق عليها بحيث يساوي مجموعها مبلغ المصروف.",IF(SUM($M155:$R155)&lt;$D155-0.005,"يتبقى للتوزيع: "&amp;ROUND($D155-SUM($M155:$R155),2)&amp;".",IF(SUM($M155:$R155)&gt;$D155+0.005,"يزيد مجموع الحصص على المصروف بمقدار "&amp;ROUND(SUM($M155:$R155)-$D155,2)&amp;".","جاهز")))),"أدخل المبالغ المتفق عليها بحيث يساوي مجموعها مبلغ المصروف."))))))</f>
      </c>
    </row>
    <row r="156">
      <c r="A156" s="149"/>
      <c r="B156" s="138"/>
      <c r="C156" s="138"/>
      <c r="D156" s="150"/>
      <c r="E156" s="138"/>
      <c r="F156" s="138"/>
      <c r="G156" s="138"/>
      <c r="H156" s="138"/>
      <c r="I156" s="138"/>
      <c r="J156" s="138"/>
      <c r="K156" s="138"/>
      <c r="L156" s="138"/>
      <c r="M156" s="150"/>
      <c r="N156" s="150"/>
      <c r="O156" s="150"/>
      <c r="P156" s="150"/>
      <c r="Q156" s="150"/>
      <c r="R156" s="150"/>
      <c r="S156" s="138"/>
      <c r="T156" s="151" t="str">
        <f>IF(COUNTIF($A156:$S156,"&lt;&gt;")=0,"",IF($F156="بالتساوي بين المشاركين",IF(G156&lt;&gt;"نعم",0,IF(COUNTIF($H156:$L156,"نعم")=0,$D156-0,ROUND($D156/COUNTIF($G156:$L156,"نعم"),2))),IF($F156="مبالغ متفق عليها",IF(G156="نعم",M156,0),"")))</f>
      </c>
      <c r="U156" s="151" t="str">
        <f>IF(COUNTIF($A156:$S156,"&lt;&gt;")=0,"",IF($F156="بالتساوي بين المشاركين",IF(H156&lt;&gt;"نعم",0,IF(COUNTIF($I156:$L156,"نعم")=0,$D156-SUM($T156:T156),ROUND($D156/COUNTIF($G156:$L156,"نعم"),2))),IF($F156="مبالغ متفق عليها",IF(H156="نعم",N156,0),"")))</f>
      </c>
      <c r="V156" s="151" t="str">
        <f>IF(COUNTIF($A156:$S156,"&lt;&gt;")=0,"",IF($F156="بالتساوي بين المشاركين",IF(I156&lt;&gt;"نعم",0,IF(COUNTIF($J156:$L156,"نعم")=0,$D156-SUM($T156:U156),ROUND($D156/COUNTIF($G156:$L156,"نعم"),2))),IF($F156="مبالغ متفق عليها",IF(I156="نعم",O156,0),"")))</f>
      </c>
      <c r="W156" s="151" t="str">
        <f>IF(COUNTIF($A156:$S156,"&lt;&gt;")=0,"",IF($F156="بالتساوي بين المشاركين",IF(J156&lt;&gt;"نعم",0,IF(COUNTIF($K156:$L156,"نعم")=0,$D156-SUM($T156:V156),ROUND($D156/COUNTIF($G156:$L156,"نعم"),2))),IF($F156="مبالغ متفق عليها",IF(J156="نعم",P156,0),"")))</f>
      </c>
      <c r="X156" s="151" t="str">
        <f>IF(COUNTIF($A156:$S156,"&lt;&gt;")=0,"",IF($F156="بالتساوي بين المشاركين",IF(K156&lt;&gt;"نعم",0,IF(COUNTIF($L156:$L156,"نعم")=0,$D156-SUM($T156:W156),ROUND($D156/COUNTIF($G156:$L156,"نعم"),2))),IF($F156="مبالغ متفق عليها",IF(K156="نعم",Q156,0),"")))</f>
      </c>
      <c r="Y156" s="151" t="str">
        <f>IF(COUNTIF($A156:$S156,"&lt;&gt;")=0,"",IF($F156="بالتساوي بين المشاركين",IF(L156&lt;&gt;"نعم",0,IF(0=0,$D156-SUM($T156:X156),ROUND($D156/COUNTIF($G156:$L156,"نعم"),2))),IF($F156="مبالغ متفق عليها",IF(L156="نعم",R156,0),"")))</f>
      </c>
      <c r="Z156" s="165" t="str">
        <f>IF(COUNTIF($A156:$S156,"&lt;&gt;")=0,"",IF(OR($D156="",$D156&lt;=0),"أدخل مبلغًا أكبر من صفر.",IF($E156="","اختر الشخص الذي دفع المبلغ.",IF(COUNTIF($G156:$L156,"نعم")=0,"حدد شخصًا واحدًا على الأقل للمشاركة في المصروف.",IF($F156="بالتساوي بين المشاركين","جاهز",IF($F156="مبالغ متفق عليها",IF(OR(AND(G156="نعم",M156=""),AND(H156="نعم",N156=""),AND(I156="نعم",O156=""),AND(J156="نعم",P156=""),AND(K156="نعم",Q156=""),AND(L156="نعم",R156="")),"أدخل المبالغ المتفق عليها بحيث يساوي مجموعها مبلغ المصروف.",IF(ABS(SUM($M156:$R156))&lt;0.005,"أدخل المبالغ المتفق عليها بحيث يساوي مجموعها مبلغ المصروف.",IF(SUM($M156:$R156)&lt;$D156-0.005,"يتبقى للتوزيع: "&amp;ROUND($D156-SUM($M156:$R156),2)&amp;".",IF(SUM($M156:$R156)&gt;$D156+0.005,"يزيد مجموع الحصص على المصروف بمقدار "&amp;ROUND(SUM($M156:$R156)-$D156,2)&amp;".","جاهز")))),"أدخل المبالغ المتفق عليها بحيث يساوي مجموعها مبلغ المصروف."))))))</f>
      </c>
    </row>
    <row r="157">
      <c r="A157" s="149"/>
      <c r="B157" s="138"/>
      <c r="C157" s="138"/>
      <c r="D157" s="150"/>
      <c r="E157" s="138"/>
      <c r="F157" s="138"/>
      <c r="G157" s="138"/>
      <c r="H157" s="138"/>
      <c r="I157" s="138"/>
      <c r="J157" s="138"/>
      <c r="K157" s="138"/>
      <c r="L157" s="138"/>
      <c r="M157" s="150"/>
      <c r="N157" s="150"/>
      <c r="O157" s="150"/>
      <c r="P157" s="150"/>
      <c r="Q157" s="150"/>
      <c r="R157" s="150"/>
      <c r="S157" s="138"/>
      <c r="T157" s="151" t="str">
        <f>IF(COUNTIF($A157:$S157,"&lt;&gt;")=0,"",IF($F157="بالتساوي بين المشاركين",IF(G157&lt;&gt;"نعم",0,IF(COUNTIF($H157:$L157,"نعم")=0,$D157-0,ROUND($D157/COUNTIF($G157:$L157,"نعم"),2))),IF($F157="مبالغ متفق عليها",IF(G157="نعم",M157,0),"")))</f>
      </c>
      <c r="U157" s="151" t="str">
        <f>IF(COUNTIF($A157:$S157,"&lt;&gt;")=0,"",IF($F157="بالتساوي بين المشاركين",IF(H157&lt;&gt;"نعم",0,IF(COUNTIF($I157:$L157,"نعم")=0,$D157-SUM($T157:T157),ROUND($D157/COUNTIF($G157:$L157,"نعم"),2))),IF($F157="مبالغ متفق عليها",IF(H157="نعم",N157,0),"")))</f>
      </c>
      <c r="V157" s="151" t="str">
        <f>IF(COUNTIF($A157:$S157,"&lt;&gt;")=0,"",IF($F157="بالتساوي بين المشاركين",IF(I157&lt;&gt;"نعم",0,IF(COUNTIF($J157:$L157,"نعم")=0,$D157-SUM($T157:U157),ROUND($D157/COUNTIF($G157:$L157,"نعم"),2))),IF($F157="مبالغ متفق عليها",IF(I157="نعم",O157,0),"")))</f>
      </c>
      <c r="W157" s="151" t="str">
        <f>IF(COUNTIF($A157:$S157,"&lt;&gt;")=0,"",IF($F157="بالتساوي بين المشاركين",IF(J157&lt;&gt;"نعم",0,IF(COUNTIF($K157:$L157,"نعم")=0,$D157-SUM($T157:V157),ROUND($D157/COUNTIF($G157:$L157,"نعم"),2))),IF($F157="مبالغ متفق عليها",IF(J157="نعم",P157,0),"")))</f>
      </c>
      <c r="X157" s="151" t="str">
        <f>IF(COUNTIF($A157:$S157,"&lt;&gt;")=0,"",IF($F157="بالتساوي بين المشاركين",IF(K157&lt;&gt;"نعم",0,IF(COUNTIF($L157:$L157,"نعم")=0,$D157-SUM($T157:W157),ROUND($D157/COUNTIF($G157:$L157,"نعم"),2))),IF($F157="مبالغ متفق عليها",IF(K157="نعم",Q157,0),"")))</f>
      </c>
      <c r="Y157" s="151" t="str">
        <f>IF(COUNTIF($A157:$S157,"&lt;&gt;")=0,"",IF($F157="بالتساوي بين المشاركين",IF(L157&lt;&gt;"نعم",0,IF(0=0,$D157-SUM($T157:X157),ROUND($D157/COUNTIF($G157:$L157,"نعم"),2))),IF($F157="مبالغ متفق عليها",IF(L157="نعم",R157,0),"")))</f>
      </c>
      <c r="Z157" s="165" t="str">
        <f>IF(COUNTIF($A157:$S157,"&lt;&gt;")=0,"",IF(OR($D157="",$D157&lt;=0),"أدخل مبلغًا أكبر من صفر.",IF($E157="","اختر الشخص الذي دفع المبلغ.",IF(COUNTIF($G157:$L157,"نعم")=0,"حدد شخصًا واحدًا على الأقل للمشاركة في المصروف.",IF($F157="بالتساوي بين المشاركين","جاهز",IF($F157="مبالغ متفق عليها",IF(OR(AND(G157="نعم",M157=""),AND(H157="نعم",N157=""),AND(I157="نعم",O157=""),AND(J157="نعم",P157=""),AND(K157="نعم",Q157=""),AND(L157="نعم",R157="")),"أدخل المبالغ المتفق عليها بحيث يساوي مجموعها مبلغ المصروف.",IF(ABS(SUM($M157:$R157))&lt;0.005,"أدخل المبالغ المتفق عليها بحيث يساوي مجموعها مبلغ المصروف.",IF(SUM($M157:$R157)&lt;$D157-0.005,"يتبقى للتوزيع: "&amp;ROUND($D157-SUM($M157:$R157),2)&amp;".",IF(SUM($M157:$R157)&gt;$D157+0.005,"يزيد مجموع الحصص على المصروف بمقدار "&amp;ROUND(SUM($M157:$R157)-$D157,2)&amp;".","جاهز")))),"أدخل المبالغ المتفق عليها بحيث يساوي مجموعها مبلغ المصروف."))))))</f>
      </c>
    </row>
    <row r="158">
      <c r="A158" s="149"/>
      <c r="B158" s="138"/>
      <c r="C158" s="138"/>
      <c r="D158" s="150"/>
      <c r="E158" s="138"/>
      <c r="F158" s="138"/>
      <c r="G158" s="138"/>
      <c r="H158" s="138"/>
      <c r="I158" s="138"/>
      <c r="J158" s="138"/>
      <c r="K158" s="138"/>
      <c r="L158" s="138"/>
      <c r="M158" s="150"/>
      <c r="N158" s="150"/>
      <c r="O158" s="150"/>
      <c r="P158" s="150"/>
      <c r="Q158" s="150"/>
      <c r="R158" s="150"/>
      <c r="S158" s="138"/>
      <c r="T158" s="151" t="str">
        <f>IF(COUNTIF($A158:$S158,"&lt;&gt;")=0,"",IF($F158="بالتساوي بين المشاركين",IF(G158&lt;&gt;"نعم",0,IF(COUNTIF($H158:$L158,"نعم")=0,$D158-0,ROUND($D158/COUNTIF($G158:$L158,"نعم"),2))),IF($F158="مبالغ متفق عليها",IF(G158="نعم",M158,0),"")))</f>
      </c>
      <c r="U158" s="151" t="str">
        <f>IF(COUNTIF($A158:$S158,"&lt;&gt;")=0,"",IF($F158="بالتساوي بين المشاركين",IF(H158&lt;&gt;"نعم",0,IF(COUNTIF($I158:$L158,"نعم")=0,$D158-SUM($T158:T158),ROUND($D158/COUNTIF($G158:$L158,"نعم"),2))),IF($F158="مبالغ متفق عليها",IF(H158="نعم",N158,0),"")))</f>
      </c>
      <c r="V158" s="151" t="str">
        <f>IF(COUNTIF($A158:$S158,"&lt;&gt;")=0,"",IF($F158="بالتساوي بين المشاركين",IF(I158&lt;&gt;"نعم",0,IF(COUNTIF($J158:$L158,"نعم")=0,$D158-SUM($T158:U158),ROUND($D158/COUNTIF($G158:$L158,"نعم"),2))),IF($F158="مبالغ متفق عليها",IF(I158="نعم",O158,0),"")))</f>
      </c>
      <c r="W158" s="151" t="str">
        <f>IF(COUNTIF($A158:$S158,"&lt;&gt;")=0,"",IF($F158="بالتساوي بين المشاركين",IF(J158&lt;&gt;"نعم",0,IF(COUNTIF($K158:$L158,"نعم")=0,$D158-SUM($T158:V158),ROUND($D158/COUNTIF($G158:$L158,"نعم"),2))),IF($F158="مبالغ متفق عليها",IF(J158="نعم",P158,0),"")))</f>
      </c>
      <c r="X158" s="151" t="str">
        <f>IF(COUNTIF($A158:$S158,"&lt;&gt;")=0,"",IF($F158="بالتساوي بين المشاركين",IF(K158&lt;&gt;"نعم",0,IF(COUNTIF($L158:$L158,"نعم")=0,$D158-SUM($T158:W158),ROUND($D158/COUNTIF($G158:$L158,"نعم"),2))),IF($F158="مبالغ متفق عليها",IF(K158="نعم",Q158,0),"")))</f>
      </c>
      <c r="Y158" s="151" t="str">
        <f>IF(COUNTIF($A158:$S158,"&lt;&gt;")=0,"",IF($F158="بالتساوي بين المشاركين",IF(L158&lt;&gt;"نعم",0,IF(0=0,$D158-SUM($T158:X158),ROUND($D158/COUNTIF($G158:$L158,"نعم"),2))),IF($F158="مبالغ متفق عليها",IF(L158="نعم",R158,0),"")))</f>
      </c>
      <c r="Z158" s="165" t="str">
        <f>IF(COUNTIF($A158:$S158,"&lt;&gt;")=0,"",IF(OR($D158="",$D158&lt;=0),"أدخل مبلغًا أكبر من صفر.",IF($E158="","اختر الشخص الذي دفع المبلغ.",IF(COUNTIF($G158:$L158,"نعم")=0,"حدد شخصًا واحدًا على الأقل للمشاركة في المصروف.",IF($F158="بالتساوي بين المشاركين","جاهز",IF($F158="مبالغ متفق عليها",IF(OR(AND(G158="نعم",M158=""),AND(H158="نعم",N158=""),AND(I158="نعم",O158=""),AND(J158="نعم",P158=""),AND(K158="نعم",Q158=""),AND(L158="نعم",R158="")),"أدخل المبالغ المتفق عليها بحيث يساوي مجموعها مبلغ المصروف.",IF(ABS(SUM($M158:$R158))&lt;0.005,"أدخل المبالغ المتفق عليها بحيث يساوي مجموعها مبلغ المصروف.",IF(SUM($M158:$R158)&lt;$D158-0.005,"يتبقى للتوزيع: "&amp;ROUND($D158-SUM($M158:$R158),2)&amp;".",IF(SUM($M158:$R158)&gt;$D158+0.005,"يزيد مجموع الحصص على المصروف بمقدار "&amp;ROUND(SUM($M158:$R158)-$D158,2)&amp;".","جاهز")))),"أدخل المبالغ المتفق عليها بحيث يساوي مجموعها مبلغ المصروف."))))))</f>
      </c>
    </row>
    <row r="159">
      <c r="A159" s="149"/>
      <c r="B159" s="138"/>
      <c r="C159" s="138"/>
      <c r="D159" s="150"/>
      <c r="E159" s="138"/>
      <c r="F159" s="138"/>
      <c r="G159" s="138"/>
      <c r="H159" s="138"/>
      <c r="I159" s="138"/>
      <c r="J159" s="138"/>
      <c r="K159" s="138"/>
      <c r="L159" s="138"/>
      <c r="M159" s="150"/>
      <c r="N159" s="150"/>
      <c r="O159" s="150"/>
      <c r="P159" s="150"/>
      <c r="Q159" s="150"/>
      <c r="R159" s="150"/>
      <c r="S159" s="138"/>
      <c r="T159" s="151" t="str">
        <f>IF(COUNTIF($A159:$S159,"&lt;&gt;")=0,"",IF($F159="بالتساوي بين المشاركين",IF(G159&lt;&gt;"نعم",0,IF(COUNTIF($H159:$L159,"نعم")=0,$D159-0,ROUND($D159/COUNTIF($G159:$L159,"نعم"),2))),IF($F159="مبالغ متفق عليها",IF(G159="نعم",M159,0),"")))</f>
      </c>
      <c r="U159" s="151" t="str">
        <f>IF(COUNTIF($A159:$S159,"&lt;&gt;")=0,"",IF($F159="بالتساوي بين المشاركين",IF(H159&lt;&gt;"نعم",0,IF(COUNTIF($I159:$L159,"نعم")=0,$D159-SUM($T159:T159),ROUND($D159/COUNTIF($G159:$L159,"نعم"),2))),IF($F159="مبالغ متفق عليها",IF(H159="نعم",N159,0),"")))</f>
      </c>
      <c r="V159" s="151" t="str">
        <f>IF(COUNTIF($A159:$S159,"&lt;&gt;")=0,"",IF($F159="بالتساوي بين المشاركين",IF(I159&lt;&gt;"نعم",0,IF(COUNTIF($J159:$L159,"نعم")=0,$D159-SUM($T159:U159),ROUND($D159/COUNTIF($G159:$L159,"نعم"),2))),IF($F159="مبالغ متفق عليها",IF(I159="نعم",O159,0),"")))</f>
      </c>
      <c r="W159" s="151" t="str">
        <f>IF(COUNTIF($A159:$S159,"&lt;&gt;")=0,"",IF($F159="بالتساوي بين المشاركين",IF(J159&lt;&gt;"نعم",0,IF(COUNTIF($K159:$L159,"نعم")=0,$D159-SUM($T159:V159),ROUND($D159/COUNTIF($G159:$L159,"نعم"),2))),IF($F159="مبالغ متفق عليها",IF(J159="نعم",P159,0),"")))</f>
      </c>
      <c r="X159" s="151" t="str">
        <f>IF(COUNTIF($A159:$S159,"&lt;&gt;")=0,"",IF($F159="بالتساوي بين المشاركين",IF(K159&lt;&gt;"نعم",0,IF(COUNTIF($L159:$L159,"نعم")=0,$D159-SUM($T159:W159),ROUND($D159/COUNTIF($G159:$L159,"نعم"),2))),IF($F159="مبالغ متفق عليها",IF(K159="نعم",Q159,0),"")))</f>
      </c>
      <c r="Y159" s="151" t="str">
        <f>IF(COUNTIF($A159:$S159,"&lt;&gt;")=0,"",IF($F159="بالتساوي بين المشاركين",IF(L159&lt;&gt;"نعم",0,IF(0=0,$D159-SUM($T159:X159),ROUND($D159/COUNTIF($G159:$L159,"نعم"),2))),IF($F159="مبالغ متفق عليها",IF(L159="نعم",R159,0),"")))</f>
      </c>
      <c r="Z159" s="165" t="str">
        <f>IF(COUNTIF($A159:$S159,"&lt;&gt;")=0,"",IF(OR($D159="",$D159&lt;=0),"أدخل مبلغًا أكبر من صفر.",IF($E159="","اختر الشخص الذي دفع المبلغ.",IF(COUNTIF($G159:$L159,"نعم")=0,"حدد شخصًا واحدًا على الأقل للمشاركة في المصروف.",IF($F159="بالتساوي بين المشاركين","جاهز",IF($F159="مبالغ متفق عليها",IF(OR(AND(G159="نعم",M159=""),AND(H159="نعم",N159=""),AND(I159="نعم",O159=""),AND(J159="نعم",P159=""),AND(K159="نعم",Q159=""),AND(L159="نعم",R159="")),"أدخل المبالغ المتفق عليها بحيث يساوي مجموعها مبلغ المصروف.",IF(ABS(SUM($M159:$R159))&lt;0.005,"أدخل المبالغ المتفق عليها بحيث يساوي مجموعها مبلغ المصروف.",IF(SUM($M159:$R159)&lt;$D159-0.005,"يتبقى للتوزيع: "&amp;ROUND($D159-SUM($M159:$R159),2)&amp;".",IF(SUM($M159:$R159)&gt;$D159+0.005,"يزيد مجموع الحصص على المصروف بمقدار "&amp;ROUND(SUM($M159:$R159)-$D159,2)&amp;".","جاهز")))),"أدخل المبالغ المتفق عليها بحيث يساوي مجموعها مبلغ المصروف."))))))</f>
      </c>
    </row>
    <row r="160">
      <c r="A160" s="149"/>
      <c r="B160" s="138"/>
      <c r="C160" s="138"/>
      <c r="D160" s="150"/>
      <c r="E160" s="138"/>
      <c r="F160" s="138"/>
      <c r="G160" s="138"/>
      <c r="H160" s="138"/>
      <c r="I160" s="138"/>
      <c r="J160" s="138"/>
      <c r="K160" s="138"/>
      <c r="L160" s="138"/>
      <c r="M160" s="150"/>
      <c r="N160" s="150"/>
      <c r="O160" s="150"/>
      <c r="P160" s="150"/>
      <c r="Q160" s="150"/>
      <c r="R160" s="150"/>
      <c r="S160" s="138"/>
      <c r="T160" s="151" t="str">
        <f>IF(COUNTIF($A160:$S160,"&lt;&gt;")=0,"",IF($F160="بالتساوي بين المشاركين",IF(G160&lt;&gt;"نعم",0,IF(COUNTIF($H160:$L160,"نعم")=0,$D160-0,ROUND($D160/COUNTIF($G160:$L160,"نعم"),2))),IF($F160="مبالغ متفق عليها",IF(G160="نعم",M160,0),"")))</f>
      </c>
      <c r="U160" s="151" t="str">
        <f>IF(COUNTIF($A160:$S160,"&lt;&gt;")=0,"",IF($F160="بالتساوي بين المشاركين",IF(H160&lt;&gt;"نعم",0,IF(COUNTIF($I160:$L160,"نعم")=0,$D160-SUM($T160:T160),ROUND($D160/COUNTIF($G160:$L160,"نعم"),2))),IF($F160="مبالغ متفق عليها",IF(H160="نعم",N160,0),"")))</f>
      </c>
      <c r="V160" s="151" t="str">
        <f>IF(COUNTIF($A160:$S160,"&lt;&gt;")=0,"",IF($F160="بالتساوي بين المشاركين",IF(I160&lt;&gt;"نعم",0,IF(COUNTIF($J160:$L160,"نعم")=0,$D160-SUM($T160:U160),ROUND($D160/COUNTIF($G160:$L160,"نعم"),2))),IF($F160="مبالغ متفق عليها",IF(I160="نعم",O160,0),"")))</f>
      </c>
      <c r="W160" s="151" t="str">
        <f>IF(COUNTIF($A160:$S160,"&lt;&gt;")=0,"",IF($F160="بالتساوي بين المشاركين",IF(J160&lt;&gt;"نعم",0,IF(COUNTIF($K160:$L160,"نعم")=0,$D160-SUM($T160:V160),ROUND($D160/COUNTIF($G160:$L160,"نعم"),2))),IF($F160="مبالغ متفق عليها",IF(J160="نعم",P160,0),"")))</f>
      </c>
      <c r="X160" s="151" t="str">
        <f>IF(COUNTIF($A160:$S160,"&lt;&gt;")=0,"",IF($F160="بالتساوي بين المشاركين",IF(K160&lt;&gt;"نعم",0,IF(COUNTIF($L160:$L160,"نعم")=0,$D160-SUM($T160:W160),ROUND($D160/COUNTIF($G160:$L160,"نعم"),2))),IF($F160="مبالغ متفق عليها",IF(K160="نعم",Q160,0),"")))</f>
      </c>
      <c r="Y160" s="151" t="str">
        <f>IF(COUNTIF($A160:$S160,"&lt;&gt;")=0,"",IF($F160="بالتساوي بين المشاركين",IF(L160&lt;&gt;"نعم",0,IF(0=0,$D160-SUM($T160:X160),ROUND($D160/COUNTIF($G160:$L160,"نعم"),2))),IF($F160="مبالغ متفق عليها",IF(L160="نعم",R160,0),"")))</f>
      </c>
      <c r="Z160" s="165" t="str">
        <f>IF(COUNTIF($A160:$S160,"&lt;&gt;")=0,"",IF(OR($D160="",$D160&lt;=0),"أدخل مبلغًا أكبر من صفر.",IF($E160="","اختر الشخص الذي دفع المبلغ.",IF(COUNTIF($G160:$L160,"نعم")=0,"حدد شخصًا واحدًا على الأقل للمشاركة في المصروف.",IF($F160="بالتساوي بين المشاركين","جاهز",IF($F160="مبالغ متفق عليها",IF(OR(AND(G160="نعم",M160=""),AND(H160="نعم",N160=""),AND(I160="نعم",O160=""),AND(J160="نعم",P160=""),AND(K160="نعم",Q160=""),AND(L160="نعم",R160="")),"أدخل المبالغ المتفق عليها بحيث يساوي مجموعها مبلغ المصروف.",IF(ABS(SUM($M160:$R160))&lt;0.005,"أدخل المبالغ المتفق عليها بحيث يساوي مجموعها مبلغ المصروف.",IF(SUM($M160:$R160)&lt;$D160-0.005,"يتبقى للتوزيع: "&amp;ROUND($D160-SUM($M160:$R160),2)&amp;".",IF(SUM($M160:$R160)&gt;$D160+0.005,"يزيد مجموع الحصص على المصروف بمقدار "&amp;ROUND(SUM($M160:$R160)-$D160,2)&amp;".","جاهز")))),"أدخل المبالغ المتفق عليها بحيث يساوي مجموعها مبلغ المصروف."))))))</f>
      </c>
    </row>
    <row r="161">
      <c r="A161" s="149"/>
      <c r="B161" s="138"/>
      <c r="C161" s="138"/>
      <c r="D161" s="150"/>
      <c r="E161" s="138"/>
      <c r="F161" s="138"/>
      <c r="G161" s="138"/>
      <c r="H161" s="138"/>
      <c r="I161" s="138"/>
      <c r="J161" s="138"/>
      <c r="K161" s="138"/>
      <c r="L161" s="138"/>
      <c r="M161" s="150"/>
      <c r="N161" s="150"/>
      <c r="O161" s="150"/>
      <c r="P161" s="150"/>
      <c r="Q161" s="150"/>
      <c r="R161" s="150"/>
      <c r="S161" s="138"/>
      <c r="T161" s="151" t="str">
        <f>IF(COUNTIF($A161:$S161,"&lt;&gt;")=0,"",IF($F161="بالتساوي بين المشاركين",IF(G161&lt;&gt;"نعم",0,IF(COUNTIF($H161:$L161,"نعم")=0,$D161-0,ROUND($D161/COUNTIF($G161:$L161,"نعم"),2))),IF($F161="مبالغ متفق عليها",IF(G161="نعم",M161,0),"")))</f>
      </c>
      <c r="U161" s="151" t="str">
        <f>IF(COUNTIF($A161:$S161,"&lt;&gt;")=0,"",IF($F161="بالتساوي بين المشاركين",IF(H161&lt;&gt;"نعم",0,IF(COUNTIF($I161:$L161,"نعم")=0,$D161-SUM($T161:T161),ROUND($D161/COUNTIF($G161:$L161,"نعم"),2))),IF($F161="مبالغ متفق عليها",IF(H161="نعم",N161,0),"")))</f>
      </c>
      <c r="V161" s="151" t="str">
        <f>IF(COUNTIF($A161:$S161,"&lt;&gt;")=0,"",IF($F161="بالتساوي بين المشاركين",IF(I161&lt;&gt;"نعم",0,IF(COUNTIF($J161:$L161,"نعم")=0,$D161-SUM($T161:U161),ROUND($D161/COUNTIF($G161:$L161,"نعم"),2))),IF($F161="مبالغ متفق عليها",IF(I161="نعم",O161,0),"")))</f>
      </c>
      <c r="W161" s="151" t="str">
        <f>IF(COUNTIF($A161:$S161,"&lt;&gt;")=0,"",IF($F161="بالتساوي بين المشاركين",IF(J161&lt;&gt;"نعم",0,IF(COUNTIF($K161:$L161,"نعم")=0,$D161-SUM($T161:V161),ROUND($D161/COUNTIF($G161:$L161,"نعم"),2))),IF($F161="مبالغ متفق عليها",IF(J161="نعم",P161,0),"")))</f>
      </c>
      <c r="X161" s="151" t="str">
        <f>IF(COUNTIF($A161:$S161,"&lt;&gt;")=0,"",IF($F161="بالتساوي بين المشاركين",IF(K161&lt;&gt;"نعم",0,IF(COUNTIF($L161:$L161,"نعم")=0,$D161-SUM($T161:W161),ROUND($D161/COUNTIF($G161:$L161,"نعم"),2))),IF($F161="مبالغ متفق عليها",IF(K161="نعم",Q161,0),"")))</f>
      </c>
      <c r="Y161" s="151" t="str">
        <f>IF(COUNTIF($A161:$S161,"&lt;&gt;")=0,"",IF($F161="بالتساوي بين المشاركين",IF(L161&lt;&gt;"نعم",0,IF(0=0,$D161-SUM($T161:X161),ROUND($D161/COUNTIF($G161:$L161,"نعم"),2))),IF($F161="مبالغ متفق عليها",IF(L161="نعم",R161,0),"")))</f>
      </c>
      <c r="Z161" s="165" t="str">
        <f>IF(COUNTIF($A161:$S161,"&lt;&gt;")=0,"",IF(OR($D161="",$D161&lt;=0),"أدخل مبلغًا أكبر من صفر.",IF($E161="","اختر الشخص الذي دفع المبلغ.",IF(COUNTIF($G161:$L161,"نعم")=0,"حدد شخصًا واحدًا على الأقل للمشاركة في المصروف.",IF($F161="بالتساوي بين المشاركين","جاهز",IF($F161="مبالغ متفق عليها",IF(OR(AND(G161="نعم",M161=""),AND(H161="نعم",N161=""),AND(I161="نعم",O161=""),AND(J161="نعم",P161=""),AND(K161="نعم",Q161=""),AND(L161="نعم",R161="")),"أدخل المبالغ المتفق عليها بحيث يساوي مجموعها مبلغ المصروف.",IF(ABS(SUM($M161:$R161))&lt;0.005,"أدخل المبالغ المتفق عليها بحيث يساوي مجموعها مبلغ المصروف.",IF(SUM($M161:$R161)&lt;$D161-0.005,"يتبقى للتوزيع: "&amp;ROUND($D161-SUM($M161:$R161),2)&amp;".",IF(SUM($M161:$R161)&gt;$D161+0.005,"يزيد مجموع الحصص على المصروف بمقدار "&amp;ROUND(SUM($M161:$R161)-$D161,2)&amp;".","جاهز")))),"أدخل المبالغ المتفق عليها بحيث يساوي مجموعها مبلغ المصروف."))))))</f>
      </c>
    </row>
    <row r="162">
      <c r="A162" s="149"/>
      <c r="B162" s="138"/>
      <c r="C162" s="138"/>
      <c r="D162" s="150"/>
      <c r="E162" s="138"/>
      <c r="F162" s="138"/>
      <c r="G162" s="138"/>
      <c r="H162" s="138"/>
      <c r="I162" s="138"/>
      <c r="J162" s="138"/>
      <c r="K162" s="138"/>
      <c r="L162" s="138"/>
      <c r="M162" s="150"/>
      <c r="N162" s="150"/>
      <c r="O162" s="150"/>
      <c r="P162" s="150"/>
      <c r="Q162" s="150"/>
      <c r="R162" s="150"/>
      <c r="S162" s="138"/>
      <c r="T162" s="151" t="str">
        <f>IF(COUNTIF($A162:$S162,"&lt;&gt;")=0,"",IF($F162="بالتساوي بين المشاركين",IF(G162&lt;&gt;"نعم",0,IF(COUNTIF($H162:$L162,"نعم")=0,$D162-0,ROUND($D162/COUNTIF($G162:$L162,"نعم"),2))),IF($F162="مبالغ متفق عليها",IF(G162="نعم",M162,0),"")))</f>
      </c>
      <c r="U162" s="151" t="str">
        <f>IF(COUNTIF($A162:$S162,"&lt;&gt;")=0,"",IF($F162="بالتساوي بين المشاركين",IF(H162&lt;&gt;"نعم",0,IF(COUNTIF($I162:$L162,"نعم")=0,$D162-SUM($T162:T162),ROUND($D162/COUNTIF($G162:$L162,"نعم"),2))),IF($F162="مبالغ متفق عليها",IF(H162="نعم",N162,0),"")))</f>
      </c>
      <c r="V162" s="151" t="str">
        <f>IF(COUNTIF($A162:$S162,"&lt;&gt;")=0,"",IF($F162="بالتساوي بين المشاركين",IF(I162&lt;&gt;"نعم",0,IF(COUNTIF($J162:$L162,"نعم")=0,$D162-SUM($T162:U162),ROUND($D162/COUNTIF($G162:$L162,"نعم"),2))),IF($F162="مبالغ متفق عليها",IF(I162="نعم",O162,0),"")))</f>
      </c>
      <c r="W162" s="151" t="str">
        <f>IF(COUNTIF($A162:$S162,"&lt;&gt;")=0,"",IF($F162="بالتساوي بين المشاركين",IF(J162&lt;&gt;"نعم",0,IF(COUNTIF($K162:$L162,"نعم")=0,$D162-SUM($T162:V162),ROUND($D162/COUNTIF($G162:$L162,"نعم"),2))),IF($F162="مبالغ متفق عليها",IF(J162="نعم",P162,0),"")))</f>
      </c>
      <c r="X162" s="151" t="str">
        <f>IF(COUNTIF($A162:$S162,"&lt;&gt;")=0,"",IF($F162="بالتساوي بين المشاركين",IF(K162&lt;&gt;"نعم",0,IF(COUNTIF($L162:$L162,"نعم")=0,$D162-SUM($T162:W162),ROUND($D162/COUNTIF($G162:$L162,"نعم"),2))),IF($F162="مبالغ متفق عليها",IF(K162="نعم",Q162,0),"")))</f>
      </c>
      <c r="Y162" s="151" t="str">
        <f>IF(COUNTIF($A162:$S162,"&lt;&gt;")=0,"",IF($F162="بالتساوي بين المشاركين",IF(L162&lt;&gt;"نعم",0,IF(0=0,$D162-SUM($T162:X162),ROUND($D162/COUNTIF($G162:$L162,"نعم"),2))),IF($F162="مبالغ متفق عليها",IF(L162="نعم",R162,0),"")))</f>
      </c>
      <c r="Z162" s="165" t="str">
        <f>IF(COUNTIF($A162:$S162,"&lt;&gt;")=0,"",IF(OR($D162="",$D162&lt;=0),"أدخل مبلغًا أكبر من صفر.",IF($E162="","اختر الشخص الذي دفع المبلغ.",IF(COUNTIF($G162:$L162,"نعم")=0,"حدد شخصًا واحدًا على الأقل للمشاركة في المصروف.",IF($F162="بالتساوي بين المشاركين","جاهز",IF($F162="مبالغ متفق عليها",IF(OR(AND(G162="نعم",M162=""),AND(H162="نعم",N162=""),AND(I162="نعم",O162=""),AND(J162="نعم",P162=""),AND(K162="نعم",Q162=""),AND(L162="نعم",R162="")),"أدخل المبالغ المتفق عليها بحيث يساوي مجموعها مبلغ المصروف.",IF(ABS(SUM($M162:$R162))&lt;0.005,"أدخل المبالغ المتفق عليها بحيث يساوي مجموعها مبلغ المصروف.",IF(SUM($M162:$R162)&lt;$D162-0.005,"يتبقى للتوزيع: "&amp;ROUND($D162-SUM($M162:$R162),2)&amp;".",IF(SUM($M162:$R162)&gt;$D162+0.005,"يزيد مجموع الحصص على المصروف بمقدار "&amp;ROUND(SUM($M162:$R162)-$D162,2)&amp;".","جاهز")))),"أدخل المبالغ المتفق عليها بحيث يساوي مجموعها مبلغ المصروف."))))))</f>
      </c>
    </row>
    <row r="163">
      <c r="A163" s="149"/>
      <c r="B163" s="138"/>
      <c r="C163" s="138"/>
      <c r="D163" s="150"/>
      <c r="E163" s="138"/>
      <c r="F163" s="138"/>
      <c r="G163" s="138"/>
      <c r="H163" s="138"/>
      <c r="I163" s="138"/>
      <c r="J163" s="138"/>
      <c r="K163" s="138"/>
      <c r="L163" s="138"/>
      <c r="M163" s="150"/>
      <c r="N163" s="150"/>
      <c r="O163" s="150"/>
      <c r="P163" s="150"/>
      <c r="Q163" s="150"/>
      <c r="R163" s="150"/>
      <c r="S163" s="138"/>
      <c r="T163" s="151" t="str">
        <f>IF(COUNTIF($A163:$S163,"&lt;&gt;")=0,"",IF($F163="بالتساوي بين المشاركين",IF(G163&lt;&gt;"نعم",0,IF(COUNTIF($H163:$L163,"نعم")=0,$D163-0,ROUND($D163/COUNTIF($G163:$L163,"نعم"),2))),IF($F163="مبالغ متفق عليها",IF(G163="نعم",M163,0),"")))</f>
      </c>
      <c r="U163" s="151" t="str">
        <f>IF(COUNTIF($A163:$S163,"&lt;&gt;")=0,"",IF($F163="بالتساوي بين المشاركين",IF(H163&lt;&gt;"نعم",0,IF(COUNTIF($I163:$L163,"نعم")=0,$D163-SUM($T163:T163),ROUND($D163/COUNTIF($G163:$L163,"نعم"),2))),IF($F163="مبالغ متفق عليها",IF(H163="نعم",N163,0),"")))</f>
      </c>
      <c r="V163" s="151" t="str">
        <f>IF(COUNTIF($A163:$S163,"&lt;&gt;")=0,"",IF($F163="بالتساوي بين المشاركين",IF(I163&lt;&gt;"نعم",0,IF(COUNTIF($J163:$L163,"نعم")=0,$D163-SUM($T163:U163),ROUND($D163/COUNTIF($G163:$L163,"نعم"),2))),IF($F163="مبالغ متفق عليها",IF(I163="نعم",O163,0),"")))</f>
      </c>
      <c r="W163" s="151" t="str">
        <f>IF(COUNTIF($A163:$S163,"&lt;&gt;")=0,"",IF($F163="بالتساوي بين المشاركين",IF(J163&lt;&gt;"نعم",0,IF(COUNTIF($K163:$L163,"نعم")=0,$D163-SUM($T163:V163),ROUND($D163/COUNTIF($G163:$L163,"نعم"),2))),IF($F163="مبالغ متفق عليها",IF(J163="نعم",P163,0),"")))</f>
      </c>
      <c r="X163" s="151" t="str">
        <f>IF(COUNTIF($A163:$S163,"&lt;&gt;")=0,"",IF($F163="بالتساوي بين المشاركين",IF(K163&lt;&gt;"نعم",0,IF(COUNTIF($L163:$L163,"نعم")=0,$D163-SUM($T163:W163),ROUND($D163/COUNTIF($G163:$L163,"نعم"),2))),IF($F163="مبالغ متفق عليها",IF(K163="نعم",Q163,0),"")))</f>
      </c>
      <c r="Y163" s="151" t="str">
        <f>IF(COUNTIF($A163:$S163,"&lt;&gt;")=0,"",IF($F163="بالتساوي بين المشاركين",IF(L163&lt;&gt;"نعم",0,IF(0=0,$D163-SUM($T163:X163),ROUND($D163/COUNTIF($G163:$L163,"نعم"),2))),IF($F163="مبالغ متفق عليها",IF(L163="نعم",R163,0),"")))</f>
      </c>
      <c r="Z163" s="165" t="str">
        <f>IF(COUNTIF($A163:$S163,"&lt;&gt;")=0,"",IF(OR($D163="",$D163&lt;=0),"أدخل مبلغًا أكبر من صفر.",IF($E163="","اختر الشخص الذي دفع المبلغ.",IF(COUNTIF($G163:$L163,"نعم")=0,"حدد شخصًا واحدًا على الأقل للمشاركة في المصروف.",IF($F163="بالتساوي بين المشاركين","جاهز",IF($F163="مبالغ متفق عليها",IF(OR(AND(G163="نعم",M163=""),AND(H163="نعم",N163=""),AND(I163="نعم",O163=""),AND(J163="نعم",P163=""),AND(K163="نعم",Q163=""),AND(L163="نعم",R163="")),"أدخل المبالغ المتفق عليها بحيث يساوي مجموعها مبلغ المصروف.",IF(ABS(SUM($M163:$R163))&lt;0.005,"أدخل المبالغ المتفق عليها بحيث يساوي مجموعها مبلغ المصروف.",IF(SUM($M163:$R163)&lt;$D163-0.005,"يتبقى للتوزيع: "&amp;ROUND($D163-SUM($M163:$R163),2)&amp;".",IF(SUM($M163:$R163)&gt;$D163+0.005,"يزيد مجموع الحصص على المصروف بمقدار "&amp;ROUND(SUM($M163:$R163)-$D163,2)&amp;".","جاهز")))),"أدخل المبالغ المتفق عليها بحيث يساوي مجموعها مبلغ المصروف."))))))</f>
      </c>
    </row>
    <row r="164">
      <c r="A164" s="149"/>
      <c r="B164" s="138"/>
      <c r="C164" s="138"/>
      <c r="D164" s="150"/>
      <c r="E164" s="138"/>
      <c r="F164" s="138"/>
      <c r="G164" s="138"/>
      <c r="H164" s="138"/>
      <c r="I164" s="138"/>
      <c r="J164" s="138"/>
      <c r="K164" s="138"/>
      <c r="L164" s="138"/>
      <c r="M164" s="150"/>
      <c r="N164" s="150"/>
      <c r="O164" s="150"/>
      <c r="P164" s="150"/>
      <c r="Q164" s="150"/>
      <c r="R164" s="150"/>
      <c r="S164" s="138"/>
      <c r="T164" s="151" t="str">
        <f>IF(COUNTIF($A164:$S164,"&lt;&gt;")=0,"",IF($F164="بالتساوي بين المشاركين",IF(G164&lt;&gt;"نعم",0,IF(COUNTIF($H164:$L164,"نعم")=0,$D164-0,ROUND($D164/COUNTIF($G164:$L164,"نعم"),2))),IF($F164="مبالغ متفق عليها",IF(G164="نعم",M164,0),"")))</f>
      </c>
      <c r="U164" s="151" t="str">
        <f>IF(COUNTIF($A164:$S164,"&lt;&gt;")=0,"",IF($F164="بالتساوي بين المشاركين",IF(H164&lt;&gt;"نعم",0,IF(COUNTIF($I164:$L164,"نعم")=0,$D164-SUM($T164:T164),ROUND($D164/COUNTIF($G164:$L164,"نعم"),2))),IF($F164="مبالغ متفق عليها",IF(H164="نعم",N164,0),"")))</f>
      </c>
      <c r="V164" s="151" t="str">
        <f>IF(COUNTIF($A164:$S164,"&lt;&gt;")=0,"",IF($F164="بالتساوي بين المشاركين",IF(I164&lt;&gt;"نعم",0,IF(COUNTIF($J164:$L164,"نعم")=0,$D164-SUM($T164:U164),ROUND($D164/COUNTIF($G164:$L164,"نعم"),2))),IF($F164="مبالغ متفق عليها",IF(I164="نعم",O164,0),"")))</f>
      </c>
      <c r="W164" s="151" t="str">
        <f>IF(COUNTIF($A164:$S164,"&lt;&gt;")=0,"",IF($F164="بالتساوي بين المشاركين",IF(J164&lt;&gt;"نعم",0,IF(COUNTIF($K164:$L164,"نعم")=0,$D164-SUM($T164:V164),ROUND($D164/COUNTIF($G164:$L164,"نعم"),2))),IF($F164="مبالغ متفق عليها",IF(J164="نعم",P164,0),"")))</f>
      </c>
      <c r="X164" s="151" t="str">
        <f>IF(COUNTIF($A164:$S164,"&lt;&gt;")=0,"",IF($F164="بالتساوي بين المشاركين",IF(K164&lt;&gt;"نعم",0,IF(COUNTIF($L164:$L164,"نعم")=0,$D164-SUM($T164:W164),ROUND($D164/COUNTIF($G164:$L164,"نعم"),2))),IF($F164="مبالغ متفق عليها",IF(K164="نعم",Q164,0),"")))</f>
      </c>
      <c r="Y164" s="151" t="str">
        <f>IF(COUNTIF($A164:$S164,"&lt;&gt;")=0,"",IF($F164="بالتساوي بين المشاركين",IF(L164&lt;&gt;"نعم",0,IF(0=0,$D164-SUM($T164:X164),ROUND($D164/COUNTIF($G164:$L164,"نعم"),2))),IF($F164="مبالغ متفق عليها",IF(L164="نعم",R164,0),"")))</f>
      </c>
      <c r="Z164" s="165" t="str">
        <f>IF(COUNTIF($A164:$S164,"&lt;&gt;")=0,"",IF(OR($D164="",$D164&lt;=0),"أدخل مبلغًا أكبر من صفر.",IF($E164="","اختر الشخص الذي دفع المبلغ.",IF(COUNTIF($G164:$L164,"نعم")=0,"حدد شخصًا واحدًا على الأقل للمشاركة في المصروف.",IF($F164="بالتساوي بين المشاركين","جاهز",IF($F164="مبالغ متفق عليها",IF(OR(AND(G164="نعم",M164=""),AND(H164="نعم",N164=""),AND(I164="نعم",O164=""),AND(J164="نعم",P164=""),AND(K164="نعم",Q164=""),AND(L164="نعم",R164="")),"أدخل المبالغ المتفق عليها بحيث يساوي مجموعها مبلغ المصروف.",IF(ABS(SUM($M164:$R164))&lt;0.005,"أدخل المبالغ المتفق عليها بحيث يساوي مجموعها مبلغ المصروف.",IF(SUM($M164:$R164)&lt;$D164-0.005,"يتبقى للتوزيع: "&amp;ROUND($D164-SUM($M164:$R164),2)&amp;".",IF(SUM($M164:$R164)&gt;$D164+0.005,"يزيد مجموع الحصص على المصروف بمقدار "&amp;ROUND(SUM($M164:$R164)-$D164,2)&amp;".","جاهز")))),"أدخل المبالغ المتفق عليها بحيث يساوي مجموعها مبلغ المصروف."))))))</f>
      </c>
    </row>
    <row r="165">
      <c r="A165" s="149"/>
      <c r="B165" s="138"/>
      <c r="C165" s="138"/>
      <c r="D165" s="150"/>
      <c r="E165" s="138"/>
      <c r="F165" s="138"/>
      <c r="G165" s="138"/>
      <c r="H165" s="138"/>
      <c r="I165" s="138"/>
      <c r="J165" s="138"/>
      <c r="K165" s="138"/>
      <c r="L165" s="138"/>
      <c r="M165" s="150"/>
      <c r="N165" s="150"/>
      <c r="O165" s="150"/>
      <c r="P165" s="150"/>
      <c r="Q165" s="150"/>
      <c r="R165" s="150"/>
      <c r="S165" s="138"/>
      <c r="T165" s="151" t="str">
        <f>IF(COUNTIF($A165:$S165,"&lt;&gt;")=0,"",IF($F165="بالتساوي بين المشاركين",IF(G165&lt;&gt;"نعم",0,IF(COUNTIF($H165:$L165,"نعم")=0,$D165-0,ROUND($D165/COUNTIF($G165:$L165,"نعم"),2))),IF($F165="مبالغ متفق عليها",IF(G165="نعم",M165,0),"")))</f>
      </c>
      <c r="U165" s="151" t="str">
        <f>IF(COUNTIF($A165:$S165,"&lt;&gt;")=0,"",IF($F165="بالتساوي بين المشاركين",IF(H165&lt;&gt;"نعم",0,IF(COUNTIF($I165:$L165,"نعم")=0,$D165-SUM($T165:T165),ROUND($D165/COUNTIF($G165:$L165,"نعم"),2))),IF($F165="مبالغ متفق عليها",IF(H165="نعم",N165,0),"")))</f>
      </c>
      <c r="V165" s="151" t="str">
        <f>IF(COUNTIF($A165:$S165,"&lt;&gt;")=0,"",IF($F165="بالتساوي بين المشاركين",IF(I165&lt;&gt;"نعم",0,IF(COUNTIF($J165:$L165,"نعم")=0,$D165-SUM($T165:U165),ROUND($D165/COUNTIF($G165:$L165,"نعم"),2))),IF($F165="مبالغ متفق عليها",IF(I165="نعم",O165,0),"")))</f>
      </c>
      <c r="W165" s="151" t="str">
        <f>IF(COUNTIF($A165:$S165,"&lt;&gt;")=0,"",IF($F165="بالتساوي بين المشاركين",IF(J165&lt;&gt;"نعم",0,IF(COUNTIF($K165:$L165,"نعم")=0,$D165-SUM($T165:V165),ROUND($D165/COUNTIF($G165:$L165,"نعم"),2))),IF($F165="مبالغ متفق عليها",IF(J165="نعم",P165,0),"")))</f>
      </c>
      <c r="X165" s="151" t="str">
        <f>IF(COUNTIF($A165:$S165,"&lt;&gt;")=0,"",IF($F165="بالتساوي بين المشاركين",IF(K165&lt;&gt;"نعم",0,IF(COUNTIF($L165:$L165,"نعم")=0,$D165-SUM($T165:W165),ROUND($D165/COUNTIF($G165:$L165,"نعم"),2))),IF($F165="مبالغ متفق عليها",IF(K165="نعم",Q165,0),"")))</f>
      </c>
      <c r="Y165" s="151" t="str">
        <f>IF(COUNTIF($A165:$S165,"&lt;&gt;")=0,"",IF($F165="بالتساوي بين المشاركين",IF(L165&lt;&gt;"نعم",0,IF(0=0,$D165-SUM($T165:X165),ROUND($D165/COUNTIF($G165:$L165,"نعم"),2))),IF($F165="مبالغ متفق عليها",IF(L165="نعم",R165,0),"")))</f>
      </c>
      <c r="Z165" s="165" t="str">
        <f>IF(COUNTIF($A165:$S165,"&lt;&gt;")=0,"",IF(OR($D165="",$D165&lt;=0),"أدخل مبلغًا أكبر من صفر.",IF($E165="","اختر الشخص الذي دفع المبلغ.",IF(COUNTIF($G165:$L165,"نعم")=0,"حدد شخصًا واحدًا على الأقل للمشاركة في المصروف.",IF($F165="بالتساوي بين المشاركين","جاهز",IF($F165="مبالغ متفق عليها",IF(OR(AND(G165="نعم",M165=""),AND(H165="نعم",N165=""),AND(I165="نعم",O165=""),AND(J165="نعم",P165=""),AND(K165="نعم",Q165=""),AND(L165="نعم",R165="")),"أدخل المبالغ المتفق عليها بحيث يساوي مجموعها مبلغ المصروف.",IF(ABS(SUM($M165:$R165))&lt;0.005,"أدخل المبالغ المتفق عليها بحيث يساوي مجموعها مبلغ المصروف.",IF(SUM($M165:$R165)&lt;$D165-0.005,"يتبقى للتوزيع: "&amp;ROUND($D165-SUM($M165:$R165),2)&amp;".",IF(SUM($M165:$R165)&gt;$D165+0.005,"يزيد مجموع الحصص على المصروف بمقدار "&amp;ROUND(SUM($M165:$R165)-$D165,2)&amp;".","جاهز")))),"أدخل المبالغ المتفق عليها بحيث يساوي مجموعها مبلغ المصروف."))))))</f>
      </c>
    </row>
    <row r="166">
      <c r="A166" s="149"/>
      <c r="B166" s="138"/>
      <c r="C166" s="138"/>
      <c r="D166" s="150"/>
      <c r="E166" s="138"/>
      <c r="F166" s="138"/>
      <c r="G166" s="138"/>
      <c r="H166" s="138"/>
      <c r="I166" s="138"/>
      <c r="J166" s="138"/>
      <c r="K166" s="138"/>
      <c r="L166" s="138"/>
      <c r="M166" s="150"/>
      <c r="N166" s="150"/>
      <c r="O166" s="150"/>
      <c r="P166" s="150"/>
      <c r="Q166" s="150"/>
      <c r="R166" s="150"/>
      <c r="S166" s="138"/>
      <c r="T166" s="151" t="str">
        <f>IF(COUNTIF($A166:$S166,"&lt;&gt;")=0,"",IF($F166="بالتساوي بين المشاركين",IF(G166&lt;&gt;"نعم",0,IF(COUNTIF($H166:$L166,"نعم")=0,$D166-0,ROUND($D166/COUNTIF($G166:$L166,"نعم"),2))),IF($F166="مبالغ متفق عليها",IF(G166="نعم",M166,0),"")))</f>
      </c>
      <c r="U166" s="151" t="str">
        <f>IF(COUNTIF($A166:$S166,"&lt;&gt;")=0,"",IF($F166="بالتساوي بين المشاركين",IF(H166&lt;&gt;"نعم",0,IF(COUNTIF($I166:$L166,"نعم")=0,$D166-SUM($T166:T166),ROUND($D166/COUNTIF($G166:$L166,"نعم"),2))),IF($F166="مبالغ متفق عليها",IF(H166="نعم",N166,0),"")))</f>
      </c>
      <c r="V166" s="151" t="str">
        <f>IF(COUNTIF($A166:$S166,"&lt;&gt;")=0,"",IF($F166="بالتساوي بين المشاركين",IF(I166&lt;&gt;"نعم",0,IF(COUNTIF($J166:$L166,"نعم")=0,$D166-SUM($T166:U166),ROUND($D166/COUNTIF($G166:$L166,"نعم"),2))),IF($F166="مبالغ متفق عليها",IF(I166="نعم",O166,0),"")))</f>
      </c>
      <c r="W166" s="151" t="str">
        <f>IF(COUNTIF($A166:$S166,"&lt;&gt;")=0,"",IF($F166="بالتساوي بين المشاركين",IF(J166&lt;&gt;"نعم",0,IF(COUNTIF($K166:$L166,"نعم")=0,$D166-SUM($T166:V166),ROUND($D166/COUNTIF($G166:$L166,"نعم"),2))),IF($F166="مبالغ متفق عليها",IF(J166="نعم",P166,0),"")))</f>
      </c>
      <c r="X166" s="151" t="str">
        <f>IF(COUNTIF($A166:$S166,"&lt;&gt;")=0,"",IF($F166="بالتساوي بين المشاركين",IF(K166&lt;&gt;"نعم",0,IF(COUNTIF($L166:$L166,"نعم")=0,$D166-SUM($T166:W166),ROUND($D166/COUNTIF($G166:$L166,"نعم"),2))),IF($F166="مبالغ متفق عليها",IF(K166="نعم",Q166,0),"")))</f>
      </c>
      <c r="Y166" s="151" t="str">
        <f>IF(COUNTIF($A166:$S166,"&lt;&gt;")=0,"",IF($F166="بالتساوي بين المشاركين",IF(L166&lt;&gt;"نعم",0,IF(0=0,$D166-SUM($T166:X166),ROUND($D166/COUNTIF($G166:$L166,"نعم"),2))),IF($F166="مبالغ متفق عليها",IF(L166="نعم",R166,0),"")))</f>
      </c>
      <c r="Z166" s="165" t="str">
        <f>IF(COUNTIF($A166:$S166,"&lt;&gt;")=0,"",IF(OR($D166="",$D166&lt;=0),"أدخل مبلغًا أكبر من صفر.",IF($E166="","اختر الشخص الذي دفع المبلغ.",IF(COUNTIF($G166:$L166,"نعم")=0,"حدد شخصًا واحدًا على الأقل للمشاركة في المصروف.",IF($F166="بالتساوي بين المشاركين","جاهز",IF($F166="مبالغ متفق عليها",IF(OR(AND(G166="نعم",M166=""),AND(H166="نعم",N166=""),AND(I166="نعم",O166=""),AND(J166="نعم",P166=""),AND(K166="نعم",Q166=""),AND(L166="نعم",R166="")),"أدخل المبالغ المتفق عليها بحيث يساوي مجموعها مبلغ المصروف.",IF(ABS(SUM($M166:$R166))&lt;0.005,"أدخل المبالغ المتفق عليها بحيث يساوي مجموعها مبلغ المصروف.",IF(SUM($M166:$R166)&lt;$D166-0.005,"يتبقى للتوزيع: "&amp;ROUND($D166-SUM($M166:$R166),2)&amp;".",IF(SUM($M166:$R166)&gt;$D166+0.005,"يزيد مجموع الحصص على المصروف بمقدار "&amp;ROUND(SUM($M166:$R166)-$D166,2)&amp;".","جاهز")))),"أدخل المبالغ المتفق عليها بحيث يساوي مجموعها مبلغ المصروف."))))))</f>
      </c>
    </row>
    <row r="167">
      <c r="A167" s="149"/>
      <c r="B167" s="138"/>
      <c r="C167" s="138"/>
      <c r="D167" s="150"/>
      <c r="E167" s="138"/>
      <c r="F167" s="138"/>
      <c r="G167" s="138"/>
      <c r="H167" s="138"/>
      <c r="I167" s="138"/>
      <c r="J167" s="138"/>
      <c r="K167" s="138"/>
      <c r="L167" s="138"/>
      <c r="M167" s="150"/>
      <c r="N167" s="150"/>
      <c r="O167" s="150"/>
      <c r="P167" s="150"/>
      <c r="Q167" s="150"/>
      <c r="R167" s="150"/>
      <c r="S167" s="138"/>
      <c r="T167" s="151" t="str">
        <f>IF(COUNTIF($A167:$S167,"&lt;&gt;")=0,"",IF($F167="بالتساوي بين المشاركين",IF(G167&lt;&gt;"نعم",0,IF(COUNTIF($H167:$L167,"نعم")=0,$D167-0,ROUND($D167/COUNTIF($G167:$L167,"نعم"),2))),IF($F167="مبالغ متفق عليها",IF(G167="نعم",M167,0),"")))</f>
      </c>
      <c r="U167" s="151" t="str">
        <f>IF(COUNTIF($A167:$S167,"&lt;&gt;")=0,"",IF($F167="بالتساوي بين المشاركين",IF(H167&lt;&gt;"نعم",0,IF(COUNTIF($I167:$L167,"نعم")=0,$D167-SUM($T167:T167),ROUND($D167/COUNTIF($G167:$L167,"نعم"),2))),IF($F167="مبالغ متفق عليها",IF(H167="نعم",N167,0),"")))</f>
      </c>
      <c r="V167" s="151" t="str">
        <f>IF(COUNTIF($A167:$S167,"&lt;&gt;")=0,"",IF($F167="بالتساوي بين المشاركين",IF(I167&lt;&gt;"نعم",0,IF(COUNTIF($J167:$L167,"نعم")=0,$D167-SUM($T167:U167),ROUND($D167/COUNTIF($G167:$L167,"نعم"),2))),IF($F167="مبالغ متفق عليها",IF(I167="نعم",O167,0),"")))</f>
      </c>
      <c r="W167" s="151" t="str">
        <f>IF(COUNTIF($A167:$S167,"&lt;&gt;")=0,"",IF($F167="بالتساوي بين المشاركين",IF(J167&lt;&gt;"نعم",0,IF(COUNTIF($K167:$L167,"نعم")=0,$D167-SUM($T167:V167),ROUND($D167/COUNTIF($G167:$L167,"نعم"),2))),IF($F167="مبالغ متفق عليها",IF(J167="نعم",P167,0),"")))</f>
      </c>
      <c r="X167" s="151" t="str">
        <f>IF(COUNTIF($A167:$S167,"&lt;&gt;")=0,"",IF($F167="بالتساوي بين المشاركين",IF(K167&lt;&gt;"نعم",0,IF(COUNTIF($L167:$L167,"نعم")=0,$D167-SUM($T167:W167),ROUND($D167/COUNTIF($G167:$L167,"نعم"),2))),IF($F167="مبالغ متفق عليها",IF(K167="نعم",Q167,0),"")))</f>
      </c>
      <c r="Y167" s="151" t="str">
        <f>IF(COUNTIF($A167:$S167,"&lt;&gt;")=0,"",IF($F167="بالتساوي بين المشاركين",IF(L167&lt;&gt;"نعم",0,IF(0=0,$D167-SUM($T167:X167),ROUND($D167/COUNTIF($G167:$L167,"نعم"),2))),IF($F167="مبالغ متفق عليها",IF(L167="نعم",R167,0),"")))</f>
      </c>
      <c r="Z167" s="165" t="str">
        <f>IF(COUNTIF($A167:$S167,"&lt;&gt;")=0,"",IF(OR($D167="",$D167&lt;=0),"أدخل مبلغًا أكبر من صفر.",IF($E167="","اختر الشخص الذي دفع المبلغ.",IF(COUNTIF($G167:$L167,"نعم")=0,"حدد شخصًا واحدًا على الأقل للمشاركة في المصروف.",IF($F167="بالتساوي بين المشاركين","جاهز",IF($F167="مبالغ متفق عليها",IF(OR(AND(G167="نعم",M167=""),AND(H167="نعم",N167=""),AND(I167="نعم",O167=""),AND(J167="نعم",P167=""),AND(K167="نعم",Q167=""),AND(L167="نعم",R167="")),"أدخل المبالغ المتفق عليها بحيث يساوي مجموعها مبلغ المصروف.",IF(ABS(SUM($M167:$R167))&lt;0.005,"أدخل المبالغ المتفق عليها بحيث يساوي مجموعها مبلغ المصروف.",IF(SUM($M167:$R167)&lt;$D167-0.005,"يتبقى للتوزيع: "&amp;ROUND($D167-SUM($M167:$R167),2)&amp;".",IF(SUM($M167:$R167)&gt;$D167+0.005,"يزيد مجموع الحصص على المصروف بمقدار "&amp;ROUND(SUM($M167:$R167)-$D167,2)&amp;".","جاهز")))),"أدخل المبالغ المتفق عليها بحيث يساوي مجموعها مبلغ المصروف."))))))</f>
      </c>
    </row>
    <row r="168">
      <c r="A168" s="149"/>
      <c r="B168" s="138"/>
      <c r="C168" s="138"/>
      <c r="D168" s="150"/>
      <c r="E168" s="138"/>
      <c r="F168" s="138"/>
      <c r="G168" s="138"/>
      <c r="H168" s="138"/>
      <c r="I168" s="138"/>
      <c r="J168" s="138"/>
      <c r="K168" s="138"/>
      <c r="L168" s="138"/>
      <c r="M168" s="150"/>
      <c r="N168" s="150"/>
      <c r="O168" s="150"/>
      <c r="P168" s="150"/>
      <c r="Q168" s="150"/>
      <c r="R168" s="150"/>
      <c r="S168" s="138"/>
      <c r="T168" s="151" t="str">
        <f>IF(COUNTIF($A168:$S168,"&lt;&gt;")=0,"",IF($F168="بالتساوي بين المشاركين",IF(G168&lt;&gt;"نعم",0,IF(COUNTIF($H168:$L168,"نعم")=0,$D168-0,ROUND($D168/COUNTIF($G168:$L168,"نعم"),2))),IF($F168="مبالغ متفق عليها",IF(G168="نعم",M168,0),"")))</f>
      </c>
      <c r="U168" s="151" t="str">
        <f>IF(COUNTIF($A168:$S168,"&lt;&gt;")=0,"",IF($F168="بالتساوي بين المشاركين",IF(H168&lt;&gt;"نعم",0,IF(COUNTIF($I168:$L168,"نعم")=0,$D168-SUM($T168:T168),ROUND($D168/COUNTIF($G168:$L168,"نعم"),2))),IF($F168="مبالغ متفق عليها",IF(H168="نعم",N168,0),"")))</f>
      </c>
      <c r="V168" s="151" t="str">
        <f>IF(COUNTIF($A168:$S168,"&lt;&gt;")=0,"",IF($F168="بالتساوي بين المشاركين",IF(I168&lt;&gt;"نعم",0,IF(COUNTIF($J168:$L168,"نعم")=0,$D168-SUM($T168:U168),ROUND($D168/COUNTIF($G168:$L168,"نعم"),2))),IF($F168="مبالغ متفق عليها",IF(I168="نعم",O168,0),"")))</f>
      </c>
      <c r="W168" s="151" t="str">
        <f>IF(COUNTIF($A168:$S168,"&lt;&gt;")=0,"",IF($F168="بالتساوي بين المشاركين",IF(J168&lt;&gt;"نعم",0,IF(COUNTIF($K168:$L168,"نعم")=0,$D168-SUM($T168:V168),ROUND($D168/COUNTIF($G168:$L168,"نعم"),2))),IF($F168="مبالغ متفق عليها",IF(J168="نعم",P168,0),"")))</f>
      </c>
      <c r="X168" s="151" t="str">
        <f>IF(COUNTIF($A168:$S168,"&lt;&gt;")=0,"",IF($F168="بالتساوي بين المشاركين",IF(K168&lt;&gt;"نعم",0,IF(COUNTIF($L168:$L168,"نعم")=0,$D168-SUM($T168:W168),ROUND($D168/COUNTIF($G168:$L168,"نعم"),2))),IF($F168="مبالغ متفق عليها",IF(K168="نعم",Q168,0),"")))</f>
      </c>
      <c r="Y168" s="151" t="str">
        <f>IF(COUNTIF($A168:$S168,"&lt;&gt;")=0,"",IF($F168="بالتساوي بين المشاركين",IF(L168&lt;&gt;"نعم",0,IF(0=0,$D168-SUM($T168:X168),ROUND($D168/COUNTIF($G168:$L168,"نعم"),2))),IF($F168="مبالغ متفق عليها",IF(L168="نعم",R168,0),"")))</f>
      </c>
      <c r="Z168" s="165" t="str">
        <f>IF(COUNTIF($A168:$S168,"&lt;&gt;")=0,"",IF(OR($D168="",$D168&lt;=0),"أدخل مبلغًا أكبر من صفر.",IF($E168="","اختر الشخص الذي دفع المبلغ.",IF(COUNTIF($G168:$L168,"نعم")=0,"حدد شخصًا واحدًا على الأقل للمشاركة في المصروف.",IF($F168="بالتساوي بين المشاركين","جاهز",IF($F168="مبالغ متفق عليها",IF(OR(AND(G168="نعم",M168=""),AND(H168="نعم",N168=""),AND(I168="نعم",O168=""),AND(J168="نعم",P168=""),AND(K168="نعم",Q168=""),AND(L168="نعم",R168="")),"أدخل المبالغ المتفق عليها بحيث يساوي مجموعها مبلغ المصروف.",IF(ABS(SUM($M168:$R168))&lt;0.005,"أدخل المبالغ المتفق عليها بحيث يساوي مجموعها مبلغ المصروف.",IF(SUM($M168:$R168)&lt;$D168-0.005,"يتبقى للتوزيع: "&amp;ROUND($D168-SUM($M168:$R168),2)&amp;".",IF(SUM($M168:$R168)&gt;$D168+0.005,"يزيد مجموع الحصص على المصروف بمقدار "&amp;ROUND(SUM($M168:$R168)-$D168,2)&amp;".","جاهز")))),"أدخل المبالغ المتفق عليها بحيث يساوي مجموعها مبلغ المصروف."))))))</f>
      </c>
    </row>
    <row r="169">
      <c r="A169" s="149"/>
      <c r="B169" s="138"/>
      <c r="C169" s="138"/>
      <c r="D169" s="150"/>
      <c r="E169" s="138"/>
      <c r="F169" s="138"/>
      <c r="G169" s="138"/>
      <c r="H169" s="138"/>
      <c r="I169" s="138"/>
      <c r="J169" s="138"/>
      <c r="K169" s="138"/>
      <c r="L169" s="138"/>
      <c r="M169" s="150"/>
      <c r="N169" s="150"/>
      <c r="O169" s="150"/>
      <c r="P169" s="150"/>
      <c r="Q169" s="150"/>
      <c r="R169" s="150"/>
      <c r="S169" s="138"/>
      <c r="T169" s="151" t="str">
        <f>IF(COUNTIF($A169:$S169,"&lt;&gt;")=0,"",IF($F169="بالتساوي بين المشاركين",IF(G169&lt;&gt;"نعم",0,IF(COUNTIF($H169:$L169,"نعم")=0,$D169-0,ROUND($D169/COUNTIF($G169:$L169,"نعم"),2))),IF($F169="مبالغ متفق عليها",IF(G169="نعم",M169,0),"")))</f>
      </c>
      <c r="U169" s="151" t="str">
        <f>IF(COUNTIF($A169:$S169,"&lt;&gt;")=0,"",IF($F169="بالتساوي بين المشاركين",IF(H169&lt;&gt;"نعم",0,IF(COUNTIF($I169:$L169,"نعم")=0,$D169-SUM($T169:T169),ROUND($D169/COUNTIF($G169:$L169,"نعم"),2))),IF($F169="مبالغ متفق عليها",IF(H169="نعم",N169,0),"")))</f>
      </c>
      <c r="V169" s="151" t="str">
        <f>IF(COUNTIF($A169:$S169,"&lt;&gt;")=0,"",IF($F169="بالتساوي بين المشاركين",IF(I169&lt;&gt;"نعم",0,IF(COUNTIF($J169:$L169,"نعم")=0,$D169-SUM($T169:U169),ROUND($D169/COUNTIF($G169:$L169,"نعم"),2))),IF($F169="مبالغ متفق عليها",IF(I169="نعم",O169,0),"")))</f>
      </c>
      <c r="W169" s="151" t="str">
        <f>IF(COUNTIF($A169:$S169,"&lt;&gt;")=0,"",IF($F169="بالتساوي بين المشاركين",IF(J169&lt;&gt;"نعم",0,IF(COUNTIF($K169:$L169,"نعم")=0,$D169-SUM($T169:V169),ROUND($D169/COUNTIF($G169:$L169,"نعم"),2))),IF($F169="مبالغ متفق عليها",IF(J169="نعم",P169,0),"")))</f>
      </c>
      <c r="X169" s="151" t="str">
        <f>IF(COUNTIF($A169:$S169,"&lt;&gt;")=0,"",IF($F169="بالتساوي بين المشاركين",IF(K169&lt;&gt;"نعم",0,IF(COUNTIF($L169:$L169,"نعم")=0,$D169-SUM($T169:W169),ROUND($D169/COUNTIF($G169:$L169,"نعم"),2))),IF($F169="مبالغ متفق عليها",IF(K169="نعم",Q169,0),"")))</f>
      </c>
      <c r="Y169" s="151" t="str">
        <f>IF(COUNTIF($A169:$S169,"&lt;&gt;")=0,"",IF($F169="بالتساوي بين المشاركين",IF(L169&lt;&gt;"نعم",0,IF(0=0,$D169-SUM($T169:X169),ROUND($D169/COUNTIF($G169:$L169,"نعم"),2))),IF($F169="مبالغ متفق عليها",IF(L169="نعم",R169,0),"")))</f>
      </c>
      <c r="Z169" s="165" t="str">
        <f>IF(COUNTIF($A169:$S169,"&lt;&gt;")=0,"",IF(OR($D169="",$D169&lt;=0),"أدخل مبلغًا أكبر من صفر.",IF($E169="","اختر الشخص الذي دفع المبلغ.",IF(COUNTIF($G169:$L169,"نعم")=0,"حدد شخصًا واحدًا على الأقل للمشاركة في المصروف.",IF($F169="بالتساوي بين المشاركين","جاهز",IF($F169="مبالغ متفق عليها",IF(OR(AND(G169="نعم",M169=""),AND(H169="نعم",N169=""),AND(I169="نعم",O169=""),AND(J169="نعم",P169=""),AND(K169="نعم",Q169=""),AND(L169="نعم",R169="")),"أدخل المبالغ المتفق عليها بحيث يساوي مجموعها مبلغ المصروف.",IF(ABS(SUM($M169:$R169))&lt;0.005,"أدخل المبالغ المتفق عليها بحيث يساوي مجموعها مبلغ المصروف.",IF(SUM($M169:$R169)&lt;$D169-0.005,"يتبقى للتوزيع: "&amp;ROUND($D169-SUM($M169:$R169),2)&amp;".",IF(SUM($M169:$R169)&gt;$D169+0.005,"يزيد مجموع الحصص على المصروف بمقدار "&amp;ROUND(SUM($M169:$R169)-$D169,2)&amp;".","جاهز")))),"أدخل المبالغ المتفق عليها بحيث يساوي مجموعها مبلغ المصروف."))))))</f>
      </c>
    </row>
    <row r="170">
      <c r="A170" s="149"/>
      <c r="B170" s="138"/>
      <c r="C170" s="138"/>
      <c r="D170" s="150"/>
      <c r="E170" s="138"/>
      <c r="F170" s="138"/>
      <c r="G170" s="138"/>
      <c r="H170" s="138"/>
      <c r="I170" s="138"/>
      <c r="J170" s="138"/>
      <c r="K170" s="138"/>
      <c r="L170" s="138"/>
      <c r="M170" s="150"/>
      <c r="N170" s="150"/>
      <c r="O170" s="150"/>
      <c r="P170" s="150"/>
      <c r="Q170" s="150"/>
      <c r="R170" s="150"/>
      <c r="S170" s="138"/>
      <c r="T170" s="151" t="str">
        <f>IF(COUNTIF($A170:$S170,"&lt;&gt;")=0,"",IF($F170="بالتساوي بين المشاركين",IF(G170&lt;&gt;"نعم",0,IF(COUNTIF($H170:$L170,"نعم")=0,$D170-0,ROUND($D170/COUNTIF($G170:$L170,"نعم"),2))),IF($F170="مبالغ متفق عليها",IF(G170="نعم",M170,0),"")))</f>
      </c>
      <c r="U170" s="151" t="str">
        <f>IF(COUNTIF($A170:$S170,"&lt;&gt;")=0,"",IF($F170="بالتساوي بين المشاركين",IF(H170&lt;&gt;"نعم",0,IF(COUNTIF($I170:$L170,"نعم")=0,$D170-SUM($T170:T170),ROUND($D170/COUNTIF($G170:$L170,"نعم"),2))),IF($F170="مبالغ متفق عليها",IF(H170="نعم",N170,0),"")))</f>
      </c>
      <c r="V170" s="151" t="str">
        <f>IF(COUNTIF($A170:$S170,"&lt;&gt;")=0,"",IF($F170="بالتساوي بين المشاركين",IF(I170&lt;&gt;"نعم",0,IF(COUNTIF($J170:$L170,"نعم")=0,$D170-SUM($T170:U170),ROUND($D170/COUNTIF($G170:$L170,"نعم"),2))),IF($F170="مبالغ متفق عليها",IF(I170="نعم",O170,0),"")))</f>
      </c>
      <c r="W170" s="151" t="str">
        <f>IF(COUNTIF($A170:$S170,"&lt;&gt;")=0,"",IF($F170="بالتساوي بين المشاركين",IF(J170&lt;&gt;"نعم",0,IF(COUNTIF($K170:$L170,"نعم")=0,$D170-SUM($T170:V170),ROUND($D170/COUNTIF($G170:$L170,"نعم"),2))),IF($F170="مبالغ متفق عليها",IF(J170="نعم",P170,0),"")))</f>
      </c>
      <c r="X170" s="151" t="str">
        <f>IF(COUNTIF($A170:$S170,"&lt;&gt;")=0,"",IF($F170="بالتساوي بين المشاركين",IF(K170&lt;&gt;"نعم",0,IF(COUNTIF($L170:$L170,"نعم")=0,$D170-SUM($T170:W170),ROUND($D170/COUNTIF($G170:$L170,"نعم"),2))),IF($F170="مبالغ متفق عليها",IF(K170="نعم",Q170,0),"")))</f>
      </c>
      <c r="Y170" s="151" t="str">
        <f>IF(COUNTIF($A170:$S170,"&lt;&gt;")=0,"",IF($F170="بالتساوي بين المشاركين",IF(L170&lt;&gt;"نعم",0,IF(0=0,$D170-SUM($T170:X170),ROUND($D170/COUNTIF($G170:$L170,"نعم"),2))),IF($F170="مبالغ متفق عليها",IF(L170="نعم",R170,0),"")))</f>
      </c>
      <c r="Z170" s="165" t="str">
        <f>IF(COUNTIF($A170:$S170,"&lt;&gt;")=0,"",IF(OR($D170="",$D170&lt;=0),"أدخل مبلغًا أكبر من صفر.",IF($E170="","اختر الشخص الذي دفع المبلغ.",IF(COUNTIF($G170:$L170,"نعم")=0,"حدد شخصًا واحدًا على الأقل للمشاركة في المصروف.",IF($F170="بالتساوي بين المشاركين","جاهز",IF($F170="مبالغ متفق عليها",IF(OR(AND(G170="نعم",M170=""),AND(H170="نعم",N170=""),AND(I170="نعم",O170=""),AND(J170="نعم",P170=""),AND(K170="نعم",Q170=""),AND(L170="نعم",R170="")),"أدخل المبالغ المتفق عليها بحيث يساوي مجموعها مبلغ المصروف.",IF(ABS(SUM($M170:$R170))&lt;0.005,"أدخل المبالغ المتفق عليها بحيث يساوي مجموعها مبلغ المصروف.",IF(SUM($M170:$R170)&lt;$D170-0.005,"يتبقى للتوزيع: "&amp;ROUND($D170-SUM($M170:$R170),2)&amp;".",IF(SUM($M170:$R170)&gt;$D170+0.005,"يزيد مجموع الحصص على المصروف بمقدار "&amp;ROUND(SUM($M170:$R170)-$D170,2)&amp;".","جاهز")))),"أدخل المبالغ المتفق عليها بحيث يساوي مجموعها مبلغ المصروف."))))))</f>
      </c>
    </row>
    <row r="171">
      <c r="A171" s="149"/>
      <c r="B171" s="138"/>
      <c r="C171" s="138"/>
      <c r="D171" s="150"/>
      <c r="E171" s="138"/>
      <c r="F171" s="138"/>
      <c r="G171" s="138"/>
      <c r="H171" s="138"/>
      <c r="I171" s="138"/>
      <c r="J171" s="138"/>
      <c r="K171" s="138"/>
      <c r="L171" s="138"/>
      <c r="M171" s="150"/>
      <c r="N171" s="150"/>
      <c r="O171" s="150"/>
      <c r="P171" s="150"/>
      <c r="Q171" s="150"/>
      <c r="R171" s="150"/>
      <c r="S171" s="138"/>
      <c r="T171" s="151" t="str">
        <f>IF(COUNTIF($A171:$S171,"&lt;&gt;")=0,"",IF($F171="بالتساوي بين المشاركين",IF(G171&lt;&gt;"نعم",0,IF(COUNTIF($H171:$L171,"نعم")=0,$D171-0,ROUND($D171/COUNTIF($G171:$L171,"نعم"),2))),IF($F171="مبالغ متفق عليها",IF(G171="نعم",M171,0),"")))</f>
      </c>
      <c r="U171" s="151" t="str">
        <f>IF(COUNTIF($A171:$S171,"&lt;&gt;")=0,"",IF($F171="بالتساوي بين المشاركين",IF(H171&lt;&gt;"نعم",0,IF(COUNTIF($I171:$L171,"نعم")=0,$D171-SUM($T171:T171),ROUND($D171/COUNTIF($G171:$L171,"نعم"),2))),IF($F171="مبالغ متفق عليها",IF(H171="نعم",N171,0),"")))</f>
      </c>
      <c r="V171" s="151" t="str">
        <f>IF(COUNTIF($A171:$S171,"&lt;&gt;")=0,"",IF($F171="بالتساوي بين المشاركين",IF(I171&lt;&gt;"نعم",0,IF(COUNTIF($J171:$L171,"نعم")=0,$D171-SUM($T171:U171),ROUND($D171/COUNTIF($G171:$L171,"نعم"),2))),IF($F171="مبالغ متفق عليها",IF(I171="نعم",O171,0),"")))</f>
      </c>
      <c r="W171" s="151" t="str">
        <f>IF(COUNTIF($A171:$S171,"&lt;&gt;")=0,"",IF($F171="بالتساوي بين المشاركين",IF(J171&lt;&gt;"نعم",0,IF(COUNTIF($K171:$L171,"نعم")=0,$D171-SUM($T171:V171),ROUND($D171/COUNTIF($G171:$L171,"نعم"),2))),IF($F171="مبالغ متفق عليها",IF(J171="نعم",P171,0),"")))</f>
      </c>
      <c r="X171" s="151" t="str">
        <f>IF(COUNTIF($A171:$S171,"&lt;&gt;")=0,"",IF($F171="بالتساوي بين المشاركين",IF(K171&lt;&gt;"نعم",0,IF(COUNTIF($L171:$L171,"نعم")=0,$D171-SUM($T171:W171),ROUND($D171/COUNTIF($G171:$L171,"نعم"),2))),IF($F171="مبالغ متفق عليها",IF(K171="نعم",Q171,0),"")))</f>
      </c>
      <c r="Y171" s="151" t="str">
        <f>IF(COUNTIF($A171:$S171,"&lt;&gt;")=0,"",IF($F171="بالتساوي بين المشاركين",IF(L171&lt;&gt;"نعم",0,IF(0=0,$D171-SUM($T171:X171),ROUND($D171/COUNTIF($G171:$L171,"نعم"),2))),IF($F171="مبالغ متفق عليها",IF(L171="نعم",R171,0),"")))</f>
      </c>
      <c r="Z171" s="165" t="str">
        <f>IF(COUNTIF($A171:$S171,"&lt;&gt;")=0,"",IF(OR($D171="",$D171&lt;=0),"أدخل مبلغًا أكبر من صفر.",IF($E171="","اختر الشخص الذي دفع المبلغ.",IF(COUNTIF($G171:$L171,"نعم")=0,"حدد شخصًا واحدًا على الأقل للمشاركة في المصروف.",IF($F171="بالتساوي بين المشاركين","جاهز",IF($F171="مبالغ متفق عليها",IF(OR(AND(G171="نعم",M171=""),AND(H171="نعم",N171=""),AND(I171="نعم",O171=""),AND(J171="نعم",P171=""),AND(K171="نعم",Q171=""),AND(L171="نعم",R171="")),"أدخل المبالغ المتفق عليها بحيث يساوي مجموعها مبلغ المصروف.",IF(ABS(SUM($M171:$R171))&lt;0.005,"أدخل المبالغ المتفق عليها بحيث يساوي مجموعها مبلغ المصروف.",IF(SUM($M171:$R171)&lt;$D171-0.005,"يتبقى للتوزيع: "&amp;ROUND($D171-SUM($M171:$R171),2)&amp;".",IF(SUM($M171:$R171)&gt;$D171+0.005,"يزيد مجموع الحصص على المصروف بمقدار "&amp;ROUND(SUM($M171:$R171)-$D171,2)&amp;".","جاهز")))),"أدخل المبالغ المتفق عليها بحيث يساوي مجموعها مبلغ المصروف."))))))</f>
      </c>
    </row>
    <row r="172">
      <c r="A172" s="149"/>
      <c r="B172" s="138"/>
      <c r="C172" s="138"/>
      <c r="D172" s="150"/>
      <c r="E172" s="138"/>
      <c r="F172" s="138"/>
      <c r="G172" s="138"/>
      <c r="H172" s="138"/>
      <c r="I172" s="138"/>
      <c r="J172" s="138"/>
      <c r="K172" s="138"/>
      <c r="L172" s="138"/>
      <c r="M172" s="150"/>
      <c r="N172" s="150"/>
      <c r="O172" s="150"/>
      <c r="P172" s="150"/>
      <c r="Q172" s="150"/>
      <c r="R172" s="150"/>
      <c r="S172" s="138"/>
      <c r="T172" s="151" t="str">
        <f>IF(COUNTIF($A172:$S172,"&lt;&gt;")=0,"",IF($F172="بالتساوي بين المشاركين",IF(G172&lt;&gt;"نعم",0,IF(COUNTIF($H172:$L172,"نعم")=0,$D172-0,ROUND($D172/COUNTIF($G172:$L172,"نعم"),2))),IF($F172="مبالغ متفق عليها",IF(G172="نعم",M172,0),"")))</f>
      </c>
      <c r="U172" s="151" t="str">
        <f>IF(COUNTIF($A172:$S172,"&lt;&gt;")=0,"",IF($F172="بالتساوي بين المشاركين",IF(H172&lt;&gt;"نعم",0,IF(COUNTIF($I172:$L172,"نعم")=0,$D172-SUM($T172:T172),ROUND($D172/COUNTIF($G172:$L172,"نعم"),2))),IF($F172="مبالغ متفق عليها",IF(H172="نعم",N172,0),"")))</f>
      </c>
      <c r="V172" s="151" t="str">
        <f>IF(COUNTIF($A172:$S172,"&lt;&gt;")=0,"",IF($F172="بالتساوي بين المشاركين",IF(I172&lt;&gt;"نعم",0,IF(COUNTIF($J172:$L172,"نعم")=0,$D172-SUM($T172:U172),ROUND($D172/COUNTIF($G172:$L172,"نعم"),2))),IF($F172="مبالغ متفق عليها",IF(I172="نعم",O172,0),"")))</f>
      </c>
      <c r="W172" s="151" t="str">
        <f>IF(COUNTIF($A172:$S172,"&lt;&gt;")=0,"",IF($F172="بالتساوي بين المشاركين",IF(J172&lt;&gt;"نعم",0,IF(COUNTIF($K172:$L172,"نعم")=0,$D172-SUM($T172:V172),ROUND($D172/COUNTIF($G172:$L172,"نعم"),2))),IF($F172="مبالغ متفق عليها",IF(J172="نعم",P172,0),"")))</f>
      </c>
      <c r="X172" s="151" t="str">
        <f>IF(COUNTIF($A172:$S172,"&lt;&gt;")=0,"",IF($F172="بالتساوي بين المشاركين",IF(K172&lt;&gt;"نعم",0,IF(COUNTIF($L172:$L172,"نعم")=0,$D172-SUM($T172:W172),ROUND($D172/COUNTIF($G172:$L172,"نعم"),2))),IF($F172="مبالغ متفق عليها",IF(K172="نعم",Q172,0),"")))</f>
      </c>
      <c r="Y172" s="151" t="str">
        <f>IF(COUNTIF($A172:$S172,"&lt;&gt;")=0,"",IF($F172="بالتساوي بين المشاركين",IF(L172&lt;&gt;"نعم",0,IF(0=0,$D172-SUM($T172:X172),ROUND($D172/COUNTIF($G172:$L172,"نعم"),2))),IF($F172="مبالغ متفق عليها",IF(L172="نعم",R172,0),"")))</f>
      </c>
      <c r="Z172" s="165" t="str">
        <f>IF(COUNTIF($A172:$S172,"&lt;&gt;")=0,"",IF(OR($D172="",$D172&lt;=0),"أدخل مبلغًا أكبر من صفر.",IF($E172="","اختر الشخص الذي دفع المبلغ.",IF(COUNTIF($G172:$L172,"نعم")=0,"حدد شخصًا واحدًا على الأقل للمشاركة في المصروف.",IF($F172="بالتساوي بين المشاركين","جاهز",IF($F172="مبالغ متفق عليها",IF(OR(AND(G172="نعم",M172=""),AND(H172="نعم",N172=""),AND(I172="نعم",O172=""),AND(J172="نعم",P172=""),AND(K172="نعم",Q172=""),AND(L172="نعم",R172="")),"أدخل المبالغ المتفق عليها بحيث يساوي مجموعها مبلغ المصروف.",IF(ABS(SUM($M172:$R172))&lt;0.005,"أدخل المبالغ المتفق عليها بحيث يساوي مجموعها مبلغ المصروف.",IF(SUM($M172:$R172)&lt;$D172-0.005,"يتبقى للتوزيع: "&amp;ROUND($D172-SUM($M172:$R172),2)&amp;".",IF(SUM($M172:$R172)&gt;$D172+0.005,"يزيد مجموع الحصص على المصروف بمقدار "&amp;ROUND(SUM($M172:$R172)-$D172,2)&amp;".","جاهز")))),"أدخل المبالغ المتفق عليها بحيث يساوي مجموعها مبلغ المصروف."))))))</f>
      </c>
    </row>
    <row r="173">
      <c r="A173" s="149"/>
      <c r="B173" s="138"/>
      <c r="C173" s="138"/>
      <c r="D173" s="150"/>
      <c r="E173" s="138"/>
      <c r="F173" s="138"/>
      <c r="G173" s="138"/>
      <c r="H173" s="138"/>
      <c r="I173" s="138"/>
      <c r="J173" s="138"/>
      <c r="K173" s="138"/>
      <c r="L173" s="138"/>
      <c r="M173" s="150"/>
      <c r="N173" s="150"/>
      <c r="O173" s="150"/>
      <c r="P173" s="150"/>
      <c r="Q173" s="150"/>
      <c r="R173" s="150"/>
      <c r="S173" s="138"/>
      <c r="T173" s="151" t="str">
        <f>IF(COUNTIF($A173:$S173,"&lt;&gt;")=0,"",IF($F173="بالتساوي بين المشاركين",IF(G173&lt;&gt;"نعم",0,IF(COUNTIF($H173:$L173,"نعم")=0,$D173-0,ROUND($D173/COUNTIF($G173:$L173,"نعم"),2))),IF($F173="مبالغ متفق عليها",IF(G173="نعم",M173,0),"")))</f>
      </c>
      <c r="U173" s="151" t="str">
        <f>IF(COUNTIF($A173:$S173,"&lt;&gt;")=0,"",IF($F173="بالتساوي بين المشاركين",IF(H173&lt;&gt;"نعم",0,IF(COUNTIF($I173:$L173,"نعم")=0,$D173-SUM($T173:T173),ROUND($D173/COUNTIF($G173:$L173,"نعم"),2))),IF($F173="مبالغ متفق عليها",IF(H173="نعم",N173,0),"")))</f>
      </c>
      <c r="V173" s="151" t="str">
        <f>IF(COUNTIF($A173:$S173,"&lt;&gt;")=0,"",IF($F173="بالتساوي بين المشاركين",IF(I173&lt;&gt;"نعم",0,IF(COUNTIF($J173:$L173,"نعم")=0,$D173-SUM($T173:U173),ROUND($D173/COUNTIF($G173:$L173,"نعم"),2))),IF($F173="مبالغ متفق عليها",IF(I173="نعم",O173,0),"")))</f>
      </c>
      <c r="W173" s="151" t="str">
        <f>IF(COUNTIF($A173:$S173,"&lt;&gt;")=0,"",IF($F173="بالتساوي بين المشاركين",IF(J173&lt;&gt;"نعم",0,IF(COUNTIF($K173:$L173,"نعم")=0,$D173-SUM($T173:V173),ROUND($D173/COUNTIF($G173:$L173,"نعم"),2))),IF($F173="مبالغ متفق عليها",IF(J173="نعم",P173,0),"")))</f>
      </c>
      <c r="X173" s="151" t="str">
        <f>IF(COUNTIF($A173:$S173,"&lt;&gt;")=0,"",IF($F173="بالتساوي بين المشاركين",IF(K173&lt;&gt;"نعم",0,IF(COUNTIF($L173:$L173,"نعم")=0,$D173-SUM($T173:W173),ROUND($D173/COUNTIF($G173:$L173,"نعم"),2))),IF($F173="مبالغ متفق عليها",IF(K173="نعم",Q173,0),"")))</f>
      </c>
      <c r="Y173" s="151" t="str">
        <f>IF(COUNTIF($A173:$S173,"&lt;&gt;")=0,"",IF($F173="بالتساوي بين المشاركين",IF(L173&lt;&gt;"نعم",0,IF(0=0,$D173-SUM($T173:X173),ROUND($D173/COUNTIF($G173:$L173,"نعم"),2))),IF($F173="مبالغ متفق عليها",IF(L173="نعم",R173,0),"")))</f>
      </c>
      <c r="Z173" s="165" t="str">
        <f>IF(COUNTIF($A173:$S173,"&lt;&gt;")=0,"",IF(OR($D173="",$D173&lt;=0),"أدخل مبلغًا أكبر من صفر.",IF($E173="","اختر الشخص الذي دفع المبلغ.",IF(COUNTIF($G173:$L173,"نعم")=0,"حدد شخصًا واحدًا على الأقل للمشاركة في المصروف.",IF($F173="بالتساوي بين المشاركين","جاهز",IF($F173="مبالغ متفق عليها",IF(OR(AND(G173="نعم",M173=""),AND(H173="نعم",N173=""),AND(I173="نعم",O173=""),AND(J173="نعم",P173=""),AND(K173="نعم",Q173=""),AND(L173="نعم",R173="")),"أدخل المبالغ المتفق عليها بحيث يساوي مجموعها مبلغ المصروف.",IF(ABS(SUM($M173:$R173))&lt;0.005,"أدخل المبالغ المتفق عليها بحيث يساوي مجموعها مبلغ المصروف.",IF(SUM($M173:$R173)&lt;$D173-0.005,"يتبقى للتوزيع: "&amp;ROUND($D173-SUM($M173:$R173),2)&amp;".",IF(SUM($M173:$R173)&gt;$D173+0.005,"يزيد مجموع الحصص على المصروف بمقدار "&amp;ROUND(SUM($M173:$R173)-$D173,2)&amp;".","جاهز")))),"أدخل المبالغ المتفق عليها بحيث يساوي مجموعها مبلغ المصروف."))))))</f>
      </c>
    </row>
    <row r="174">
      <c r="A174" s="149"/>
      <c r="B174" s="138"/>
      <c r="C174" s="138"/>
      <c r="D174" s="150"/>
      <c r="E174" s="138"/>
      <c r="F174" s="138"/>
      <c r="G174" s="138"/>
      <c r="H174" s="138"/>
      <c r="I174" s="138"/>
      <c r="J174" s="138"/>
      <c r="K174" s="138"/>
      <c r="L174" s="138"/>
      <c r="M174" s="150"/>
      <c r="N174" s="150"/>
      <c r="O174" s="150"/>
      <c r="P174" s="150"/>
      <c r="Q174" s="150"/>
      <c r="R174" s="150"/>
      <c r="S174" s="138"/>
      <c r="T174" s="151" t="str">
        <f>IF(COUNTIF($A174:$S174,"&lt;&gt;")=0,"",IF($F174="بالتساوي بين المشاركين",IF(G174&lt;&gt;"نعم",0,IF(COUNTIF($H174:$L174,"نعم")=0,$D174-0,ROUND($D174/COUNTIF($G174:$L174,"نعم"),2))),IF($F174="مبالغ متفق عليها",IF(G174="نعم",M174,0),"")))</f>
      </c>
      <c r="U174" s="151" t="str">
        <f>IF(COUNTIF($A174:$S174,"&lt;&gt;")=0,"",IF($F174="بالتساوي بين المشاركين",IF(H174&lt;&gt;"نعم",0,IF(COUNTIF($I174:$L174,"نعم")=0,$D174-SUM($T174:T174),ROUND($D174/COUNTIF($G174:$L174,"نعم"),2))),IF($F174="مبالغ متفق عليها",IF(H174="نعم",N174,0),"")))</f>
      </c>
      <c r="V174" s="151" t="str">
        <f>IF(COUNTIF($A174:$S174,"&lt;&gt;")=0,"",IF($F174="بالتساوي بين المشاركين",IF(I174&lt;&gt;"نعم",0,IF(COUNTIF($J174:$L174,"نعم")=0,$D174-SUM($T174:U174),ROUND($D174/COUNTIF($G174:$L174,"نعم"),2))),IF($F174="مبالغ متفق عليها",IF(I174="نعم",O174,0),"")))</f>
      </c>
      <c r="W174" s="151" t="str">
        <f>IF(COUNTIF($A174:$S174,"&lt;&gt;")=0,"",IF($F174="بالتساوي بين المشاركين",IF(J174&lt;&gt;"نعم",0,IF(COUNTIF($K174:$L174,"نعم")=0,$D174-SUM($T174:V174),ROUND($D174/COUNTIF($G174:$L174,"نعم"),2))),IF($F174="مبالغ متفق عليها",IF(J174="نعم",P174,0),"")))</f>
      </c>
      <c r="X174" s="151" t="str">
        <f>IF(COUNTIF($A174:$S174,"&lt;&gt;")=0,"",IF($F174="بالتساوي بين المشاركين",IF(K174&lt;&gt;"نعم",0,IF(COUNTIF($L174:$L174,"نعم")=0,$D174-SUM($T174:W174),ROUND($D174/COUNTIF($G174:$L174,"نعم"),2))),IF($F174="مبالغ متفق عليها",IF(K174="نعم",Q174,0),"")))</f>
      </c>
      <c r="Y174" s="151" t="str">
        <f>IF(COUNTIF($A174:$S174,"&lt;&gt;")=0,"",IF($F174="بالتساوي بين المشاركين",IF(L174&lt;&gt;"نعم",0,IF(0=0,$D174-SUM($T174:X174),ROUND($D174/COUNTIF($G174:$L174,"نعم"),2))),IF($F174="مبالغ متفق عليها",IF(L174="نعم",R174,0),"")))</f>
      </c>
      <c r="Z174" s="165" t="str">
        <f>IF(COUNTIF($A174:$S174,"&lt;&gt;")=0,"",IF(OR($D174="",$D174&lt;=0),"أدخل مبلغًا أكبر من صفر.",IF($E174="","اختر الشخص الذي دفع المبلغ.",IF(COUNTIF($G174:$L174,"نعم")=0,"حدد شخصًا واحدًا على الأقل للمشاركة في المصروف.",IF($F174="بالتساوي بين المشاركين","جاهز",IF($F174="مبالغ متفق عليها",IF(OR(AND(G174="نعم",M174=""),AND(H174="نعم",N174=""),AND(I174="نعم",O174=""),AND(J174="نعم",P174=""),AND(K174="نعم",Q174=""),AND(L174="نعم",R174="")),"أدخل المبالغ المتفق عليها بحيث يساوي مجموعها مبلغ المصروف.",IF(ABS(SUM($M174:$R174))&lt;0.005,"أدخل المبالغ المتفق عليها بحيث يساوي مجموعها مبلغ المصروف.",IF(SUM($M174:$R174)&lt;$D174-0.005,"يتبقى للتوزيع: "&amp;ROUND($D174-SUM($M174:$R174),2)&amp;".",IF(SUM($M174:$R174)&gt;$D174+0.005,"يزيد مجموع الحصص على المصروف بمقدار "&amp;ROUND(SUM($M174:$R174)-$D174,2)&amp;".","جاهز")))),"أدخل المبالغ المتفق عليها بحيث يساوي مجموعها مبلغ المصروف."))))))</f>
      </c>
    </row>
    <row r="175">
      <c r="A175" s="149"/>
      <c r="B175" s="138"/>
      <c r="C175" s="138"/>
      <c r="D175" s="150"/>
      <c r="E175" s="138"/>
      <c r="F175" s="138"/>
      <c r="G175" s="138"/>
      <c r="H175" s="138"/>
      <c r="I175" s="138"/>
      <c r="J175" s="138"/>
      <c r="K175" s="138"/>
      <c r="L175" s="138"/>
      <c r="M175" s="150"/>
      <c r="N175" s="150"/>
      <c r="O175" s="150"/>
      <c r="P175" s="150"/>
      <c r="Q175" s="150"/>
      <c r="R175" s="150"/>
      <c r="S175" s="138"/>
      <c r="T175" s="151" t="str">
        <f>IF(COUNTIF($A175:$S175,"&lt;&gt;")=0,"",IF($F175="بالتساوي بين المشاركين",IF(G175&lt;&gt;"نعم",0,IF(COUNTIF($H175:$L175,"نعم")=0,$D175-0,ROUND($D175/COUNTIF($G175:$L175,"نعم"),2))),IF($F175="مبالغ متفق عليها",IF(G175="نعم",M175,0),"")))</f>
      </c>
      <c r="U175" s="151" t="str">
        <f>IF(COUNTIF($A175:$S175,"&lt;&gt;")=0,"",IF($F175="بالتساوي بين المشاركين",IF(H175&lt;&gt;"نعم",0,IF(COUNTIF($I175:$L175,"نعم")=0,$D175-SUM($T175:T175),ROUND($D175/COUNTIF($G175:$L175,"نعم"),2))),IF($F175="مبالغ متفق عليها",IF(H175="نعم",N175,0),"")))</f>
      </c>
      <c r="V175" s="151" t="str">
        <f>IF(COUNTIF($A175:$S175,"&lt;&gt;")=0,"",IF($F175="بالتساوي بين المشاركين",IF(I175&lt;&gt;"نعم",0,IF(COUNTIF($J175:$L175,"نعم")=0,$D175-SUM($T175:U175),ROUND($D175/COUNTIF($G175:$L175,"نعم"),2))),IF($F175="مبالغ متفق عليها",IF(I175="نعم",O175,0),"")))</f>
      </c>
      <c r="W175" s="151" t="str">
        <f>IF(COUNTIF($A175:$S175,"&lt;&gt;")=0,"",IF($F175="بالتساوي بين المشاركين",IF(J175&lt;&gt;"نعم",0,IF(COUNTIF($K175:$L175,"نعم")=0,$D175-SUM($T175:V175),ROUND($D175/COUNTIF($G175:$L175,"نعم"),2))),IF($F175="مبالغ متفق عليها",IF(J175="نعم",P175,0),"")))</f>
      </c>
      <c r="X175" s="151" t="str">
        <f>IF(COUNTIF($A175:$S175,"&lt;&gt;")=0,"",IF($F175="بالتساوي بين المشاركين",IF(K175&lt;&gt;"نعم",0,IF(COUNTIF($L175:$L175,"نعم")=0,$D175-SUM($T175:W175),ROUND($D175/COUNTIF($G175:$L175,"نعم"),2))),IF($F175="مبالغ متفق عليها",IF(K175="نعم",Q175,0),"")))</f>
      </c>
      <c r="Y175" s="151" t="str">
        <f>IF(COUNTIF($A175:$S175,"&lt;&gt;")=0,"",IF($F175="بالتساوي بين المشاركين",IF(L175&lt;&gt;"نعم",0,IF(0=0,$D175-SUM($T175:X175),ROUND($D175/COUNTIF($G175:$L175,"نعم"),2))),IF($F175="مبالغ متفق عليها",IF(L175="نعم",R175,0),"")))</f>
      </c>
      <c r="Z175" s="165" t="str">
        <f>IF(COUNTIF($A175:$S175,"&lt;&gt;")=0,"",IF(OR($D175="",$D175&lt;=0),"أدخل مبلغًا أكبر من صفر.",IF($E175="","اختر الشخص الذي دفع المبلغ.",IF(COUNTIF($G175:$L175,"نعم")=0,"حدد شخصًا واحدًا على الأقل للمشاركة في المصروف.",IF($F175="بالتساوي بين المشاركين","جاهز",IF($F175="مبالغ متفق عليها",IF(OR(AND(G175="نعم",M175=""),AND(H175="نعم",N175=""),AND(I175="نعم",O175=""),AND(J175="نعم",P175=""),AND(K175="نعم",Q175=""),AND(L175="نعم",R175="")),"أدخل المبالغ المتفق عليها بحيث يساوي مجموعها مبلغ المصروف.",IF(ABS(SUM($M175:$R175))&lt;0.005,"أدخل المبالغ المتفق عليها بحيث يساوي مجموعها مبلغ المصروف.",IF(SUM($M175:$R175)&lt;$D175-0.005,"يتبقى للتوزيع: "&amp;ROUND($D175-SUM($M175:$R175),2)&amp;".",IF(SUM($M175:$R175)&gt;$D175+0.005,"يزيد مجموع الحصص على المصروف بمقدار "&amp;ROUND(SUM($M175:$R175)-$D175,2)&amp;".","جاهز")))),"أدخل المبالغ المتفق عليها بحيث يساوي مجموعها مبلغ المصروف."))))))</f>
      </c>
    </row>
    <row r="176">
      <c r="A176" s="149"/>
      <c r="B176" s="138"/>
      <c r="C176" s="138"/>
      <c r="D176" s="150"/>
      <c r="E176" s="138"/>
      <c r="F176" s="138"/>
      <c r="G176" s="138"/>
      <c r="H176" s="138"/>
      <c r="I176" s="138"/>
      <c r="J176" s="138"/>
      <c r="K176" s="138"/>
      <c r="L176" s="138"/>
      <c r="M176" s="150"/>
      <c r="N176" s="150"/>
      <c r="O176" s="150"/>
      <c r="P176" s="150"/>
      <c r="Q176" s="150"/>
      <c r="R176" s="150"/>
      <c r="S176" s="138"/>
      <c r="T176" s="151" t="str">
        <f>IF(COUNTIF($A176:$S176,"&lt;&gt;")=0,"",IF($F176="بالتساوي بين المشاركين",IF(G176&lt;&gt;"نعم",0,IF(COUNTIF($H176:$L176,"نعم")=0,$D176-0,ROUND($D176/COUNTIF($G176:$L176,"نعم"),2))),IF($F176="مبالغ متفق عليها",IF(G176="نعم",M176,0),"")))</f>
      </c>
      <c r="U176" s="151" t="str">
        <f>IF(COUNTIF($A176:$S176,"&lt;&gt;")=0,"",IF($F176="بالتساوي بين المشاركين",IF(H176&lt;&gt;"نعم",0,IF(COUNTIF($I176:$L176,"نعم")=0,$D176-SUM($T176:T176),ROUND($D176/COUNTIF($G176:$L176,"نعم"),2))),IF($F176="مبالغ متفق عليها",IF(H176="نعم",N176,0),"")))</f>
      </c>
      <c r="V176" s="151" t="str">
        <f>IF(COUNTIF($A176:$S176,"&lt;&gt;")=0,"",IF($F176="بالتساوي بين المشاركين",IF(I176&lt;&gt;"نعم",0,IF(COUNTIF($J176:$L176,"نعم")=0,$D176-SUM($T176:U176),ROUND($D176/COUNTIF($G176:$L176,"نعم"),2))),IF($F176="مبالغ متفق عليها",IF(I176="نعم",O176,0),"")))</f>
      </c>
      <c r="W176" s="151" t="str">
        <f>IF(COUNTIF($A176:$S176,"&lt;&gt;")=0,"",IF($F176="بالتساوي بين المشاركين",IF(J176&lt;&gt;"نعم",0,IF(COUNTIF($K176:$L176,"نعم")=0,$D176-SUM($T176:V176),ROUND($D176/COUNTIF($G176:$L176,"نعم"),2))),IF($F176="مبالغ متفق عليها",IF(J176="نعم",P176,0),"")))</f>
      </c>
      <c r="X176" s="151" t="str">
        <f>IF(COUNTIF($A176:$S176,"&lt;&gt;")=0,"",IF($F176="بالتساوي بين المشاركين",IF(K176&lt;&gt;"نعم",0,IF(COUNTIF($L176:$L176,"نعم")=0,$D176-SUM($T176:W176),ROUND($D176/COUNTIF($G176:$L176,"نعم"),2))),IF($F176="مبالغ متفق عليها",IF(K176="نعم",Q176,0),"")))</f>
      </c>
      <c r="Y176" s="151" t="str">
        <f>IF(COUNTIF($A176:$S176,"&lt;&gt;")=0,"",IF($F176="بالتساوي بين المشاركين",IF(L176&lt;&gt;"نعم",0,IF(0=0,$D176-SUM($T176:X176),ROUND($D176/COUNTIF($G176:$L176,"نعم"),2))),IF($F176="مبالغ متفق عليها",IF(L176="نعم",R176,0),"")))</f>
      </c>
      <c r="Z176" s="165" t="str">
        <f>IF(COUNTIF($A176:$S176,"&lt;&gt;")=0,"",IF(OR($D176="",$D176&lt;=0),"أدخل مبلغًا أكبر من صفر.",IF($E176="","اختر الشخص الذي دفع المبلغ.",IF(COUNTIF($G176:$L176,"نعم")=0,"حدد شخصًا واحدًا على الأقل للمشاركة في المصروف.",IF($F176="بالتساوي بين المشاركين","جاهز",IF($F176="مبالغ متفق عليها",IF(OR(AND(G176="نعم",M176=""),AND(H176="نعم",N176=""),AND(I176="نعم",O176=""),AND(J176="نعم",P176=""),AND(K176="نعم",Q176=""),AND(L176="نعم",R176="")),"أدخل المبالغ المتفق عليها بحيث يساوي مجموعها مبلغ المصروف.",IF(ABS(SUM($M176:$R176))&lt;0.005,"أدخل المبالغ المتفق عليها بحيث يساوي مجموعها مبلغ المصروف.",IF(SUM($M176:$R176)&lt;$D176-0.005,"يتبقى للتوزيع: "&amp;ROUND($D176-SUM($M176:$R176),2)&amp;".",IF(SUM($M176:$R176)&gt;$D176+0.005,"يزيد مجموع الحصص على المصروف بمقدار "&amp;ROUND(SUM($M176:$R176)-$D176,2)&amp;".","جاهز")))),"أدخل المبالغ المتفق عليها بحيث يساوي مجموعها مبلغ المصروف."))))))</f>
      </c>
    </row>
    <row r="177">
      <c r="A177" s="149"/>
      <c r="B177" s="138"/>
      <c r="C177" s="138"/>
      <c r="D177" s="150"/>
      <c r="E177" s="138"/>
      <c r="F177" s="138"/>
      <c r="G177" s="138"/>
      <c r="H177" s="138"/>
      <c r="I177" s="138"/>
      <c r="J177" s="138"/>
      <c r="K177" s="138"/>
      <c r="L177" s="138"/>
      <c r="M177" s="150"/>
      <c r="N177" s="150"/>
      <c r="O177" s="150"/>
      <c r="P177" s="150"/>
      <c r="Q177" s="150"/>
      <c r="R177" s="150"/>
      <c r="S177" s="138"/>
      <c r="T177" s="151" t="str">
        <f>IF(COUNTIF($A177:$S177,"&lt;&gt;")=0,"",IF($F177="بالتساوي بين المشاركين",IF(G177&lt;&gt;"نعم",0,IF(COUNTIF($H177:$L177,"نعم")=0,$D177-0,ROUND($D177/COUNTIF($G177:$L177,"نعم"),2))),IF($F177="مبالغ متفق عليها",IF(G177="نعم",M177,0),"")))</f>
      </c>
      <c r="U177" s="151" t="str">
        <f>IF(COUNTIF($A177:$S177,"&lt;&gt;")=0,"",IF($F177="بالتساوي بين المشاركين",IF(H177&lt;&gt;"نعم",0,IF(COUNTIF($I177:$L177,"نعم")=0,$D177-SUM($T177:T177),ROUND($D177/COUNTIF($G177:$L177,"نعم"),2))),IF($F177="مبالغ متفق عليها",IF(H177="نعم",N177,0),"")))</f>
      </c>
      <c r="V177" s="151" t="str">
        <f>IF(COUNTIF($A177:$S177,"&lt;&gt;")=0,"",IF($F177="بالتساوي بين المشاركين",IF(I177&lt;&gt;"نعم",0,IF(COUNTIF($J177:$L177,"نعم")=0,$D177-SUM($T177:U177),ROUND($D177/COUNTIF($G177:$L177,"نعم"),2))),IF($F177="مبالغ متفق عليها",IF(I177="نعم",O177,0),"")))</f>
      </c>
      <c r="W177" s="151" t="str">
        <f>IF(COUNTIF($A177:$S177,"&lt;&gt;")=0,"",IF($F177="بالتساوي بين المشاركين",IF(J177&lt;&gt;"نعم",0,IF(COUNTIF($K177:$L177,"نعم")=0,$D177-SUM($T177:V177),ROUND($D177/COUNTIF($G177:$L177,"نعم"),2))),IF($F177="مبالغ متفق عليها",IF(J177="نعم",P177,0),"")))</f>
      </c>
      <c r="X177" s="151" t="str">
        <f>IF(COUNTIF($A177:$S177,"&lt;&gt;")=0,"",IF($F177="بالتساوي بين المشاركين",IF(K177&lt;&gt;"نعم",0,IF(COUNTIF($L177:$L177,"نعم")=0,$D177-SUM($T177:W177),ROUND($D177/COUNTIF($G177:$L177,"نعم"),2))),IF($F177="مبالغ متفق عليها",IF(K177="نعم",Q177,0),"")))</f>
      </c>
      <c r="Y177" s="151" t="str">
        <f>IF(COUNTIF($A177:$S177,"&lt;&gt;")=0,"",IF($F177="بالتساوي بين المشاركين",IF(L177&lt;&gt;"نعم",0,IF(0=0,$D177-SUM($T177:X177),ROUND($D177/COUNTIF($G177:$L177,"نعم"),2))),IF($F177="مبالغ متفق عليها",IF(L177="نعم",R177,0),"")))</f>
      </c>
      <c r="Z177" s="165" t="str">
        <f>IF(COUNTIF($A177:$S177,"&lt;&gt;")=0,"",IF(OR($D177="",$D177&lt;=0),"أدخل مبلغًا أكبر من صفر.",IF($E177="","اختر الشخص الذي دفع المبلغ.",IF(COUNTIF($G177:$L177,"نعم")=0,"حدد شخصًا واحدًا على الأقل للمشاركة في المصروف.",IF($F177="بالتساوي بين المشاركين","جاهز",IF($F177="مبالغ متفق عليها",IF(OR(AND(G177="نعم",M177=""),AND(H177="نعم",N177=""),AND(I177="نعم",O177=""),AND(J177="نعم",P177=""),AND(K177="نعم",Q177=""),AND(L177="نعم",R177="")),"أدخل المبالغ المتفق عليها بحيث يساوي مجموعها مبلغ المصروف.",IF(ABS(SUM($M177:$R177))&lt;0.005,"أدخل المبالغ المتفق عليها بحيث يساوي مجموعها مبلغ المصروف.",IF(SUM($M177:$R177)&lt;$D177-0.005,"يتبقى للتوزيع: "&amp;ROUND($D177-SUM($M177:$R177),2)&amp;".",IF(SUM($M177:$R177)&gt;$D177+0.005,"يزيد مجموع الحصص على المصروف بمقدار "&amp;ROUND(SUM($M177:$R177)-$D177,2)&amp;".","جاهز")))),"أدخل المبالغ المتفق عليها بحيث يساوي مجموعها مبلغ المصروف."))))))</f>
      </c>
    </row>
    <row r="178">
      <c r="A178" s="149"/>
      <c r="B178" s="138"/>
      <c r="C178" s="138"/>
      <c r="D178" s="150"/>
      <c r="E178" s="138"/>
      <c r="F178" s="138"/>
      <c r="G178" s="138"/>
      <c r="H178" s="138"/>
      <c r="I178" s="138"/>
      <c r="J178" s="138"/>
      <c r="K178" s="138"/>
      <c r="L178" s="138"/>
      <c r="M178" s="150"/>
      <c r="N178" s="150"/>
      <c r="O178" s="150"/>
      <c r="P178" s="150"/>
      <c r="Q178" s="150"/>
      <c r="R178" s="150"/>
      <c r="S178" s="138"/>
      <c r="T178" s="151" t="str">
        <f>IF(COUNTIF($A178:$S178,"&lt;&gt;")=0,"",IF($F178="بالتساوي بين المشاركين",IF(G178&lt;&gt;"نعم",0,IF(COUNTIF($H178:$L178,"نعم")=0,$D178-0,ROUND($D178/COUNTIF($G178:$L178,"نعم"),2))),IF($F178="مبالغ متفق عليها",IF(G178="نعم",M178,0),"")))</f>
      </c>
      <c r="U178" s="151" t="str">
        <f>IF(COUNTIF($A178:$S178,"&lt;&gt;")=0,"",IF($F178="بالتساوي بين المشاركين",IF(H178&lt;&gt;"نعم",0,IF(COUNTIF($I178:$L178,"نعم")=0,$D178-SUM($T178:T178),ROUND($D178/COUNTIF($G178:$L178,"نعم"),2))),IF($F178="مبالغ متفق عليها",IF(H178="نعم",N178,0),"")))</f>
      </c>
      <c r="V178" s="151" t="str">
        <f>IF(COUNTIF($A178:$S178,"&lt;&gt;")=0,"",IF($F178="بالتساوي بين المشاركين",IF(I178&lt;&gt;"نعم",0,IF(COUNTIF($J178:$L178,"نعم")=0,$D178-SUM($T178:U178),ROUND($D178/COUNTIF($G178:$L178,"نعم"),2))),IF($F178="مبالغ متفق عليها",IF(I178="نعم",O178,0),"")))</f>
      </c>
      <c r="W178" s="151" t="str">
        <f>IF(COUNTIF($A178:$S178,"&lt;&gt;")=0,"",IF($F178="بالتساوي بين المشاركين",IF(J178&lt;&gt;"نعم",0,IF(COUNTIF($K178:$L178,"نعم")=0,$D178-SUM($T178:V178),ROUND($D178/COUNTIF($G178:$L178,"نعم"),2))),IF($F178="مبالغ متفق عليها",IF(J178="نعم",P178,0),"")))</f>
      </c>
      <c r="X178" s="151" t="str">
        <f>IF(COUNTIF($A178:$S178,"&lt;&gt;")=0,"",IF($F178="بالتساوي بين المشاركين",IF(K178&lt;&gt;"نعم",0,IF(COUNTIF($L178:$L178,"نعم")=0,$D178-SUM($T178:W178),ROUND($D178/COUNTIF($G178:$L178,"نعم"),2))),IF($F178="مبالغ متفق عليها",IF(K178="نعم",Q178,0),"")))</f>
      </c>
      <c r="Y178" s="151" t="str">
        <f>IF(COUNTIF($A178:$S178,"&lt;&gt;")=0,"",IF($F178="بالتساوي بين المشاركين",IF(L178&lt;&gt;"نعم",0,IF(0=0,$D178-SUM($T178:X178),ROUND($D178/COUNTIF($G178:$L178,"نعم"),2))),IF($F178="مبالغ متفق عليها",IF(L178="نعم",R178,0),"")))</f>
      </c>
      <c r="Z178" s="165" t="str">
        <f>IF(COUNTIF($A178:$S178,"&lt;&gt;")=0,"",IF(OR($D178="",$D178&lt;=0),"أدخل مبلغًا أكبر من صفر.",IF($E178="","اختر الشخص الذي دفع المبلغ.",IF(COUNTIF($G178:$L178,"نعم")=0,"حدد شخصًا واحدًا على الأقل للمشاركة في المصروف.",IF($F178="بالتساوي بين المشاركين","جاهز",IF($F178="مبالغ متفق عليها",IF(OR(AND(G178="نعم",M178=""),AND(H178="نعم",N178=""),AND(I178="نعم",O178=""),AND(J178="نعم",P178=""),AND(K178="نعم",Q178=""),AND(L178="نعم",R178="")),"أدخل المبالغ المتفق عليها بحيث يساوي مجموعها مبلغ المصروف.",IF(ABS(SUM($M178:$R178))&lt;0.005,"أدخل المبالغ المتفق عليها بحيث يساوي مجموعها مبلغ المصروف.",IF(SUM($M178:$R178)&lt;$D178-0.005,"يتبقى للتوزيع: "&amp;ROUND($D178-SUM($M178:$R178),2)&amp;".",IF(SUM($M178:$R178)&gt;$D178+0.005,"يزيد مجموع الحصص على المصروف بمقدار "&amp;ROUND(SUM($M178:$R178)-$D178,2)&amp;".","جاهز")))),"أدخل المبالغ المتفق عليها بحيث يساوي مجموعها مبلغ المصروف."))))))</f>
      </c>
    </row>
    <row r="179">
      <c r="A179" s="149"/>
      <c r="B179" s="138"/>
      <c r="C179" s="138"/>
      <c r="D179" s="150"/>
      <c r="E179" s="138"/>
      <c r="F179" s="138"/>
      <c r="G179" s="138"/>
      <c r="H179" s="138"/>
      <c r="I179" s="138"/>
      <c r="J179" s="138"/>
      <c r="K179" s="138"/>
      <c r="L179" s="138"/>
      <c r="M179" s="150"/>
      <c r="N179" s="150"/>
      <c r="O179" s="150"/>
      <c r="P179" s="150"/>
      <c r="Q179" s="150"/>
      <c r="R179" s="150"/>
      <c r="S179" s="138"/>
      <c r="T179" s="151" t="str">
        <f>IF(COUNTIF($A179:$S179,"&lt;&gt;")=0,"",IF($F179="بالتساوي بين المشاركين",IF(G179&lt;&gt;"نعم",0,IF(COUNTIF($H179:$L179,"نعم")=0,$D179-0,ROUND($D179/COUNTIF($G179:$L179,"نعم"),2))),IF($F179="مبالغ متفق عليها",IF(G179="نعم",M179,0),"")))</f>
      </c>
      <c r="U179" s="151" t="str">
        <f>IF(COUNTIF($A179:$S179,"&lt;&gt;")=0,"",IF($F179="بالتساوي بين المشاركين",IF(H179&lt;&gt;"نعم",0,IF(COUNTIF($I179:$L179,"نعم")=0,$D179-SUM($T179:T179),ROUND($D179/COUNTIF($G179:$L179,"نعم"),2))),IF($F179="مبالغ متفق عليها",IF(H179="نعم",N179,0),"")))</f>
      </c>
      <c r="V179" s="151" t="str">
        <f>IF(COUNTIF($A179:$S179,"&lt;&gt;")=0,"",IF($F179="بالتساوي بين المشاركين",IF(I179&lt;&gt;"نعم",0,IF(COUNTIF($J179:$L179,"نعم")=0,$D179-SUM($T179:U179),ROUND($D179/COUNTIF($G179:$L179,"نعم"),2))),IF($F179="مبالغ متفق عليها",IF(I179="نعم",O179,0),"")))</f>
      </c>
      <c r="W179" s="151" t="str">
        <f>IF(COUNTIF($A179:$S179,"&lt;&gt;")=0,"",IF($F179="بالتساوي بين المشاركين",IF(J179&lt;&gt;"نعم",0,IF(COUNTIF($K179:$L179,"نعم")=0,$D179-SUM($T179:V179),ROUND($D179/COUNTIF($G179:$L179,"نعم"),2))),IF($F179="مبالغ متفق عليها",IF(J179="نعم",P179,0),"")))</f>
      </c>
      <c r="X179" s="151" t="str">
        <f>IF(COUNTIF($A179:$S179,"&lt;&gt;")=0,"",IF($F179="بالتساوي بين المشاركين",IF(K179&lt;&gt;"نعم",0,IF(COUNTIF($L179:$L179,"نعم")=0,$D179-SUM($T179:W179),ROUND($D179/COUNTIF($G179:$L179,"نعم"),2))),IF($F179="مبالغ متفق عليها",IF(K179="نعم",Q179,0),"")))</f>
      </c>
      <c r="Y179" s="151" t="str">
        <f>IF(COUNTIF($A179:$S179,"&lt;&gt;")=0,"",IF($F179="بالتساوي بين المشاركين",IF(L179&lt;&gt;"نعم",0,IF(0=0,$D179-SUM($T179:X179),ROUND($D179/COUNTIF($G179:$L179,"نعم"),2))),IF($F179="مبالغ متفق عليها",IF(L179="نعم",R179,0),"")))</f>
      </c>
      <c r="Z179" s="165" t="str">
        <f>IF(COUNTIF($A179:$S179,"&lt;&gt;")=0,"",IF(OR($D179="",$D179&lt;=0),"أدخل مبلغًا أكبر من صفر.",IF($E179="","اختر الشخص الذي دفع المبلغ.",IF(COUNTIF($G179:$L179,"نعم")=0,"حدد شخصًا واحدًا على الأقل للمشاركة في المصروف.",IF($F179="بالتساوي بين المشاركين","جاهز",IF($F179="مبالغ متفق عليها",IF(OR(AND(G179="نعم",M179=""),AND(H179="نعم",N179=""),AND(I179="نعم",O179=""),AND(J179="نعم",P179=""),AND(K179="نعم",Q179=""),AND(L179="نعم",R179="")),"أدخل المبالغ المتفق عليها بحيث يساوي مجموعها مبلغ المصروف.",IF(ABS(SUM($M179:$R179))&lt;0.005,"أدخل المبالغ المتفق عليها بحيث يساوي مجموعها مبلغ المصروف.",IF(SUM($M179:$R179)&lt;$D179-0.005,"يتبقى للتوزيع: "&amp;ROUND($D179-SUM($M179:$R179),2)&amp;".",IF(SUM($M179:$R179)&gt;$D179+0.005,"يزيد مجموع الحصص على المصروف بمقدار "&amp;ROUND(SUM($M179:$R179)-$D179,2)&amp;".","جاهز")))),"أدخل المبالغ المتفق عليها بحيث يساوي مجموعها مبلغ المصروف."))))))</f>
      </c>
    </row>
    <row r="180">
      <c r="A180" s="149"/>
      <c r="B180" s="138"/>
      <c r="C180" s="138"/>
      <c r="D180" s="150"/>
      <c r="E180" s="138"/>
      <c r="F180" s="138"/>
      <c r="G180" s="138"/>
      <c r="H180" s="138"/>
      <c r="I180" s="138"/>
      <c r="J180" s="138"/>
      <c r="K180" s="138"/>
      <c r="L180" s="138"/>
      <c r="M180" s="150"/>
      <c r="N180" s="150"/>
      <c r="O180" s="150"/>
      <c r="P180" s="150"/>
      <c r="Q180" s="150"/>
      <c r="R180" s="150"/>
      <c r="S180" s="138"/>
      <c r="T180" s="151" t="str">
        <f>IF(COUNTIF($A180:$S180,"&lt;&gt;")=0,"",IF($F180="بالتساوي بين المشاركين",IF(G180&lt;&gt;"نعم",0,IF(COUNTIF($H180:$L180,"نعم")=0,$D180-0,ROUND($D180/COUNTIF($G180:$L180,"نعم"),2))),IF($F180="مبالغ متفق عليها",IF(G180="نعم",M180,0),"")))</f>
      </c>
      <c r="U180" s="151" t="str">
        <f>IF(COUNTIF($A180:$S180,"&lt;&gt;")=0,"",IF($F180="بالتساوي بين المشاركين",IF(H180&lt;&gt;"نعم",0,IF(COUNTIF($I180:$L180,"نعم")=0,$D180-SUM($T180:T180),ROUND($D180/COUNTIF($G180:$L180,"نعم"),2))),IF($F180="مبالغ متفق عليها",IF(H180="نعم",N180,0),"")))</f>
      </c>
      <c r="V180" s="151" t="str">
        <f>IF(COUNTIF($A180:$S180,"&lt;&gt;")=0,"",IF($F180="بالتساوي بين المشاركين",IF(I180&lt;&gt;"نعم",0,IF(COUNTIF($J180:$L180,"نعم")=0,$D180-SUM($T180:U180),ROUND($D180/COUNTIF($G180:$L180,"نعم"),2))),IF($F180="مبالغ متفق عليها",IF(I180="نعم",O180,0),"")))</f>
      </c>
      <c r="W180" s="151" t="str">
        <f>IF(COUNTIF($A180:$S180,"&lt;&gt;")=0,"",IF($F180="بالتساوي بين المشاركين",IF(J180&lt;&gt;"نعم",0,IF(COUNTIF($K180:$L180,"نعم")=0,$D180-SUM($T180:V180),ROUND($D180/COUNTIF($G180:$L180,"نعم"),2))),IF($F180="مبالغ متفق عليها",IF(J180="نعم",P180,0),"")))</f>
      </c>
      <c r="X180" s="151" t="str">
        <f>IF(COUNTIF($A180:$S180,"&lt;&gt;")=0,"",IF($F180="بالتساوي بين المشاركين",IF(K180&lt;&gt;"نعم",0,IF(COUNTIF($L180:$L180,"نعم")=0,$D180-SUM($T180:W180),ROUND($D180/COUNTIF($G180:$L180,"نعم"),2))),IF($F180="مبالغ متفق عليها",IF(K180="نعم",Q180,0),"")))</f>
      </c>
      <c r="Y180" s="151" t="str">
        <f>IF(COUNTIF($A180:$S180,"&lt;&gt;")=0,"",IF($F180="بالتساوي بين المشاركين",IF(L180&lt;&gt;"نعم",0,IF(0=0,$D180-SUM($T180:X180),ROUND($D180/COUNTIF($G180:$L180,"نعم"),2))),IF($F180="مبالغ متفق عليها",IF(L180="نعم",R180,0),"")))</f>
      </c>
      <c r="Z180" s="165" t="str">
        <f>IF(COUNTIF($A180:$S180,"&lt;&gt;")=0,"",IF(OR($D180="",$D180&lt;=0),"أدخل مبلغًا أكبر من صفر.",IF($E180="","اختر الشخص الذي دفع المبلغ.",IF(COUNTIF($G180:$L180,"نعم")=0,"حدد شخصًا واحدًا على الأقل للمشاركة في المصروف.",IF($F180="بالتساوي بين المشاركين","جاهز",IF($F180="مبالغ متفق عليها",IF(OR(AND(G180="نعم",M180=""),AND(H180="نعم",N180=""),AND(I180="نعم",O180=""),AND(J180="نعم",P180=""),AND(K180="نعم",Q180=""),AND(L180="نعم",R180="")),"أدخل المبالغ المتفق عليها بحيث يساوي مجموعها مبلغ المصروف.",IF(ABS(SUM($M180:$R180))&lt;0.005,"أدخل المبالغ المتفق عليها بحيث يساوي مجموعها مبلغ المصروف.",IF(SUM($M180:$R180)&lt;$D180-0.005,"يتبقى للتوزيع: "&amp;ROUND($D180-SUM($M180:$R180),2)&amp;".",IF(SUM($M180:$R180)&gt;$D180+0.005,"يزيد مجموع الحصص على المصروف بمقدار "&amp;ROUND(SUM($M180:$R180)-$D180,2)&amp;".","جاهز")))),"أدخل المبالغ المتفق عليها بحيث يساوي مجموعها مبلغ المصروف."))))))</f>
      </c>
    </row>
    <row r="181">
      <c r="A181" s="149"/>
      <c r="B181" s="138"/>
      <c r="C181" s="138"/>
      <c r="D181" s="150"/>
      <c r="E181" s="138"/>
      <c r="F181" s="138"/>
      <c r="G181" s="138"/>
      <c r="H181" s="138"/>
      <c r="I181" s="138"/>
      <c r="J181" s="138"/>
      <c r="K181" s="138"/>
      <c r="L181" s="138"/>
      <c r="M181" s="150"/>
      <c r="N181" s="150"/>
      <c r="O181" s="150"/>
      <c r="P181" s="150"/>
      <c r="Q181" s="150"/>
      <c r="R181" s="150"/>
      <c r="S181" s="138"/>
      <c r="T181" s="151" t="str">
        <f>IF(COUNTIF($A181:$S181,"&lt;&gt;")=0,"",IF($F181="بالتساوي بين المشاركين",IF(G181&lt;&gt;"نعم",0,IF(COUNTIF($H181:$L181,"نعم")=0,$D181-0,ROUND($D181/COUNTIF($G181:$L181,"نعم"),2))),IF($F181="مبالغ متفق عليها",IF(G181="نعم",M181,0),"")))</f>
      </c>
      <c r="U181" s="151" t="str">
        <f>IF(COUNTIF($A181:$S181,"&lt;&gt;")=0,"",IF($F181="بالتساوي بين المشاركين",IF(H181&lt;&gt;"نعم",0,IF(COUNTIF($I181:$L181,"نعم")=0,$D181-SUM($T181:T181),ROUND($D181/COUNTIF($G181:$L181,"نعم"),2))),IF($F181="مبالغ متفق عليها",IF(H181="نعم",N181,0),"")))</f>
      </c>
      <c r="V181" s="151" t="str">
        <f>IF(COUNTIF($A181:$S181,"&lt;&gt;")=0,"",IF($F181="بالتساوي بين المشاركين",IF(I181&lt;&gt;"نعم",0,IF(COUNTIF($J181:$L181,"نعم")=0,$D181-SUM($T181:U181),ROUND($D181/COUNTIF($G181:$L181,"نعم"),2))),IF($F181="مبالغ متفق عليها",IF(I181="نعم",O181,0),"")))</f>
      </c>
      <c r="W181" s="151" t="str">
        <f>IF(COUNTIF($A181:$S181,"&lt;&gt;")=0,"",IF($F181="بالتساوي بين المشاركين",IF(J181&lt;&gt;"نعم",0,IF(COUNTIF($K181:$L181,"نعم")=0,$D181-SUM($T181:V181),ROUND($D181/COUNTIF($G181:$L181,"نعم"),2))),IF($F181="مبالغ متفق عليها",IF(J181="نعم",P181,0),"")))</f>
      </c>
      <c r="X181" s="151" t="str">
        <f>IF(COUNTIF($A181:$S181,"&lt;&gt;")=0,"",IF($F181="بالتساوي بين المشاركين",IF(K181&lt;&gt;"نعم",0,IF(COUNTIF($L181:$L181,"نعم")=0,$D181-SUM($T181:W181),ROUND($D181/COUNTIF($G181:$L181,"نعم"),2))),IF($F181="مبالغ متفق عليها",IF(K181="نعم",Q181,0),"")))</f>
      </c>
      <c r="Y181" s="151" t="str">
        <f>IF(COUNTIF($A181:$S181,"&lt;&gt;")=0,"",IF($F181="بالتساوي بين المشاركين",IF(L181&lt;&gt;"نعم",0,IF(0=0,$D181-SUM($T181:X181),ROUND($D181/COUNTIF($G181:$L181,"نعم"),2))),IF($F181="مبالغ متفق عليها",IF(L181="نعم",R181,0),"")))</f>
      </c>
      <c r="Z181" s="165" t="str">
        <f>IF(COUNTIF($A181:$S181,"&lt;&gt;")=0,"",IF(OR($D181="",$D181&lt;=0),"أدخل مبلغًا أكبر من صفر.",IF($E181="","اختر الشخص الذي دفع المبلغ.",IF(COUNTIF($G181:$L181,"نعم")=0,"حدد شخصًا واحدًا على الأقل للمشاركة في المصروف.",IF($F181="بالتساوي بين المشاركين","جاهز",IF($F181="مبالغ متفق عليها",IF(OR(AND(G181="نعم",M181=""),AND(H181="نعم",N181=""),AND(I181="نعم",O181=""),AND(J181="نعم",P181=""),AND(K181="نعم",Q181=""),AND(L181="نعم",R181="")),"أدخل المبالغ المتفق عليها بحيث يساوي مجموعها مبلغ المصروف.",IF(ABS(SUM($M181:$R181))&lt;0.005,"أدخل المبالغ المتفق عليها بحيث يساوي مجموعها مبلغ المصروف.",IF(SUM($M181:$R181)&lt;$D181-0.005,"يتبقى للتوزيع: "&amp;ROUND($D181-SUM($M181:$R181),2)&amp;".",IF(SUM($M181:$R181)&gt;$D181+0.005,"يزيد مجموع الحصص على المصروف بمقدار "&amp;ROUND(SUM($M181:$R181)-$D181,2)&amp;".","جاهز")))),"أدخل المبالغ المتفق عليها بحيث يساوي مجموعها مبلغ المصروف."))))))</f>
      </c>
    </row>
    <row r="182">
      <c r="A182" s="149"/>
      <c r="B182" s="138"/>
      <c r="C182" s="138"/>
      <c r="D182" s="150"/>
      <c r="E182" s="138"/>
      <c r="F182" s="138"/>
      <c r="G182" s="138"/>
      <c r="H182" s="138"/>
      <c r="I182" s="138"/>
      <c r="J182" s="138"/>
      <c r="K182" s="138"/>
      <c r="L182" s="138"/>
      <c r="M182" s="150"/>
      <c r="N182" s="150"/>
      <c r="O182" s="150"/>
      <c r="P182" s="150"/>
      <c r="Q182" s="150"/>
      <c r="R182" s="150"/>
      <c r="S182" s="138"/>
      <c r="T182" s="151" t="str">
        <f>IF(COUNTIF($A182:$S182,"&lt;&gt;")=0,"",IF($F182="بالتساوي بين المشاركين",IF(G182&lt;&gt;"نعم",0,IF(COUNTIF($H182:$L182,"نعم")=0,$D182-0,ROUND($D182/COUNTIF($G182:$L182,"نعم"),2))),IF($F182="مبالغ متفق عليها",IF(G182="نعم",M182,0),"")))</f>
      </c>
      <c r="U182" s="151" t="str">
        <f>IF(COUNTIF($A182:$S182,"&lt;&gt;")=0,"",IF($F182="بالتساوي بين المشاركين",IF(H182&lt;&gt;"نعم",0,IF(COUNTIF($I182:$L182,"نعم")=0,$D182-SUM($T182:T182),ROUND($D182/COUNTIF($G182:$L182,"نعم"),2))),IF($F182="مبالغ متفق عليها",IF(H182="نعم",N182,0),"")))</f>
      </c>
      <c r="V182" s="151" t="str">
        <f>IF(COUNTIF($A182:$S182,"&lt;&gt;")=0,"",IF($F182="بالتساوي بين المشاركين",IF(I182&lt;&gt;"نعم",0,IF(COUNTIF($J182:$L182,"نعم")=0,$D182-SUM($T182:U182),ROUND($D182/COUNTIF($G182:$L182,"نعم"),2))),IF($F182="مبالغ متفق عليها",IF(I182="نعم",O182,0),"")))</f>
      </c>
      <c r="W182" s="151" t="str">
        <f>IF(COUNTIF($A182:$S182,"&lt;&gt;")=0,"",IF($F182="بالتساوي بين المشاركين",IF(J182&lt;&gt;"نعم",0,IF(COUNTIF($K182:$L182,"نعم")=0,$D182-SUM($T182:V182),ROUND($D182/COUNTIF($G182:$L182,"نعم"),2))),IF($F182="مبالغ متفق عليها",IF(J182="نعم",P182,0),"")))</f>
      </c>
      <c r="X182" s="151" t="str">
        <f>IF(COUNTIF($A182:$S182,"&lt;&gt;")=0,"",IF($F182="بالتساوي بين المشاركين",IF(K182&lt;&gt;"نعم",0,IF(COUNTIF($L182:$L182,"نعم")=0,$D182-SUM($T182:W182),ROUND($D182/COUNTIF($G182:$L182,"نعم"),2))),IF($F182="مبالغ متفق عليها",IF(K182="نعم",Q182,0),"")))</f>
      </c>
      <c r="Y182" s="151" t="str">
        <f>IF(COUNTIF($A182:$S182,"&lt;&gt;")=0,"",IF($F182="بالتساوي بين المشاركين",IF(L182&lt;&gt;"نعم",0,IF(0=0,$D182-SUM($T182:X182),ROUND($D182/COUNTIF($G182:$L182,"نعم"),2))),IF($F182="مبالغ متفق عليها",IF(L182="نعم",R182,0),"")))</f>
      </c>
      <c r="Z182" s="165" t="str">
        <f>IF(COUNTIF($A182:$S182,"&lt;&gt;")=0,"",IF(OR($D182="",$D182&lt;=0),"أدخل مبلغًا أكبر من صفر.",IF($E182="","اختر الشخص الذي دفع المبلغ.",IF(COUNTIF($G182:$L182,"نعم")=0,"حدد شخصًا واحدًا على الأقل للمشاركة في المصروف.",IF($F182="بالتساوي بين المشاركين","جاهز",IF($F182="مبالغ متفق عليها",IF(OR(AND(G182="نعم",M182=""),AND(H182="نعم",N182=""),AND(I182="نعم",O182=""),AND(J182="نعم",P182=""),AND(K182="نعم",Q182=""),AND(L182="نعم",R182="")),"أدخل المبالغ المتفق عليها بحيث يساوي مجموعها مبلغ المصروف.",IF(ABS(SUM($M182:$R182))&lt;0.005,"أدخل المبالغ المتفق عليها بحيث يساوي مجموعها مبلغ المصروف.",IF(SUM($M182:$R182)&lt;$D182-0.005,"يتبقى للتوزيع: "&amp;ROUND($D182-SUM($M182:$R182),2)&amp;".",IF(SUM($M182:$R182)&gt;$D182+0.005,"يزيد مجموع الحصص على المصروف بمقدار "&amp;ROUND(SUM($M182:$R182)-$D182,2)&amp;".","جاهز")))),"أدخل المبالغ المتفق عليها بحيث يساوي مجموعها مبلغ المصروف."))))))</f>
      </c>
    </row>
    <row r="183">
      <c r="A183" s="149"/>
      <c r="B183" s="138"/>
      <c r="C183" s="138"/>
      <c r="D183" s="150"/>
      <c r="E183" s="138"/>
      <c r="F183" s="138"/>
      <c r="G183" s="138"/>
      <c r="H183" s="138"/>
      <c r="I183" s="138"/>
      <c r="J183" s="138"/>
      <c r="K183" s="138"/>
      <c r="L183" s="138"/>
      <c r="M183" s="150"/>
      <c r="N183" s="150"/>
      <c r="O183" s="150"/>
      <c r="P183" s="150"/>
      <c r="Q183" s="150"/>
      <c r="R183" s="150"/>
      <c r="S183" s="138"/>
      <c r="T183" s="151" t="str">
        <f>IF(COUNTIF($A183:$S183,"&lt;&gt;")=0,"",IF($F183="بالتساوي بين المشاركين",IF(G183&lt;&gt;"نعم",0,IF(COUNTIF($H183:$L183,"نعم")=0,$D183-0,ROUND($D183/COUNTIF($G183:$L183,"نعم"),2))),IF($F183="مبالغ متفق عليها",IF(G183="نعم",M183,0),"")))</f>
      </c>
      <c r="U183" s="151" t="str">
        <f>IF(COUNTIF($A183:$S183,"&lt;&gt;")=0,"",IF($F183="بالتساوي بين المشاركين",IF(H183&lt;&gt;"نعم",0,IF(COUNTIF($I183:$L183,"نعم")=0,$D183-SUM($T183:T183),ROUND($D183/COUNTIF($G183:$L183,"نعم"),2))),IF($F183="مبالغ متفق عليها",IF(H183="نعم",N183,0),"")))</f>
      </c>
      <c r="V183" s="151" t="str">
        <f>IF(COUNTIF($A183:$S183,"&lt;&gt;")=0,"",IF($F183="بالتساوي بين المشاركين",IF(I183&lt;&gt;"نعم",0,IF(COUNTIF($J183:$L183,"نعم")=0,$D183-SUM($T183:U183),ROUND($D183/COUNTIF($G183:$L183,"نعم"),2))),IF($F183="مبالغ متفق عليها",IF(I183="نعم",O183,0),"")))</f>
      </c>
      <c r="W183" s="151" t="str">
        <f>IF(COUNTIF($A183:$S183,"&lt;&gt;")=0,"",IF($F183="بالتساوي بين المشاركين",IF(J183&lt;&gt;"نعم",0,IF(COUNTIF($K183:$L183,"نعم")=0,$D183-SUM($T183:V183),ROUND($D183/COUNTIF($G183:$L183,"نعم"),2))),IF($F183="مبالغ متفق عليها",IF(J183="نعم",P183,0),"")))</f>
      </c>
      <c r="X183" s="151" t="str">
        <f>IF(COUNTIF($A183:$S183,"&lt;&gt;")=0,"",IF($F183="بالتساوي بين المشاركين",IF(K183&lt;&gt;"نعم",0,IF(COUNTIF($L183:$L183,"نعم")=0,$D183-SUM($T183:W183),ROUND($D183/COUNTIF($G183:$L183,"نعم"),2))),IF($F183="مبالغ متفق عليها",IF(K183="نعم",Q183,0),"")))</f>
      </c>
      <c r="Y183" s="151" t="str">
        <f>IF(COUNTIF($A183:$S183,"&lt;&gt;")=0,"",IF($F183="بالتساوي بين المشاركين",IF(L183&lt;&gt;"نعم",0,IF(0=0,$D183-SUM($T183:X183),ROUND($D183/COUNTIF($G183:$L183,"نعم"),2))),IF($F183="مبالغ متفق عليها",IF(L183="نعم",R183,0),"")))</f>
      </c>
      <c r="Z183" s="165" t="str">
        <f>IF(COUNTIF($A183:$S183,"&lt;&gt;")=0,"",IF(OR($D183="",$D183&lt;=0),"أدخل مبلغًا أكبر من صفر.",IF($E183="","اختر الشخص الذي دفع المبلغ.",IF(COUNTIF($G183:$L183,"نعم")=0,"حدد شخصًا واحدًا على الأقل للمشاركة في المصروف.",IF($F183="بالتساوي بين المشاركين","جاهز",IF($F183="مبالغ متفق عليها",IF(OR(AND(G183="نعم",M183=""),AND(H183="نعم",N183=""),AND(I183="نعم",O183=""),AND(J183="نعم",P183=""),AND(K183="نعم",Q183=""),AND(L183="نعم",R183="")),"أدخل المبالغ المتفق عليها بحيث يساوي مجموعها مبلغ المصروف.",IF(ABS(SUM($M183:$R183))&lt;0.005,"أدخل المبالغ المتفق عليها بحيث يساوي مجموعها مبلغ المصروف.",IF(SUM($M183:$R183)&lt;$D183-0.005,"يتبقى للتوزيع: "&amp;ROUND($D183-SUM($M183:$R183),2)&amp;".",IF(SUM($M183:$R183)&gt;$D183+0.005,"يزيد مجموع الحصص على المصروف بمقدار "&amp;ROUND(SUM($M183:$R183)-$D183,2)&amp;".","جاهز")))),"أدخل المبالغ المتفق عليها بحيث يساوي مجموعها مبلغ المصروف."))))))</f>
      </c>
    </row>
    <row r="184">
      <c r="A184" s="149"/>
      <c r="B184" s="138"/>
      <c r="C184" s="138"/>
      <c r="D184" s="150"/>
      <c r="E184" s="138"/>
      <c r="F184" s="138"/>
      <c r="G184" s="138"/>
      <c r="H184" s="138"/>
      <c r="I184" s="138"/>
      <c r="J184" s="138"/>
      <c r="K184" s="138"/>
      <c r="L184" s="138"/>
      <c r="M184" s="150"/>
      <c r="N184" s="150"/>
      <c r="O184" s="150"/>
      <c r="P184" s="150"/>
      <c r="Q184" s="150"/>
      <c r="R184" s="150"/>
      <c r="S184" s="138"/>
      <c r="T184" s="151" t="str">
        <f>IF(COUNTIF($A184:$S184,"&lt;&gt;")=0,"",IF($F184="بالتساوي بين المشاركين",IF(G184&lt;&gt;"نعم",0,IF(COUNTIF($H184:$L184,"نعم")=0,$D184-0,ROUND($D184/COUNTIF($G184:$L184,"نعم"),2))),IF($F184="مبالغ متفق عليها",IF(G184="نعم",M184,0),"")))</f>
      </c>
      <c r="U184" s="151" t="str">
        <f>IF(COUNTIF($A184:$S184,"&lt;&gt;")=0,"",IF($F184="بالتساوي بين المشاركين",IF(H184&lt;&gt;"نعم",0,IF(COUNTIF($I184:$L184,"نعم")=0,$D184-SUM($T184:T184),ROUND($D184/COUNTIF($G184:$L184,"نعم"),2))),IF($F184="مبالغ متفق عليها",IF(H184="نعم",N184,0),"")))</f>
      </c>
      <c r="V184" s="151" t="str">
        <f>IF(COUNTIF($A184:$S184,"&lt;&gt;")=0,"",IF($F184="بالتساوي بين المشاركين",IF(I184&lt;&gt;"نعم",0,IF(COUNTIF($J184:$L184,"نعم")=0,$D184-SUM($T184:U184),ROUND($D184/COUNTIF($G184:$L184,"نعم"),2))),IF($F184="مبالغ متفق عليها",IF(I184="نعم",O184,0),"")))</f>
      </c>
      <c r="W184" s="151" t="str">
        <f>IF(COUNTIF($A184:$S184,"&lt;&gt;")=0,"",IF($F184="بالتساوي بين المشاركين",IF(J184&lt;&gt;"نعم",0,IF(COUNTIF($K184:$L184,"نعم")=0,$D184-SUM($T184:V184),ROUND($D184/COUNTIF($G184:$L184,"نعم"),2))),IF($F184="مبالغ متفق عليها",IF(J184="نعم",P184,0),"")))</f>
      </c>
      <c r="X184" s="151" t="str">
        <f>IF(COUNTIF($A184:$S184,"&lt;&gt;")=0,"",IF($F184="بالتساوي بين المشاركين",IF(K184&lt;&gt;"نعم",0,IF(COUNTIF($L184:$L184,"نعم")=0,$D184-SUM($T184:W184),ROUND($D184/COUNTIF($G184:$L184,"نعم"),2))),IF($F184="مبالغ متفق عليها",IF(K184="نعم",Q184,0),"")))</f>
      </c>
      <c r="Y184" s="151" t="str">
        <f>IF(COUNTIF($A184:$S184,"&lt;&gt;")=0,"",IF($F184="بالتساوي بين المشاركين",IF(L184&lt;&gt;"نعم",0,IF(0=0,$D184-SUM($T184:X184),ROUND($D184/COUNTIF($G184:$L184,"نعم"),2))),IF($F184="مبالغ متفق عليها",IF(L184="نعم",R184,0),"")))</f>
      </c>
      <c r="Z184" s="165" t="str">
        <f>IF(COUNTIF($A184:$S184,"&lt;&gt;")=0,"",IF(OR($D184="",$D184&lt;=0),"أدخل مبلغًا أكبر من صفر.",IF($E184="","اختر الشخص الذي دفع المبلغ.",IF(COUNTIF($G184:$L184,"نعم")=0,"حدد شخصًا واحدًا على الأقل للمشاركة في المصروف.",IF($F184="بالتساوي بين المشاركين","جاهز",IF($F184="مبالغ متفق عليها",IF(OR(AND(G184="نعم",M184=""),AND(H184="نعم",N184=""),AND(I184="نعم",O184=""),AND(J184="نعم",P184=""),AND(K184="نعم",Q184=""),AND(L184="نعم",R184="")),"أدخل المبالغ المتفق عليها بحيث يساوي مجموعها مبلغ المصروف.",IF(ABS(SUM($M184:$R184))&lt;0.005,"أدخل المبالغ المتفق عليها بحيث يساوي مجموعها مبلغ المصروف.",IF(SUM($M184:$R184)&lt;$D184-0.005,"يتبقى للتوزيع: "&amp;ROUND($D184-SUM($M184:$R184),2)&amp;".",IF(SUM($M184:$R184)&gt;$D184+0.005,"يزيد مجموع الحصص على المصروف بمقدار "&amp;ROUND(SUM($M184:$R184)-$D184,2)&amp;".","جاهز")))),"أدخل المبالغ المتفق عليها بحيث يساوي مجموعها مبلغ المصروف."))))))</f>
      </c>
    </row>
    <row r="185">
      <c r="A185" s="149"/>
      <c r="B185" s="138"/>
      <c r="C185" s="138"/>
      <c r="D185" s="150"/>
      <c r="E185" s="138"/>
      <c r="F185" s="138"/>
      <c r="G185" s="138"/>
      <c r="H185" s="138"/>
      <c r="I185" s="138"/>
      <c r="J185" s="138"/>
      <c r="K185" s="138"/>
      <c r="L185" s="138"/>
      <c r="M185" s="150"/>
      <c r="N185" s="150"/>
      <c r="O185" s="150"/>
      <c r="P185" s="150"/>
      <c r="Q185" s="150"/>
      <c r="R185" s="150"/>
      <c r="S185" s="138"/>
      <c r="T185" s="151" t="str">
        <f>IF(COUNTIF($A185:$S185,"&lt;&gt;")=0,"",IF($F185="بالتساوي بين المشاركين",IF(G185&lt;&gt;"نعم",0,IF(COUNTIF($H185:$L185,"نعم")=0,$D185-0,ROUND($D185/COUNTIF($G185:$L185,"نعم"),2))),IF($F185="مبالغ متفق عليها",IF(G185="نعم",M185,0),"")))</f>
      </c>
      <c r="U185" s="151" t="str">
        <f>IF(COUNTIF($A185:$S185,"&lt;&gt;")=0,"",IF($F185="بالتساوي بين المشاركين",IF(H185&lt;&gt;"نعم",0,IF(COUNTIF($I185:$L185,"نعم")=0,$D185-SUM($T185:T185),ROUND($D185/COUNTIF($G185:$L185,"نعم"),2))),IF($F185="مبالغ متفق عليها",IF(H185="نعم",N185,0),"")))</f>
      </c>
      <c r="V185" s="151" t="str">
        <f>IF(COUNTIF($A185:$S185,"&lt;&gt;")=0,"",IF($F185="بالتساوي بين المشاركين",IF(I185&lt;&gt;"نعم",0,IF(COUNTIF($J185:$L185,"نعم")=0,$D185-SUM($T185:U185),ROUND($D185/COUNTIF($G185:$L185,"نعم"),2))),IF($F185="مبالغ متفق عليها",IF(I185="نعم",O185,0),"")))</f>
      </c>
      <c r="W185" s="151" t="str">
        <f>IF(COUNTIF($A185:$S185,"&lt;&gt;")=0,"",IF($F185="بالتساوي بين المشاركين",IF(J185&lt;&gt;"نعم",0,IF(COUNTIF($K185:$L185,"نعم")=0,$D185-SUM($T185:V185),ROUND($D185/COUNTIF($G185:$L185,"نعم"),2))),IF($F185="مبالغ متفق عليها",IF(J185="نعم",P185,0),"")))</f>
      </c>
      <c r="X185" s="151" t="str">
        <f>IF(COUNTIF($A185:$S185,"&lt;&gt;")=0,"",IF($F185="بالتساوي بين المشاركين",IF(K185&lt;&gt;"نعم",0,IF(COUNTIF($L185:$L185,"نعم")=0,$D185-SUM($T185:W185),ROUND($D185/COUNTIF($G185:$L185,"نعم"),2))),IF($F185="مبالغ متفق عليها",IF(K185="نعم",Q185,0),"")))</f>
      </c>
      <c r="Y185" s="151" t="str">
        <f>IF(COUNTIF($A185:$S185,"&lt;&gt;")=0,"",IF($F185="بالتساوي بين المشاركين",IF(L185&lt;&gt;"نعم",0,IF(0=0,$D185-SUM($T185:X185),ROUND($D185/COUNTIF($G185:$L185,"نعم"),2))),IF($F185="مبالغ متفق عليها",IF(L185="نعم",R185,0),"")))</f>
      </c>
      <c r="Z185" s="165" t="str">
        <f>IF(COUNTIF($A185:$S185,"&lt;&gt;")=0,"",IF(OR($D185="",$D185&lt;=0),"أدخل مبلغًا أكبر من صفر.",IF($E185="","اختر الشخص الذي دفع المبلغ.",IF(COUNTIF($G185:$L185,"نعم")=0,"حدد شخصًا واحدًا على الأقل للمشاركة في المصروف.",IF($F185="بالتساوي بين المشاركين","جاهز",IF($F185="مبالغ متفق عليها",IF(OR(AND(G185="نعم",M185=""),AND(H185="نعم",N185=""),AND(I185="نعم",O185=""),AND(J185="نعم",P185=""),AND(K185="نعم",Q185=""),AND(L185="نعم",R185="")),"أدخل المبالغ المتفق عليها بحيث يساوي مجموعها مبلغ المصروف.",IF(ABS(SUM($M185:$R185))&lt;0.005,"أدخل المبالغ المتفق عليها بحيث يساوي مجموعها مبلغ المصروف.",IF(SUM($M185:$R185)&lt;$D185-0.005,"يتبقى للتوزيع: "&amp;ROUND($D185-SUM($M185:$R185),2)&amp;".",IF(SUM($M185:$R185)&gt;$D185+0.005,"يزيد مجموع الحصص على المصروف بمقدار "&amp;ROUND(SUM($M185:$R185)-$D185,2)&amp;".","جاهز")))),"أدخل المبالغ المتفق عليها بحيث يساوي مجموعها مبلغ المصروف."))))))</f>
      </c>
    </row>
    <row r="186">
      <c r="A186" s="149"/>
      <c r="B186" s="138"/>
      <c r="C186" s="138"/>
      <c r="D186" s="150"/>
      <c r="E186" s="138"/>
      <c r="F186" s="138"/>
      <c r="G186" s="138"/>
      <c r="H186" s="138"/>
      <c r="I186" s="138"/>
      <c r="J186" s="138"/>
      <c r="K186" s="138"/>
      <c r="L186" s="138"/>
      <c r="M186" s="150"/>
      <c r="N186" s="150"/>
      <c r="O186" s="150"/>
      <c r="P186" s="150"/>
      <c r="Q186" s="150"/>
      <c r="R186" s="150"/>
      <c r="S186" s="138"/>
      <c r="T186" s="151" t="str">
        <f>IF(COUNTIF($A186:$S186,"&lt;&gt;")=0,"",IF($F186="بالتساوي بين المشاركين",IF(G186&lt;&gt;"نعم",0,IF(COUNTIF($H186:$L186,"نعم")=0,$D186-0,ROUND($D186/COUNTIF($G186:$L186,"نعم"),2))),IF($F186="مبالغ متفق عليها",IF(G186="نعم",M186,0),"")))</f>
      </c>
      <c r="U186" s="151" t="str">
        <f>IF(COUNTIF($A186:$S186,"&lt;&gt;")=0,"",IF($F186="بالتساوي بين المشاركين",IF(H186&lt;&gt;"نعم",0,IF(COUNTIF($I186:$L186,"نعم")=0,$D186-SUM($T186:T186),ROUND($D186/COUNTIF($G186:$L186,"نعم"),2))),IF($F186="مبالغ متفق عليها",IF(H186="نعم",N186,0),"")))</f>
      </c>
      <c r="V186" s="151" t="str">
        <f>IF(COUNTIF($A186:$S186,"&lt;&gt;")=0,"",IF($F186="بالتساوي بين المشاركين",IF(I186&lt;&gt;"نعم",0,IF(COUNTIF($J186:$L186,"نعم")=0,$D186-SUM($T186:U186),ROUND($D186/COUNTIF($G186:$L186,"نعم"),2))),IF($F186="مبالغ متفق عليها",IF(I186="نعم",O186,0),"")))</f>
      </c>
      <c r="W186" s="151" t="str">
        <f>IF(COUNTIF($A186:$S186,"&lt;&gt;")=0,"",IF($F186="بالتساوي بين المشاركين",IF(J186&lt;&gt;"نعم",0,IF(COUNTIF($K186:$L186,"نعم")=0,$D186-SUM($T186:V186),ROUND($D186/COUNTIF($G186:$L186,"نعم"),2))),IF($F186="مبالغ متفق عليها",IF(J186="نعم",P186,0),"")))</f>
      </c>
      <c r="X186" s="151" t="str">
        <f>IF(COUNTIF($A186:$S186,"&lt;&gt;")=0,"",IF($F186="بالتساوي بين المشاركين",IF(K186&lt;&gt;"نعم",0,IF(COUNTIF($L186:$L186,"نعم")=0,$D186-SUM($T186:W186),ROUND($D186/COUNTIF($G186:$L186,"نعم"),2))),IF($F186="مبالغ متفق عليها",IF(K186="نعم",Q186,0),"")))</f>
      </c>
      <c r="Y186" s="151" t="str">
        <f>IF(COUNTIF($A186:$S186,"&lt;&gt;")=0,"",IF($F186="بالتساوي بين المشاركين",IF(L186&lt;&gt;"نعم",0,IF(0=0,$D186-SUM($T186:X186),ROUND($D186/COUNTIF($G186:$L186,"نعم"),2))),IF($F186="مبالغ متفق عليها",IF(L186="نعم",R186,0),"")))</f>
      </c>
      <c r="Z186" s="165" t="str">
        <f>IF(COUNTIF($A186:$S186,"&lt;&gt;")=0,"",IF(OR($D186="",$D186&lt;=0),"أدخل مبلغًا أكبر من صفر.",IF($E186="","اختر الشخص الذي دفع المبلغ.",IF(COUNTIF($G186:$L186,"نعم")=0,"حدد شخصًا واحدًا على الأقل للمشاركة في المصروف.",IF($F186="بالتساوي بين المشاركين","جاهز",IF($F186="مبالغ متفق عليها",IF(OR(AND(G186="نعم",M186=""),AND(H186="نعم",N186=""),AND(I186="نعم",O186=""),AND(J186="نعم",P186=""),AND(K186="نعم",Q186=""),AND(L186="نعم",R186="")),"أدخل المبالغ المتفق عليها بحيث يساوي مجموعها مبلغ المصروف.",IF(ABS(SUM($M186:$R186))&lt;0.005,"أدخل المبالغ المتفق عليها بحيث يساوي مجموعها مبلغ المصروف.",IF(SUM($M186:$R186)&lt;$D186-0.005,"يتبقى للتوزيع: "&amp;ROUND($D186-SUM($M186:$R186),2)&amp;".",IF(SUM($M186:$R186)&gt;$D186+0.005,"يزيد مجموع الحصص على المصروف بمقدار "&amp;ROUND(SUM($M186:$R186)-$D186,2)&amp;".","جاهز")))),"أدخل المبالغ المتفق عليها بحيث يساوي مجموعها مبلغ المصروف."))))))</f>
      </c>
    </row>
    <row r="187">
      <c r="A187" s="149"/>
      <c r="B187" s="138"/>
      <c r="C187" s="138"/>
      <c r="D187" s="150"/>
      <c r="E187" s="138"/>
      <c r="F187" s="138"/>
      <c r="G187" s="138"/>
      <c r="H187" s="138"/>
      <c r="I187" s="138"/>
      <c r="J187" s="138"/>
      <c r="K187" s="138"/>
      <c r="L187" s="138"/>
      <c r="M187" s="150"/>
      <c r="N187" s="150"/>
      <c r="O187" s="150"/>
      <c r="P187" s="150"/>
      <c r="Q187" s="150"/>
      <c r="R187" s="150"/>
      <c r="S187" s="138"/>
      <c r="T187" s="151" t="str">
        <f>IF(COUNTIF($A187:$S187,"&lt;&gt;")=0,"",IF($F187="بالتساوي بين المشاركين",IF(G187&lt;&gt;"نعم",0,IF(COUNTIF($H187:$L187,"نعم")=0,$D187-0,ROUND($D187/COUNTIF($G187:$L187,"نعم"),2))),IF($F187="مبالغ متفق عليها",IF(G187="نعم",M187,0),"")))</f>
      </c>
      <c r="U187" s="151" t="str">
        <f>IF(COUNTIF($A187:$S187,"&lt;&gt;")=0,"",IF($F187="بالتساوي بين المشاركين",IF(H187&lt;&gt;"نعم",0,IF(COUNTIF($I187:$L187,"نعم")=0,$D187-SUM($T187:T187),ROUND($D187/COUNTIF($G187:$L187,"نعم"),2))),IF($F187="مبالغ متفق عليها",IF(H187="نعم",N187,0),"")))</f>
      </c>
      <c r="V187" s="151" t="str">
        <f>IF(COUNTIF($A187:$S187,"&lt;&gt;")=0,"",IF($F187="بالتساوي بين المشاركين",IF(I187&lt;&gt;"نعم",0,IF(COUNTIF($J187:$L187,"نعم")=0,$D187-SUM($T187:U187),ROUND($D187/COUNTIF($G187:$L187,"نعم"),2))),IF($F187="مبالغ متفق عليها",IF(I187="نعم",O187,0),"")))</f>
      </c>
      <c r="W187" s="151" t="str">
        <f>IF(COUNTIF($A187:$S187,"&lt;&gt;")=0,"",IF($F187="بالتساوي بين المشاركين",IF(J187&lt;&gt;"نعم",0,IF(COUNTIF($K187:$L187,"نعم")=0,$D187-SUM($T187:V187),ROUND($D187/COUNTIF($G187:$L187,"نعم"),2))),IF($F187="مبالغ متفق عليها",IF(J187="نعم",P187,0),"")))</f>
      </c>
      <c r="X187" s="151" t="str">
        <f>IF(COUNTIF($A187:$S187,"&lt;&gt;")=0,"",IF($F187="بالتساوي بين المشاركين",IF(K187&lt;&gt;"نعم",0,IF(COUNTIF($L187:$L187,"نعم")=0,$D187-SUM($T187:W187),ROUND($D187/COUNTIF($G187:$L187,"نعم"),2))),IF($F187="مبالغ متفق عليها",IF(K187="نعم",Q187,0),"")))</f>
      </c>
      <c r="Y187" s="151" t="str">
        <f>IF(COUNTIF($A187:$S187,"&lt;&gt;")=0,"",IF($F187="بالتساوي بين المشاركين",IF(L187&lt;&gt;"نعم",0,IF(0=0,$D187-SUM($T187:X187),ROUND($D187/COUNTIF($G187:$L187,"نعم"),2))),IF($F187="مبالغ متفق عليها",IF(L187="نعم",R187,0),"")))</f>
      </c>
      <c r="Z187" s="165" t="str">
        <f>IF(COUNTIF($A187:$S187,"&lt;&gt;")=0,"",IF(OR($D187="",$D187&lt;=0),"أدخل مبلغًا أكبر من صفر.",IF($E187="","اختر الشخص الذي دفع المبلغ.",IF(COUNTIF($G187:$L187,"نعم")=0,"حدد شخصًا واحدًا على الأقل للمشاركة في المصروف.",IF($F187="بالتساوي بين المشاركين","جاهز",IF($F187="مبالغ متفق عليها",IF(OR(AND(G187="نعم",M187=""),AND(H187="نعم",N187=""),AND(I187="نعم",O187=""),AND(J187="نعم",P187=""),AND(K187="نعم",Q187=""),AND(L187="نعم",R187="")),"أدخل المبالغ المتفق عليها بحيث يساوي مجموعها مبلغ المصروف.",IF(ABS(SUM($M187:$R187))&lt;0.005,"أدخل المبالغ المتفق عليها بحيث يساوي مجموعها مبلغ المصروف.",IF(SUM($M187:$R187)&lt;$D187-0.005,"يتبقى للتوزيع: "&amp;ROUND($D187-SUM($M187:$R187),2)&amp;".",IF(SUM($M187:$R187)&gt;$D187+0.005,"يزيد مجموع الحصص على المصروف بمقدار "&amp;ROUND(SUM($M187:$R187)-$D187,2)&amp;".","جاهز")))),"أدخل المبالغ المتفق عليها بحيث يساوي مجموعها مبلغ المصروف."))))))</f>
      </c>
    </row>
    <row r="188">
      <c r="A188" s="149"/>
      <c r="B188" s="138"/>
      <c r="C188" s="138"/>
      <c r="D188" s="150"/>
      <c r="E188" s="138"/>
      <c r="F188" s="138"/>
      <c r="G188" s="138"/>
      <c r="H188" s="138"/>
      <c r="I188" s="138"/>
      <c r="J188" s="138"/>
      <c r="K188" s="138"/>
      <c r="L188" s="138"/>
      <c r="M188" s="150"/>
      <c r="N188" s="150"/>
      <c r="O188" s="150"/>
      <c r="P188" s="150"/>
      <c r="Q188" s="150"/>
      <c r="R188" s="150"/>
      <c r="S188" s="138"/>
      <c r="T188" s="151" t="str">
        <f>IF(COUNTIF($A188:$S188,"&lt;&gt;")=0,"",IF($F188="بالتساوي بين المشاركين",IF(G188&lt;&gt;"نعم",0,IF(COUNTIF($H188:$L188,"نعم")=0,$D188-0,ROUND($D188/COUNTIF($G188:$L188,"نعم"),2))),IF($F188="مبالغ متفق عليها",IF(G188="نعم",M188,0),"")))</f>
      </c>
      <c r="U188" s="151" t="str">
        <f>IF(COUNTIF($A188:$S188,"&lt;&gt;")=0,"",IF($F188="بالتساوي بين المشاركين",IF(H188&lt;&gt;"نعم",0,IF(COUNTIF($I188:$L188,"نعم")=0,$D188-SUM($T188:T188),ROUND($D188/COUNTIF($G188:$L188,"نعم"),2))),IF($F188="مبالغ متفق عليها",IF(H188="نعم",N188,0),"")))</f>
      </c>
      <c r="V188" s="151" t="str">
        <f>IF(COUNTIF($A188:$S188,"&lt;&gt;")=0,"",IF($F188="بالتساوي بين المشاركين",IF(I188&lt;&gt;"نعم",0,IF(COUNTIF($J188:$L188,"نعم")=0,$D188-SUM($T188:U188),ROUND($D188/COUNTIF($G188:$L188,"نعم"),2))),IF($F188="مبالغ متفق عليها",IF(I188="نعم",O188,0),"")))</f>
      </c>
      <c r="W188" s="151" t="str">
        <f>IF(COUNTIF($A188:$S188,"&lt;&gt;")=0,"",IF($F188="بالتساوي بين المشاركين",IF(J188&lt;&gt;"نعم",0,IF(COUNTIF($K188:$L188,"نعم")=0,$D188-SUM($T188:V188),ROUND($D188/COUNTIF($G188:$L188,"نعم"),2))),IF($F188="مبالغ متفق عليها",IF(J188="نعم",P188,0),"")))</f>
      </c>
      <c r="X188" s="151" t="str">
        <f>IF(COUNTIF($A188:$S188,"&lt;&gt;")=0,"",IF($F188="بالتساوي بين المشاركين",IF(K188&lt;&gt;"نعم",0,IF(COUNTIF($L188:$L188,"نعم")=0,$D188-SUM($T188:W188),ROUND($D188/COUNTIF($G188:$L188,"نعم"),2))),IF($F188="مبالغ متفق عليها",IF(K188="نعم",Q188,0),"")))</f>
      </c>
      <c r="Y188" s="151" t="str">
        <f>IF(COUNTIF($A188:$S188,"&lt;&gt;")=0,"",IF($F188="بالتساوي بين المشاركين",IF(L188&lt;&gt;"نعم",0,IF(0=0,$D188-SUM($T188:X188),ROUND($D188/COUNTIF($G188:$L188,"نعم"),2))),IF($F188="مبالغ متفق عليها",IF(L188="نعم",R188,0),"")))</f>
      </c>
      <c r="Z188" s="165" t="str">
        <f>IF(COUNTIF($A188:$S188,"&lt;&gt;")=0,"",IF(OR($D188="",$D188&lt;=0),"أدخل مبلغًا أكبر من صفر.",IF($E188="","اختر الشخص الذي دفع المبلغ.",IF(COUNTIF($G188:$L188,"نعم")=0,"حدد شخصًا واحدًا على الأقل للمشاركة في المصروف.",IF($F188="بالتساوي بين المشاركين","جاهز",IF($F188="مبالغ متفق عليها",IF(OR(AND(G188="نعم",M188=""),AND(H188="نعم",N188=""),AND(I188="نعم",O188=""),AND(J188="نعم",P188=""),AND(K188="نعم",Q188=""),AND(L188="نعم",R188="")),"أدخل المبالغ المتفق عليها بحيث يساوي مجموعها مبلغ المصروف.",IF(ABS(SUM($M188:$R188))&lt;0.005,"أدخل المبالغ المتفق عليها بحيث يساوي مجموعها مبلغ المصروف.",IF(SUM($M188:$R188)&lt;$D188-0.005,"يتبقى للتوزيع: "&amp;ROUND($D188-SUM($M188:$R188),2)&amp;".",IF(SUM($M188:$R188)&gt;$D188+0.005,"يزيد مجموع الحصص على المصروف بمقدار "&amp;ROUND(SUM($M188:$R188)-$D188,2)&amp;".","جاهز")))),"أدخل المبالغ المتفق عليها بحيث يساوي مجموعها مبلغ المصروف."))))))</f>
      </c>
    </row>
    <row r="189">
      <c r="A189" s="149"/>
      <c r="B189" s="138"/>
      <c r="C189" s="138"/>
      <c r="D189" s="150"/>
      <c r="E189" s="138"/>
      <c r="F189" s="138"/>
      <c r="G189" s="138"/>
      <c r="H189" s="138"/>
      <c r="I189" s="138"/>
      <c r="J189" s="138"/>
      <c r="K189" s="138"/>
      <c r="L189" s="138"/>
      <c r="M189" s="150"/>
      <c r="N189" s="150"/>
      <c r="O189" s="150"/>
      <c r="P189" s="150"/>
      <c r="Q189" s="150"/>
      <c r="R189" s="150"/>
      <c r="S189" s="138"/>
      <c r="T189" s="151" t="str">
        <f>IF(COUNTIF($A189:$S189,"&lt;&gt;")=0,"",IF($F189="بالتساوي بين المشاركين",IF(G189&lt;&gt;"نعم",0,IF(COUNTIF($H189:$L189,"نعم")=0,$D189-0,ROUND($D189/COUNTIF($G189:$L189,"نعم"),2))),IF($F189="مبالغ متفق عليها",IF(G189="نعم",M189,0),"")))</f>
      </c>
      <c r="U189" s="151" t="str">
        <f>IF(COUNTIF($A189:$S189,"&lt;&gt;")=0,"",IF($F189="بالتساوي بين المشاركين",IF(H189&lt;&gt;"نعم",0,IF(COUNTIF($I189:$L189,"نعم")=0,$D189-SUM($T189:T189),ROUND($D189/COUNTIF($G189:$L189,"نعم"),2))),IF($F189="مبالغ متفق عليها",IF(H189="نعم",N189,0),"")))</f>
      </c>
      <c r="V189" s="151" t="str">
        <f>IF(COUNTIF($A189:$S189,"&lt;&gt;")=0,"",IF($F189="بالتساوي بين المشاركين",IF(I189&lt;&gt;"نعم",0,IF(COUNTIF($J189:$L189,"نعم")=0,$D189-SUM($T189:U189),ROUND($D189/COUNTIF($G189:$L189,"نعم"),2))),IF($F189="مبالغ متفق عليها",IF(I189="نعم",O189,0),"")))</f>
      </c>
      <c r="W189" s="151" t="str">
        <f>IF(COUNTIF($A189:$S189,"&lt;&gt;")=0,"",IF($F189="بالتساوي بين المشاركين",IF(J189&lt;&gt;"نعم",0,IF(COUNTIF($K189:$L189,"نعم")=0,$D189-SUM($T189:V189),ROUND($D189/COUNTIF($G189:$L189,"نعم"),2))),IF($F189="مبالغ متفق عليها",IF(J189="نعم",P189,0),"")))</f>
      </c>
      <c r="X189" s="151" t="str">
        <f>IF(COUNTIF($A189:$S189,"&lt;&gt;")=0,"",IF($F189="بالتساوي بين المشاركين",IF(K189&lt;&gt;"نعم",0,IF(COUNTIF($L189:$L189,"نعم")=0,$D189-SUM($T189:W189),ROUND($D189/COUNTIF($G189:$L189,"نعم"),2))),IF($F189="مبالغ متفق عليها",IF(K189="نعم",Q189,0),"")))</f>
      </c>
      <c r="Y189" s="151" t="str">
        <f>IF(COUNTIF($A189:$S189,"&lt;&gt;")=0,"",IF($F189="بالتساوي بين المشاركين",IF(L189&lt;&gt;"نعم",0,IF(0=0,$D189-SUM($T189:X189),ROUND($D189/COUNTIF($G189:$L189,"نعم"),2))),IF($F189="مبالغ متفق عليها",IF(L189="نعم",R189,0),"")))</f>
      </c>
      <c r="Z189" s="165" t="str">
        <f>IF(COUNTIF($A189:$S189,"&lt;&gt;")=0,"",IF(OR($D189="",$D189&lt;=0),"أدخل مبلغًا أكبر من صفر.",IF($E189="","اختر الشخص الذي دفع المبلغ.",IF(COUNTIF($G189:$L189,"نعم")=0,"حدد شخصًا واحدًا على الأقل للمشاركة في المصروف.",IF($F189="بالتساوي بين المشاركين","جاهز",IF($F189="مبالغ متفق عليها",IF(OR(AND(G189="نعم",M189=""),AND(H189="نعم",N189=""),AND(I189="نعم",O189=""),AND(J189="نعم",P189=""),AND(K189="نعم",Q189=""),AND(L189="نعم",R189="")),"أدخل المبالغ المتفق عليها بحيث يساوي مجموعها مبلغ المصروف.",IF(ABS(SUM($M189:$R189))&lt;0.005,"أدخل المبالغ المتفق عليها بحيث يساوي مجموعها مبلغ المصروف.",IF(SUM($M189:$R189)&lt;$D189-0.005,"يتبقى للتوزيع: "&amp;ROUND($D189-SUM($M189:$R189),2)&amp;".",IF(SUM($M189:$R189)&gt;$D189+0.005,"يزيد مجموع الحصص على المصروف بمقدار "&amp;ROUND(SUM($M189:$R189)-$D189,2)&amp;".","جاهز")))),"أدخل المبالغ المتفق عليها بحيث يساوي مجموعها مبلغ المصروف."))))))</f>
      </c>
    </row>
    <row r="190">
      <c r="A190" s="149"/>
      <c r="B190" s="138"/>
      <c r="C190" s="138"/>
      <c r="D190" s="150"/>
      <c r="E190" s="138"/>
      <c r="F190" s="138"/>
      <c r="G190" s="138"/>
      <c r="H190" s="138"/>
      <c r="I190" s="138"/>
      <c r="J190" s="138"/>
      <c r="K190" s="138"/>
      <c r="L190" s="138"/>
      <c r="M190" s="150"/>
      <c r="N190" s="150"/>
      <c r="O190" s="150"/>
      <c r="P190" s="150"/>
      <c r="Q190" s="150"/>
      <c r="R190" s="150"/>
      <c r="S190" s="138"/>
      <c r="T190" s="151" t="str">
        <f>IF(COUNTIF($A190:$S190,"&lt;&gt;")=0,"",IF($F190="بالتساوي بين المشاركين",IF(G190&lt;&gt;"نعم",0,IF(COUNTIF($H190:$L190,"نعم")=0,$D190-0,ROUND($D190/COUNTIF($G190:$L190,"نعم"),2))),IF($F190="مبالغ متفق عليها",IF(G190="نعم",M190,0),"")))</f>
      </c>
      <c r="U190" s="151" t="str">
        <f>IF(COUNTIF($A190:$S190,"&lt;&gt;")=0,"",IF($F190="بالتساوي بين المشاركين",IF(H190&lt;&gt;"نعم",0,IF(COUNTIF($I190:$L190,"نعم")=0,$D190-SUM($T190:T190),ROUND($D190/COUNTIF($G190:$L190,"نعم"),2))),IF($F190="مبالغ متفق عليها",IF(H190="نعم",N190,0),"")))</f>
      </c>
      <c r="V190" s="151" t="str">
        <f>IF(COUNTIF($A190:$S190,"&lt;&gt;")=0,"",IF($F190="بالتساوي بين المشاركين",IF(I190&lt;&gt;"نعم",0,IF(COUNTIF($J190:$L190,"نعم")=0,$D190-SUM($T190:U190),ROUND($D190/COUNTIF($G190:$L190,"نعم"),2))),IF($F190="مبالغ متفق عليها",IF(I190="نعم",O190,0),"")))</f>
      </c>
      <c r="W190" s="151" t="str">
        <f>IF(COUNTIF($A190:$S190,"&lt;&gt;")=0,"",IF($F190="بالتساوي بين المشاركين",IF(J190&lt;&gt;"نعم",0,IF(COUNTIF($K190:$L190,"نعم")=0,$D190-SUM($T190:V190),ROUND($D190/COUNTIF($G190:$L190,"نعم"),2))),IF($F190="مبالغ متفق عليها",IF(J190="نعم",P190,0),"")))</f>
      </c>
      <c r="X190" s="151" t="str">
        <f>IF(COUNTIF($A190:$S190,"&lt;&gt;")=0,"",IF($F190="بالتساوي بين المشاركين",IF(K190&lt;&gt;"نعم",0,IF(COUNTIF($L190:$L190,"نعم")=0,$D190-SUM($T190:W190),ROUND($D190/COUNTIF($G190:$L190,"نعم"),2))),IF($F190="مبالغ متفق عليها",IF(K190="نعم",Q190,0),"")))</f>
      </c>
      <c r="Y190" s="151" t="str">
        <f>IF(COUNTIF($A190:$S190,"&lt;&gt;")=0,"",IF($F190="بالتساوي بين المشاركين",IF(L190&lt;&gt;"نعم",0,IF(0=0,$D190-SUM($T190:X190),ROUND($D190/COUNTIF($G190:$L190,"نعم"),2))),IF($F190="مبالغ متفق عليها",IF(L190="نعم",R190,0),"")))</f>
      </c>
      <c r="Z190" s="165" t="str">
        <f>IF(COUNTIF($A190:$S190,"&lt;&gt;")=0,"",IF(OR($D190="",$D190&lt;=0),"أدخل مبلغًا أكبر من صفر.",IF($E190="","اختر الشخص الذي دفع المبلغ.",IF(COUNTIF($G190:$L190,"نعم")=0,"حدد شخصًا واحدًا على الأقل للمشاركة في المصروف.",IF($F190="بالتساوي بين المشاركين","جاهز",IF($F190="مبالغ متفق عليها",IF(OR(AND(G190="نعم",M190=""),AND(H190="نعم",N190=""),AND(I190="نعم",O190=""),AND(J190="نعم",P190=""),AND(K190="نعم",Q190=""),AND(L190="نعم",R190="")),"أدخل المبالغ المتفق عليها بحيث يساوي مجموعها مبلغ المصروف.",IF(ABS(SUM($M190:$R190))&lt;0.005,"أدخل المبالغ المتفق عليها بحيث يساوي مجموعها مبلغ المصروف.",IF(SUM($M190:$R190)&lt;$D190-0.005,"يتبقى للتوزيع: "&amp;ROUND($D190-SUM($M190:$R190),2)&amp;".",IF(SUM($M190:$R190)&gt;$D190+0.005,"يزيد مجموع الحصص على المصروف بمقدار "&amp;ROUND(SUM($M190:$R190)-$D190,2)&amp;".","جاهز")))),"أدخل المبالغ المتفق عليها بحيث يساوي مجموعها مبلغ المصروف."))))))</f>
      </c>
    </row>
    <row r="191">
      <c r="A191" s="149"/>
      <c r="B191" s="138"/>
      <c r="C191" s="138"/>
      <c r="D191" s="150"/>
      <c r="E191" s="138"/>
      <c r="F191" s="138"/>
      <c r="G191" s="138"/>
      <c r="H191" s="138"/>
      <c r="I191" s="138"/>
      <c r="J191" s="138"/>
      <c r="K191" s="138"/>
      <c r="L191" s="138"/>
      <c r="M191" s="150"/>
      <c r="N191" s="150"/>
      <c r="O191" s="150"/>
      <c r="P191" s="150"/>
      <c r="Q191" s="150"/>
      <c r="R191" s="150"/>
      <c r="S191" s="138"/>
      <c r="T191" s="151" t="str">
        <f>IF(COUNTIF($A191:$S191,"&lt;&gt;")=0,"",IF($F191="بالتساوي بين المشاركين",IF(G191&lt;&gt;"نعم",0,IF(COUNTIF($H191:$L191,"نعم")=0,$D191-0,ROUND($D191/COUNTIF($G191:$L191,"نعم"),2))),IF($F191="مبالغ متفق عليها",IF(G191="نعم",M191,0),"")))</f>
      </c>
      <c r="U191" s="151" t="str">
        <f>IF(COUNTIF($A191:$S191,"&lt;&gt;")=0,"",IF($F191="بالتساوي بين المشاركين",IF(H191&lt;&gt;"نعم",0,IF(COUNTIF($I191:$L191,"نعم")=0,$D191-SUM($T191:T191),ROUND($D191/COUNTIF($G191:$L191,"نعم"),2))),IF($F191="مبالغ متفق عليها",IF(H191="نعم",N191,0),"")))</f>
      </c>
      <c r="V191" s="151" t="str">
        <f>IF(COUNTIF($A191:$S191,"&lt;&gt;")=0,"",IF($F191="بالتساوي بين المشاركين",IF(I191&lt;&gt;"نعم",0,IF(COUNTIF($J191:$L191,"نعم")=0,$D191-SUM($T191:U191),ROUND($D191/COUNTIF($G191:$L191,"نعم"),2))),IF($F191="مبالغ متفق عليها",IF(I191="نعم",O191,0),"")))</f>
      </c>
      <c r="W191" s="151" t="str">
        <f>IF(COUNTIF($A191:$S191,"&lt;&gt;")=0,"",IF($F191="بالتساوي بين المشاركين",IF(J191&lt;&gt;"نعم",0,IF(COUNTIF($K191:$L191,"نعم")=0,$D191-SUM($T191:V191),ROUND($D191/COUNTIF($G191:$L191,"نعم"),2))),IF($F191="مبالغ متفق عليها",IF(J191="نعم",P191,0),"")))</f>
      </c>
      <c r="X191" s="151" t="str">
        <f>IF(COUNTIF($A191:$S191,"&lt;&gt;")=0,"",IF($F191="بالتساوي بين المشاركين",IF(K191&lt;&gt;"نعم",0,IF(COUNTIF($L191:$L191,"نعم")=0,$D191-SUM($T191:W191),ROUND($D191/COUNTIF($G191:$L191,"نعم"),2))),IF($F191="مبالغ متفق عليها",IF(K191="نعم",Q191,0),"")))</f>
      </c>
      <c r="Y191" s="151" t="str">
        <f>IF(COUNTIF($A191:$S191,"&lt;&gt;")=0,"",IF($F191="بالتساوي بين المشاركين",IF(L191&lt;&gt;"نعم",0,IF(0=0,$D191-SUM($T191:X191),ROUND($D191/COUNTIF($G191:$L191,"نعم"),2))),IF($F191="مبالغ متفق عليها",IF(L191="نعم",R191,0),"")))</f>
      </c>
      <c r="Z191" s="165" t="str">
        <f>IF(COUNTIF($A191:$S191,"&lt;&gt;")=0,"",IF(OR($D191="",$D191&lt;=0),"أدخل مبلغًا أكبر من صفر.",IF($E191="","اختر الشخص الذي دفع المبلغ.",IF(COUNTIF($G191:$L191,"نعم")=0,"حدد شخصًا واحدًا على الأقل للمشاركة في المصروف.",IF($F191="بالتساوي بين المشاركين","جاهز",IF($F191="مبالغ متفق عليها",IF(OR(AND(G191="نعم",M191=""),AND(H191="نعم",N191=""),AND(I191="نعم",O191=""),AND(J191="نعم",P191=""),AND(K191="نعم",Q191=""),AND(L191="نعم",R191="")),"أدخل المبالغ المتفق عليها بحيث يساوي مجموعها مبلغ المصروف.",IF(ABS(SUM($M191:$R191))&lt;0.005,"أدخل المبالغ المتفق عليها بحيث يساوي مجموعها مبلغ المصروف.",IF(SUM($M191:$R191)&lt;$D191-0.005,"يتبقى للتوزيع: "&amp;ROUND($D191-SUM($M191:$R191),2)&amp;".",IF(SUM($M191:$R191)&gt;$D191+0.005,"يزيد مجموع الحصص على المصروف بمقدار "&amp;ROUND(SUM($M191:$R191)-$D191,2)&amp;".","جاهز")))),"أدخل المبالغ المتفق عليها بحيث يساوي مجموعها مبلغ المصروف."))))))</f>
      </c>
    </row>
    <row r="192">
      <c r="A192" s="149"/>
      <c r="B192" s="138"/>
      <c r="C192" s="138"/>
      <c r="D192" s="150"/>
      <c r="E192" s="138"/>
      <c r="F192" s="138"/>
      <c r="G192" s="138"/>
      <c r="H192" s="138"/>
      <c r="I192" s="138"/>
      <c r="J192" s="138"/>
      <c r="K192" s="138"/>
      <c r="L192" s="138"/>
      <c r="M192" s="150"/>
      <c r="N192" s="150"/>
      <c r="O192" s="150"/>
      <c r="P192" s="150"/>
      <c r="Q192" s="150"/>
      <c r="R192" s="150"/>
      <c r="S192" s="138"/>
      <c r="T192" s="151" t="str">
        <f>IF(COUNTIF($A192:$S192,"&lt;&gt;")=0,"",IF($F192="بالتساوي بين المشاركين",IF(G192&lt;&gt;"نعم",0,IF(COUNTIF($H192:$L192,"نعم")=0,$D192-0,ROUND($D192/COUNTIF($G192:$L192,"نعم"),2))),IF($F192="مبالغ متفق عليها",IF(G192="نعم",M192,0),"")))</f>
      </c>
      <c r="U192" s="151" t="str">
        <f>IF(COUNTIF($A192:$S192,"&lt;&gt;")=0,"",IF($F192="بالتساوي بين المشاركين",IF(H192&lt;&gt;"نعم",0,IF(COUNTIF($I192:$L192,"نعم")=0,$D192-SUM($T192:T192),ROUND($D192/COUNTIF($G192:$L192,"نعم"),2))),IF($F192="مبالغ متفق عليها",IF(H192="نعم",N192,0),"")))</f>
      </c>
      <c r="V192" s="151" t="str">
        <f>IF(COUNTIF($A192:$S192,"&lt;&gt;")=0,"",IF($F192="بالتساوي بين المشاركين",IF(I192&lt;&gt;"نعم",0,IF(COUNTIF($J192:$L192,"نعم")=0,$D192-SUM($T192:U192),ROUND($D192/COUNTIF($G192:$L192,"نعم"),2))),IF($F192="مبالغ متفق عليها",IF(I192="نعم",O192,0),"")))</f>
      </c>
      <c r="W192" s="151" t="str">
        <f>IF(COUNTIF($A192:$S192,"&lt;&gt;")=0,"",IF($F192="بالتساوي بين المشاركين",IF(J192&lt;&gt;"نعم",0,IF(COUNTIF($K192:$L192,"نعم")=0,$D192-SUM($T192:V192),ROUND($D192/COUNTIF($G192:$L192,"نعم"),2))),IF($F192="مبالغ متفق عليها",IF(J192="نعم",P192,0),"")))</f>
      </c>
      <c r="X192" s="151" t="str">
        <f>IF(COUNTIF($A192:$S192,"&lt;&gt;")=0,"",IF($F192="بالتساوي بين المشاركين",IF(K192&lt;&gt;"نعم",0,IF(COUNTIF($L192:$L192,"نعم")=0,$D192-SUM($T192:W192),ROUND($D192/COUNTIF($G192:$L192,"نعم"),2))),IF($F192="مبالغ متفق عليها",IF(K192="نعم",Q192,0),"")))</f>
      </c>
      <c r="Y192" s="151" t="str">
        <f>IF(COUNTIF($A192:$S192,"&lt;&gt;")=0,"",IF($F192="بالتساوي بين المشاركين",IF(L192&lt;&gt;"نعم",0,IF(0=0,$D192-SUM($T192:X192),ROUND($D192/COUNTIF($G192:$L192,"نعم"),2))),IF($F192="مبالغ متفق عليها",IF(L192="نعم",R192,0),"")))</f>
      </c>
      <c r="Z192" s="165" t="str">
        <f>IF(COUNTIF($A192:$S192,"&lt;&gt;")=0,"",IF(OR($D192="",$D192&lt;=0),"أدخل مبلغًا أكبر من صفر.",IF($E192="","اختر الشخص الذي دفع المبلغ.",IF(COUNTIF($G192:$L192,"نعم")=0,"حدد شخصًا واحدًا على الأقل للمشاركة في المصروف.",IF($F192="بالتساوي بين المشاركين","جاهز",IF($F192="مبالغ متفق عليها",IF(OR(AND(G192="نعم",M192=""),AND(H192="نعم",N192=""),AND(I192="نعم",O192=""),AND(J192="نعم",P192=""),AND(K192="نعم",Q192=""),AND(L192="نعم",R192="")),"أدخل المبالغ المتفق عليها بحيث يساوي مجموعها مبلغ المصروف.",IF(ABS(SUM($M192:$R192))&lt;0.005,"أدخل المبالغ المتفق عليها بحيث يساوي مجموعها مبلغ المصروف.",IF(SUM($M192:$R192)&lt;$D192-0.005,"يتبقى للتوزيع: "&amp;ROUND($D192-SUM($M192:$R192),2)&amp;".",IF(SUM($M192:$R192)&gt;$D192+0.005,"يزيد مجموع الحصص على المصروف بمقدار "&amp;ROUND(SUM($M192:$R192)-$D192,2)&amp;".","جاهز")))),"أدخل المبالغ المتفق عليها بحيث يساوي مجموعها مبلغ المصروف."))))))</f>
      </c>
    </row>
    <row r="193">
      <c r="A193" s="149"/>
      <c r="B193" s="138"/>
      <c r="C193" s="138"/>
      <c r="D193" s="150"/>
      <c r="E193" s="138"/>
      <c r="F193" s="138"/>
      <c r="G193" s="138"/>
      <c r="H193" s="138"/>
      <c r="I193" s="138"/>
      <c r="J193" s="138"/>
      <c r="K193" s="138"/>
      <c r="L193" s="138"/>
      <c r="M193" s="150"/>
      <c r="N193" s="150"/>
      <c r="O193" s="150"/>
      <c r="P193" s="150"/>
      <c r="Q193" s="150"/>
      <c r="R193" s="150"/>
      <c r="S193" s="138"/>
      <c r="T193" s="151" t="str">
        <f>IF(COUNTIF($A193:$S193,"&lt;&gt;")=0,"",IF($F193="بالتساوي بين المشاركين",IF(G193&lt;&gt;"نعم",0,IF(COUNTIF($H193:$L193,"نعم")=0,$D193-0,ROUND($D193/COUNTIF($G193:$L193,"نعم"),2))),IF($F193="مبالغ متفق عليها",IF(G193="نعم",M193,0),"")))</f>
      </c>
      <c r="U193" s="151" t="str">
        <f>IF(COUNTIF($A193:$S193,"&lt;&gt;")=0,"",IF($F193="بالتساوي بين المشاركين",IF(H193&lt;&gt;"نعم",0,IF(COUNTIF($I193:$L193,"نعم")=0,$D193-SUM($T193:T193),ROUND($D193/COUNTIF($G193:$L193,"نعم"),2))),IF($F193="مبالغ متفق عليها",IF(H193="نعم",N193,0),"")))</f>
      </c>
      <c r="V193" s="151" t="str">
        <f>IF(COUNTIF($A193:$S193,"&lt;&gt;")=0,"",IF($F193="بالتساوي بين المشاركين",IF(I193&lt;&gt;"نعم",0,IF(COUNTIF($J193:$L193,"نعم")=0,$D193-SUM($T193:U193),ROUND($D193/COUNTIF($G193:$L193,"نعم"),2))),IF($F193="مبالغ متفق عليها",IF(I193="نعم",O193,0),"")))</f>
      </c>
      <c r="W193" s="151" t="str">
        <f>IF(COUNTIF($A193:$S193,"&lt;&gt;")=0,"",IF($F193="بالتساوي بين المشاركين",IF(J193&lt;&gt;"نعم",0,IF(COUNTIF($K193:$L193,"نعم")=0,$D193-SUM($T193:V193),ROUND($D193/COUNTIF($G193:$L193,"نعم"),2))),IF($F193="مبالغ متفق عليها",IF(J193="نعم",P193,0),"")))</f>
      </c>
      <c r="X193" s="151" t="str">
        <f>IF(COUNTIF($A193:$S193,"&lt;&gt;")=0,"",IF($F193="بالتساوي بين المشاركين",IF(K193&lt;&gt;"نعم",0,IF(COUNTIF($L193:$L193,"نعم")=0,$D193-SUM($T193:W193),ROUND($D193/COUNTIF($G193:$L193,"نعم"),2))),IF($F193="مبالغ متفق عليها",IF(K193="نعم",Q193,0),"")))</f>
      </c>
      <c r="Y193" s="151" t="str">
        <f>IF(COUNTIF($A193:$S193,"&lt;&gt;")=0,"",IF($F193="بالتساوي بين المشاركين",IF(L193&lt;&gt;"نعم",0,IF(0=0,$D193-SUM($T193:X193),ROUND($D193/COUNTIF($G193:$L193,"نعم"),2))),IF($F193="مبالغ متفق عليها",IF(L193="نعم",R193,0),"")))</f>
      </c>
      <c r="Z193" s="165" t="str">
        <f>IF(COUNTIF($A193:$S193,"&lt;&gt;")=0,"",IF(OR($D193="",$D193&lt;=0),"أدخل مبلغًا أكبر من صفر.",IF($E193="","اختر الشخص الذي دفع المبلغ.",IF(COUNTIF($G193:$L193,"نعم")=0,"حدد شخصًا واحدًا على الأقل للمشاركة في المصروف.",IF($F193="بالتساوي بين المشاركين","جاهز",IF($F193="مبالغ متفق عليها",IF(OR(AND(G193="نعم",M193=""),AND(H193="نعم",N193=""),AND(I193="نعم",O193=""),AND(J193="نعم",P193=""),AND(K193="نعم",Q193=""),AND(L193="نعم",R193="")),"أدخل المبالغ المتفق عليها بحيث يساوي مجموعها مبلغ المصروف.",IF(ABS(SUM($M193:$R193))&lt;0.005,"أدخل المبالغ المتفق عليها بحيث يساوي مجموعها مبلغ المصروف.",IF(SUM($M193:$R193)&lt;$D193-0.005,"يتبقى للتوزيع: "&amp;ROUND($D193-SUM($M193:$R193),2)&amp;".",IF(SUM($M193:$R193)&gt;$D193+0.005,"يزيد مجموع الحصص على المصروف بمقدار "&amp;ROUND(SUM($M193:$R193)-$D193,2)&amp;".","جاهز")))),"أدخل المبالغ المتفق عليها بحيث يساوي مجموعها مبلغ المصروف."))))))</f>
      </c>
    </row>
    <row r="194">
      <c r="A194" s="149"/>
      <c r="B194" s="138"/>
      <c r="C194" s="138"/>
      <c r="D194" s="150"/>
      <c r="E194" s="138"/>
      <c r="F194" s="138"/>
      <c r="G194" s="138"/>
      <c r="H194" s="138"/>
      <c r="I194" s="138"/>
      <c r="J194" s="138"/>
      <c r="K194" s="138"/>
      <c r="L194" s="138"/>
      <c r="M194" s="150"/>
      <c r="N194" s="150"/>
      <c r="O194" s="150"/>
      <c r="P194" s="150"/>
      <c r="Q194" s="150"/>
      <c r="R194" s="150"/>
      <c r="S194" s="138"/>
      <c r="T194" s="151" t="str">
        <f>IF(COUNTIF($A194:$S194,"&lt;&gt;")=0,"",IF($F194="بالتساوي بين المشاركين",IF(G194&lt;&gt;"نعم",0,IF(COUNTIF($H194:$L194,"نعم")=0,$D194-0,ROUND($D194/COUNTIF($G194:$L194,"نعم"),2))),IF($F194="مبالغ متفق عليها",IF(G194="نعم",M194,0),"")))</f>
      </c>
      <c r="U194" s="151" t="str">
        <f>IF(COUNTIF($A194:$S194,"&lt;&gt;")=0,"",IF($F194="بالتساوي بين المشاركين",IF(H194&lt;&gt;"نعم",0,IF(COUNTIF($I194:$L194,"نعم")=0,$D194-SUM($T194:T194),ROUND($D194/COUNTIF($G194:$L194,"نعم"),2))),IF($F194="مبالغ متفق عليها",IF(H194="نعم",N194,0),"")))</f>
      </c>
      <c r="V194" s="151" t="str">
        <f>IF(COUNTIF($A194:$S194,"&lt;&gt;")=0,"",IF($F194="بالتساوي بين المشاركين",IF(I194&lt;&gt;"نعم",0,IF(COUNTIF($J194:$L194,"نعم")=0,$D194-SUM($T194:U194),ROUND($D194/COUNTIF($G194:$L194,"نعم"),2))),IF($F194="مبالغ متفق عليها",IF(I194="نعم",O194,0),"")))</f>
      </c>
      <c r="W194" s="151" t="str">
        <f>IF(COUNTIF($A194:$S194,"&lt;&gt;")=0,"",IF($F194="بالتساوي بين المشاركين",IF(J194&lt;&gt;"نعم",0,IF(COUNTIF($K194:$L194,"نعم")=0,$D194-SUM($T194:V194),ROUND($D194/COUNTIF($G194:$L194,"نعم"),2))),IF($F194="مبالغ متفق عليها",IF(J194="نعم",P194,0),"")))</f>
      </c>
      <c r="X194" s="151" t="str">
        <f>IF(COUNTIF($A194:$S194,"&lt;&gt;")=0,"",IF($F194="بالتساوي بين المشاركين",IF(K194&lt;&gt;"نعم",0,IF(COUNTIF($L194:$L194,"نعم")=0,$D194-SUM($T194:W194),ROUND($D194/COUNTIF($G194:$L194,"نعم"),2))),IF($F194="مبالغ متفق عليها",IF(K194="نعم",Q194,0),"")))</f>
      </c>
      <c r="Y194" s="151" t="str">
        <f>IF(COUNTIF($A194:$S194,"&lt;&gt;")=0,"",IF($F194="بالتساوي بين المشاركين",IF(L194&lt;&gt;"نعم",0,IF(0=0,$D194-SUM($T194:X194),ROUND($D194/COUNTIF($G194:$L194,"نعم"),2))),IF($F194="مبالغ متفق عليها",IF(L194="نعم",R194,0),"")))</f>
      </c>
      <c r="Z194" s="165" t="str">
        <f>IF(COUNTIF($A194:$S194,"&lt;&gt;")=0,"",IF(OR($D194="",$D194&lt;=0),"أدخل مبلغًا أكبر من صفر.",IF($E194="","اختر الشخص الذي دفع المبلغ.",IF(COUNTIF($G194:$L194,"نعم")=0,"حدد شخصًا واحدًا على الأقل للمشاركة في المصروف.",IF($F194="بالتساوي بين المشاركين","جاهز",IF($F194="مبالغ متفق عليها",IF(OR(AND(G194="نعم",M194=""),AND(H194="نعم",N194=""),AND(I194="نعم",O194=""),AND(J194="نعم",P194=""),AND(K194="نعم",Q194=""),AND(L194="نعم",R194="")),"أدخل المبالغ المتفق عليها بحيث يساوي مجموعها مبلغ المصروف.",IF(ABS(SUM($M194:$R194))&lt;0.005,"أدخل المبالغ المتفق عليها بحيث يساوي مجموعها مبلغ المصروف.",IF(SUM($M194:$R194)&lt;$D194-0.005,"يتبقى للتوزيع: "&amp;ROUND($D194-SUM($M194:$R194),2)&amp;".",IF(SUM($M194:$R194)&gt;$D194+0.005,"يزيد مجموع الحصص على المصروف بمقدار "&amp;ROUND(SUM($M194:$R194)-$D194,2)&amp;".","جاهز")))),"أدخل المبالغ المتفق عليها بحيث يساوي مجموعها مبلغ المصروف."))))))</f>
      </c>
    </row>
    <row r="195">
      <c r="A195" s="149"/>
      <c r="B195" s="138"/>
      <c r="C195" s="138"/>
      <c r="D195" s="150"/>
      <c r="E195" s="138"/>
      <c r="F195" s="138"/>
      <c r="G195" s="138"/>
      <c r="H195" s="138"/>
      <c r="I195" s="138"/>
      <c r="J195" s="138"/>
      <c r="K195" s="138"/>
      <c r="L195" s="138"/>
      <c r="M195" s="150"/>
      <c r="N195" s="150"/>
      <c r="O195" s="150"/>
      <c r="P195" s="150"/>
      <c r="Q195" s="150"/>
      <c r="R195" s="150"/>
      <c r="S195" s="138"/>
      <c r="T195" s="151" t="str">
        <f>IF(COUNTIF($A195:$S195,"&lt;&gt;")=0,"",IF($F195="بالتساوي بين المشاركين",IF(G195&lt;&gt;"نعم",0,IF(COUNTIF($H195:$L195,"نعم")=0,$D195-0,ROUND($D195/COUNTIF($G195:$L195,"نعم"),2))),IF($F195="مبالغ متفق عليها",IF(G195="نعم",M195,0),"")))</f>
      </c>
      <c r="U195" s="151" t="str">
        <f>IF(COUNTIF($A195:$S195,"&lt;&gt;")=0,"",IF($F195="بالتساوي بين المشاركين",IF(H195&lt;&gt;"نعم",0,IF(COUNTIF($I195:$L195,"نعم")=0,$D195-SUM($T195:T195),ROUND($D195/COUNTIF($G195:$L195,"نعم"),2))),IF($F195="مبالغ متفق عليها",IF(H195="نعم",N195,0),"")))</f>
      </c>
      <c r="V195" s="151" t="str">
        <f>IF(COUNTIF($A195:$S195,"&lt;&gt;")=0,"",IF($F195="بالتساوي بين المشاركين",IF(I195&lt;&gt;"نعم",0,IF(COUNTIF($J195:$L195,"نعم")=0,$D195-SUM($T195:U195),ROUND($D195/COUNTIF($G195:$L195,"نعم"),2))),IF($F195="مبالغ متفق عليها",IF(I195="نعم",O195,0),"")))</f>
      </c>
      <c r="W195" s="151" t="str">
        <f>IF(COUNTIF($A195:$S195,"&lt;&gt;")=0,"",IF($F195="بالتساوي بين المشاركين",IF(J195&lt;&gt;"نعم",0,IF(COUNTIF($K195:$L195,"نعم")=0,$D195-SUM($T195:V195),ROUND($D195/COUNTIF($G195:$L195,"نعم"),2))),IF($F195="مبالغ متفق عليها",IF(J195="نعم",P195,0),"")))</f>
      </c>
      <c r="X195" s="151" t="str">
        <f>IF(COUNTIF($A195:$S195,"&lt;&gt;")=0,"",IF($F195="بالتساوي بين المشاركين",IF(K195&lt;&gt;"نعم",0,IF(COUNTIF($L195:$L195,"نعم")=0,$D195-SUM($T195:W195),ROUND($D195/COUNTIF($G195:$L195,"نعم"),2))),IF($F195="مبالغ متفق عليها",IF(K195="نعم",Q195,0),"")))</f>
      </c>
      <c r="Y195" s="151" t="str">
        <f>IF(COUNTIF($A195:$S195,"&lt;&gt;")=0,"",IF($F195="بالتساوي بين المشاركين",IF(L195&lt;&gt;"نعم",0,IF(0=0,$D195-SUM($T195:X195),ROUND($D195/COUNTIF($G195:$L195,"نعم"),2))),IF($F195="مبالغ متفق عليها",IF(L195="نعم",R195,0),"")))</f>
      </c>
      <c r="Z195" s="165" t="str">
        <f>IF(COUNTIF($A195:$S195,"&lt;&gt;")=0,"",IF(OR($D195="",$D195&lt;=0),"أدخل مبلغًا أكبر من صفر.",IF($E195="","اختر الشخص الذي دفع المبلغ.",IF(COUNTIF($G195:$L195,"نعم")=0,"حدد شخصًا واحدًا على الأقل للمشاركة في المصروف.",IF($F195="بالتساوي بين المشاركين","جاهز",IF($F195="مبالغ متفق عليها",IF(OR(AND(G195="نعم",M195=""),AND(H195="نعم",N195=""),AND(I195="نعم",O195=""),AND(J195="نعم",P195=""),AND(K195="نعم",Q195=""),AND(L195="نعم",R195="")),"أدخل المبالغ المتفق عليها بحيث يساوي مجموعها مبلغ المصروف.",IF(ABS(SUM($M195:$R195))&lt;0.005,"أدخل المبالغ المتفق عليها بحيث يساوي مجموعها مبلغ المصروف.",IF(SUM($M195:$R195)&lt;$D195-0.005,"يتبقى للتوزيع: "&amp;ROUND($D195-SUM($M195:$R195),2)&amp;".",IF(SUM($M195:$R195)&gt;$D195+0.005,"يزيد مجموع الحصص على المصروف بمقدار "&amp;ROUND(SUM($M195:$R195)-$D195,2)&amp;".","جاهز")))),"أدخل المبالغ المتفق عليها بحيث يساوي مجموعها مبلغ المصروف."))))))</f>
      </c>
    </row>
    <row r="196">
      <c r="A196" s="149"/>
      <c r="B196" s="138"/>
      <c r="C196" s="138"/>
      <c r="D196" s="150"/>
      <c r="E196" s="138"/>
      <c r="F196" s="138"/>
      <c r="G196" s="138"/>
      <c r="H196" s="138"/>
      <c r="I196" s="138"/>
      <c r="J196" s="138"/>
      <c r="K196" s="138"/>
      <c r="L196" s="138"/>
      <c r="M196" s="150"/>
      <c r="N196" s="150"/>
      <c r="O196" s="150"/>
      <c r="P196" s="150"/>
      <c r="Q196" s="150"/>
      <c r="R196" s="150"/>
      <c r="S196" s="138"/>
      <c r="T196" s="151" t="str">
        <f>IF(COUNTIF($A196:$S196,"&lt;&gt;")=0,"",IF($F196="بالتساوي بين المشاركين",IF(G196&lt;&gt;"نعم",0,IF(COUNTIF($H196:$L196,"نعم")=0,$D196-0,ROUND($D196/COUNTIF($G196:$L196,"نعم"),2))),IF($F196="مبالغ متفق عليها",IF(G196="نعم",M196,0),"")))</f>
      </c>
      <c r="U196" s="151" t="str">
        <f>IF(COUNTIF($A196:$S196,"&lt;&gt;")=0,"",IF($F196="بالتساوي بين المشاركين",IF(H196&lt;&gt;"نعم",0,IF(COUNTIF($I196:$L196,"نعم")=0,$D196-SUM($T196:T196),ROUND($D196/COUNTIF($G196:$L196,"نعم"),2))),IF($F196="مبالغ متفق عليها",IF(H196="نعم",N196,0),"")))</f>
      </c>
      <c r="V196" s="151" t="str">
        <f>IF(COUNTIF($A196:$S196,"&lt;&gt;")=0,"",IF($F196="بالتساوي بين المشاركين",IF(I196&lt;&gt;"نعم",0,IF(COUNTIF($J196:$L196,"نعم")=0,$D196-SUM($T196:U196),ROUND($D196/COUNTIF($G196:$L196,"نعم"),2))),IF($F196="مبالغ متفق عليها",IF(I196="نعم",O196,0),"")))</f>
      </c>
      <c r="W196" s="151" t="str">
        <f>IF(COUNTIF($A196:$S196,"&lt;&gt;")=0,"",IF($F196="بالتساوي بين المشاركين",IF(J196&lt;&gt;"نعم",0,IF(COUNTIF($K196:$L196,"نعم")=0,$D196-SUM($T196:V196),ROUND($D196/COUNTIF($G196:$L196,"نعم"),2))),IF($F196="مبالغ متفق عليها",IF(J196="نعم",P196,0),"")))</f>
      </c>
      <c r="X196" s="151" t="str">
        <f>IF(COUNTIF($A196:$S196,"&lt;&gt;")=0,"",IF($F196="بالتساوي بين المشاركين",IF(K196&lt;&gt;"نعم",0,IF(COUNTIF($L196:$L196,"نعم")=0,$D196-SUM($T196:W196),ROUND($D196/COUNTIF($G196:$L196,"نعم"),2))),IF($F196="مبالغ متفق عليها",IF(K196="نعم",Q196,0),"")))</f>
      </c>
      <c r="Y196" s="151" t="str">
        <f>IF(COUNTIF($A196:$S196,"&lt;&gt;")=0,"",IF($F196="بالتساوي بين المشاركين",IF(L196&lt;&gt;"نعم",0,IF(0=0,$D196-SUM($T196:X196),ROUND($D196/COUNTIF($G196:$L196,"نعم"),2))),IF($F196="مبالغ متفق عليها",IF(L196="نعم",R196,0),"")))</f>
      </c>
      <c r="Z196" s="165" t="str">
        <f>IF(COUNTIF($A196:$S196,"&lt;&gt;")=0,"",IF(OR($D196="",$D196&lt;=0),"أدخل مبلغًا أكبر من صفر.",IF($E196="","اختر الشخص الذي دفع المبلغ.",IF(COUNTIF($G196:$L196,"نعم")=0,"حدد شخصًا واحدًا على الأقل للمشاركة في المصروف.",IF($F196="بالتساوي بين المشاركين","جاهز",IF($F196="مبالغ متفق عليها",IF(OR(AND(G196="نعم",M196=""),AND(H196="نعم",N196=""),AND(I196="نعم",O196=""),AND(J196="نعم",P196=""),AND(K196="نعم",Q196=""),AND(L196="نعم",R196="")),"أدخل المبالغ المتفق عليها بحيث يساوي مجموعها مبلغ المصروف.",IF(ABS(SUM($M196:$R196))&lt;0.005,"أدخل المبالغ المتفق عليها بحيث يساوي مجموعها مبلغ المصروف.",IF(SUM($M196:$R196)&lt;$D196-0.005,"يتبقى للتوزيع: "&amp;ROUND($D196-SUM($M196:$R196),2)&amp;".",IF(SUM($M196:$R196)&gt;$D196+0.005,"يزيد مجموع الحصص على المصروف بمقدار "&amp;ROUND(SUM($M196:$R196)-$D196,2)&amp;".","جاهز")))),"أدخل المبالغ المتفق عليها بحيث يساوي مجموعها مبلغ المصروف."))))))</f>
      </c>
    </row>
    <row r="197">
      <c r="A197" s="149"/>
      <c r="B197" s="138"/>
      <c r="C197" s="138"/>
      <c r="D197" s="150"/>
      <c r="E197" s="138"/>
      <c r="F197" s="138"/>
      <c r="G197" s="138"/>
      <c r="H197" s="138"/>
      <c r="I197" s="138"/>
      <c r="J197" s="138"/>
      <c r="K197" s="138"/>
      <c r="L197" s="138"/>
      <c r="M197" s="150"/>
      <c r="N197" s="150"/>
      <c r="O197" s="150"/>
      <c r="P197" s="150"/>
      <c r="Q197" s="150"/>
      <c r="R197" s="150"/>
      <c r="S197" s="138"/>
      <c r="T197" s="151" t="str">
        <f>IF(COUNTIF($A197:$S197,"&lt;&gt;")=0,"",IF($F197="بالتساوي بين المشاركين",IF(G197&lt;&gt;"نعم",0,IF(COUNTIF($H197:$L197,"نعم")=0,$D197-0,ROUND($D197/COUNTIF($G197:$L197,"نعم"),2))),IF($F197="مبالغ متفق عليها",IF(G197="نعم",M197,0),"")))</f>
      </c>
      <c r="U197" s="151" t="str">
        <f>IF(COUNTIF($A197:$S197,"&lt;&gt;")=0,"",IF($F197="بالتساوي بين المشاركين",IF(H197&lt;&gt;"نعم",0,IF(COUNTIF($I197:$L197,"نعم")=0,$D197-SUM($T197:T197),ROUND($D197/COUNTIF($G197:$L197,"نعم"),2))),IF($F197="مبالغ متفق عليها",IF(H197="نعم",N197,0),"")))</f>
      </c>
      <c r="V197" s="151" t="str">
        <f>IF(COUNTIF($A197:$S197,"&lt;&gt;")=0,"",IF($F197="بالتساوي بين المشاركين",IF(I197&lt;&gt;"نعم",0,IF(COUNTIF($J197:$L197,"نعم")=0,$D197-SUM($T197:U197),ROUND($D197/COUNTIF($G197:$L197,"نعم"),2))),IF($F197="مبالغ متفق عليها",IF(I197="نعم",O197,0),"")))</f>
      </c>
      <c r="W197" s="151" t="str">
        <f>IF(COUNTIF($A197:$S197,"&lt;&gt;")=0,"",IF($F197="بالتساوي بين المشاركين",IF(J197&lt;&gt;"نعم",0,IF(COUNTIF($K197:$L197,"نعم")=0,$D197-SUM($T197:V197),ROUND($D197/COUNTIF($G197:$L197,"نعم"),2))),IF($F197="مبالغ متفق عليها",IF(J197="نعم",P197,0),"")))</f>
      </c>
      <c r="X197" s="151" t="str">
        <f>IF(COUNTIF($A197:$S197,"&lt;&gt;")=0,"",IF($F197="بالتساوي بين المشاركين",IF(K197&lt;&gt;"نعم",0,IF(COUNTIF($L197:$L197,"نعم")=0,$D197-SUM($T197:W197),ROUND($D197/COUNTIF($G197:$L197,"نعم"),2))),IF($F197="مبالغ متفق عليها",IF(K197="نعم",Q197,0),"")))</f>
      </c>
      <c r="Y197" s="151" t="str">
        <f>IF(COUNTIF($A197:$S197,"&lt;&gt;")=0,"",IF($F197="بالتساوي بين المشاركين",IF(L197&lt;&gt;"نعم",0,IF(0=0,$D197-SUM($T197:X197),ROUND($D197/COUNTIF($G197:$L197,"نعم"),2))),IF($F197="مبالغ متفق عليها",IF(L197="نعم",R197,0),"")))</f>
      </c>
      <c r="Z197" s="165" t="str">
        <f>IF(COUNTIF($A197:$S197,"&lt;&gt;")=0,"",IF(OR($D197="",$D197&lt;=0),"أدخل مبلغًا أكبر من صفر.",IF($E197="","اختر الشخص الذي دفع المبلغ.",IF(COUNTIF($G197:$L197,"نعم")=0,"حدد شخصًا واحدًا على الأقل للمشاركة في المصروف.",IF($F197="بالتساوي بين المشاركين","جاهز",IF($F197="مبالغ متفق عليها",IF(OR(AND(G197="نعم",M197=""),AND(H197="نعم",N197=""),AND(I197="نعم",O197=""),AND(J197="نعم",P197=""),AND(K197="نعم",Q197=""),AND(L197="نعم",R197="")),"أدخل المبالغ المتفق عليها بحيث يساوي مجموعها مبلغ المصروف.",IF(ABS(SUM($M197:$R197))&lt;0.005,"أدخل المبالغ المتفق عليها بحيث يساوي مجموعها مبلغ المصروف.",IF(SUM($M197:$R197)&lt;$D197-0.005,"يتبقى للتوزيع: "&amp;ROUND($D197-SUM($M197:$R197),2)&amp;".",IF(SUM($M197:$R197)&gt;$D197+0.005,"يزيد مجموع الحصص على المصروف بمقدار "&amp;ROUND(SUM($M197:$R197)-$D197,2)&amp;".","جاهز")))),"أدخل المبالغ المتفق عليها بحيث يساوي مجموعها مبلغ المصروف."))))))</f>
      </c>
    </row>
    <row r="198">
      <c r="A198" s="149"/>
      <c r="B198" s="138"/>
      <c r="C198" s="138"/>
      <c r="D198" s="150"/>
      <c r="E198" s="138"/>
      <c r="F198" s="138"/>
      <c r="G198" s="138"/>
      <c r="H198" s="138"/>
      <c r="I198" s="138"/>
      <c r="J198" s="138"/>
      <c r="K198" s="138"/>
      <c r="L198" s="138"/>
      <c r="M198" s="150"/>
      <c r="N198" s="150"/>
      <c r="O198" s="150"/>
      <c r="P198" s="150"/>
      <c r="Q198" s="150"/>
      <c r="R198" s="150"/>
      <c r="S198" s="138"/>
      <c r="T198" s="151" t="str">
        <f>IF(COUNTIF($A198:$S198,"&lt;&gt;")=0,"",IF($F198="بالتساوي بين المشاركين",IF(G198&lt;&gt;"نعم",0,IF(COUNTIF($H198:$L198,"نعم")=0,$D198-0,ROUND($D198/COUNTIF($G198:$L198,"نعم"),2))),IF($F198="مبالغ متفق عليها",IF(G198="نعم",M198,0),"")))</f>
      </c>
      <c r="U198" s="151" t="str">
        <f>IF(COUNTIF($A198:$S198,"&lt;&gt;")=0,"",IF($F198="بالتساوي بين المشاركين",IF(H198&lt;&gt;"نعم",0,IF(COUNTIF($I198:$L198,"نعم")=0,$D198-SUM($T198:T198),ROUND($D198/COUNTIF($G198:$L198,"نعم"),2))),IF($F198="مبالغ متفق عليها",IF(H198="نعم",N198,0),"")))</f>
      </c>
      <c r="V198" s="151" t="str">
        <f>IF(COUNTIF($A198:$S198,"&lt;&gt;")=0,"",IF($F198="بالتساوي بين المشاركين",IF(I198&lt;&gt;"نعم",0,IF(COUNTIF($J198:$L198,"نعم")=0,$D198-SUM($T198:U198),ROUND($D198/COUNTIF($G198:$L198,"نعم"),2))),IF($F198="مبالغ متفق عليها",IF(I198="نعم",O198,0),"")))</f>
      </c>
      <c r="W198" s="151" t="str">
        <f>IF(COUNTIF($A198:$S198,"&lt;&gt;")=0,"",IF($F198="بالتساوي بين المشاركين",IF(J198&lt;&gt;"نعم",0,IF(COUNTIF($K198:$L198,"نعم")=0,$D198-SUM($T198:V198),ROUND($D198/COUNTIF($G198:$L198,"نعم"),2))),IF($F198="مبالغ متفق عليها",IF(J198="نعم",P198,0),"")))</f>
      </c>
      <c r="X198" s="151" t="str">
        <f>IF(COUNTIF($A198:$S198,"&lt;&gt;")=0,"",IF($F198="بالتساوي بين المشاركين",IF(K198&lt;&gt;"نعم",0,IF(COUNTIF($L198:$L198,"نعم")=0,$D198-SUM($T198:W198),ROUND($D198/COUNTIF($G198:$L198,"نعم"),2))),IF($F198="مبالغ متفق عليها",IF(K198="نعم",Q198,0),"")))</f>
      </c>
      <c r="Y198" s="151" t="str">
        <f>IF(COUNTIF($A198:$S198,"&lt;&gt;")=0,"",IF($F198="بالتساوي بين المشاركين",IF(L198&lt;&gt;"نعم",0,IF(0=0,$D198-SUM($T198:X198),ROUND($D198/COUNTIF($G198:$L198,"نعم"),2))),IF($F198="مبالغ متفق عليها",IF(L198="نعم",R198,0),"")))</f>
      </c>
      <c r="Z198" s="165" t="str">
        <f>IF(COUNTIF($A198:$S198,"&lt;&gt;")=0,"",IF(OR($D198="",$D198&lt;=0),"أدخل مبلغًا أكبر من صفر.",IF($E198="","اختر الشخص الذي دفع المبلغ.",IF(COUNTIF($G198:$L198,"نعم")=0,"حدد شخصًا واحدًا على الأقل للمشاركة في المصروف.",IF($F198="بالتساوي بين المشاركين","جاهز",IF($F198="مبالغ متفق عليها",IF(OR(AND(G198="نعم",M198=""),AND(H198="نعم",N198=""),AND(I198="نعم",O198=""),AND(J198="نعم",P198=""),AND(K198="نعم",Q198=""),AND(L198="نعم",R198="")),"أدخل المبالغ المتفق عليها بحيث يساوي مجموعها مبلغ المصروف.",IF(ABS(SUM($M198:$R198))&lt;0.005,"أدخل المبالغ المتفق عليها بحيث يساوي مجموعها مبلغ المصروف.",IF(SUM($M198:$R198)&lt;$D198-0.005,"يتبقى للتوزيع: "&amp;ROUND($D198-SUM($M198:$R198),2)&amp;".",IF(SUM($M198:$R198)&gt;$D198+0.005,"يزيد مجموع الحصص على المصروف بمقدار "&amp;ROUND(SUM($M198:$R198)-$D198,2)&amp;".","جاهز")))),"أدخل المبالغ المتفق عليها بحيث يساوي مجموعها مبلغ المصروف."))))))</f>
      </c>
    </row>
    <row r="199">
      <c r="A199" s="149"/>
      <c r="B199" s="138"/>
      <c r="C199" s="138"/>
      <c r="D199" s="150"/>
      <c r="E199" s="138"/>
      <c r="F199" s="138"/>
      <c r="G199" s="138"/>
      <c r="H199" s="138"/>
      <c r="I199" s="138"/>
      <c r="J199" s="138"/>
      <c r="K199" s="138"/>
      <c r="L199" s="138"/>
      <c r="M199" s="150"/>
      <c r="N199" s="150"/>
      <c r="O199" s="150"/>
      <c r="P199" s="150"/>
      <c r="Q199" s="150"/>
      <c r="R199" s="150"/>
      <c r="S199" s="138"/>
      <c r="T199" s="151" t="str">
        <f>IF(COUNTIF($A199:$S199,"&lt;&gt;")=0,"",IF($F199="بالتساوي بين المشاركين",IF(G199&lt;&gt;"نعم",0,IF(COUNTIF($H199:$L199,"نعم")=0,$D199-0,ROUND($D199/COUNTIF($G199:$L199,"نعم"),2))),IF($F199="مبالغ متفق عليها",IF(G199="نعم",M199,0),"")))</f>
      </c>
      <c r="U199" s="151" t="str">
        <f>IF(COUNTIF($A199:$S199,"&lt;&gt;")=0,"",IF($F199="بالتساوي بين المشاركين",IF(H199&lt;&gt;"نعم",0,IF(COUNTIF($I199:$L199,"نعم")=0,$D199-SUM($T199:T199),ROUND($D199/COUNTIF($G199:$L199,"نعم"),2))),IF($F199="مبالغ متفق عليها",IF(H199="نعم",N199,0),"")))</f>
      </c>
      <c r="V199" s="151" t="str">
        <f>IF(COUNTIF($A199:$S199,"&lt;&gt;")=0,"",IF($F199="بالتساوي بين المشاركين",IF(I199&lt;&gt;"نعم",0,IF(COUNTIF($J199:$L199,"نعم")=0,$D199-SUM($T199:U199),ROUND($D199/COUNTIF($G199:$L199,"نعم"),2))),IF($F199="مبالغ متفق عليها",IF(I199="نعم",O199,0),"")))</f>
      </c>
      <c r="W199" s="151" t="str">
        <f>IF(COUNTIF($A199:$S199,"&lt;&gt;")=0,"",IF($F199="بالتساوي بين المشاركين",IF(J199&lt;&gt;"نعم",0,IF(COUNTIF($K199:$L199,"نعم")=0,$D199-SUM($T199:V199),ROUND($D199/COUNTIF($G199:$L199,"نعم"),2))),IF($F199="مبالغ متفق عليها",IF(J199="نعم",P199,0),"")))</f>
      </c>
      <c r="X199" s="151" t="str">
        <f>IF(COUNTIF($A199:$S199,"&lt;&gt;")=0,"",IF($F199="بالتساوي بين المشاركين",IF(K199&lt;&gt;"نعم",0,IF(COUNTIF($L199:$L199,"نعم")=0,$D199-SUM($T199:W199),ROUND($D199/COUNTIF($G199:$L199,"نعم"),2))),IF($F199="مبالغ متفق عليها",IF(K199="نعم",Q199,0),"")))</f>
      </c>
      <c r="Y199" s="151" t="str">
        <f>IF(COUNTIF($A199:$S199,"&lt;&gt;")=0,"",IF($F199="بالتساوي بين المشاركين",IF(L199&lt;&gt;"نعم",0,IF(0=0,$D199-SUM($T199:X199),ROUND($D199/COUNTIF($G199:$L199,"نعم"),2))),IF($F199="مبالغ متفق عليها",IF(L199="نعم",R199,0),"")))</f>
      </c>
      <c r="Z199" s="165" t="str">
        <f>IF(COUNTIF($A199:$S199,"&lt;&gt;")=0,"",IF(OR($D199="",$D199&lt;=0),"أدخل مبلغًا أكبر من صفر.",IF($E199="","اختر الشخص الذي دفع المبلغ.",IF(COUNTIF($G199:$L199,"نعم")=0,"حدد شخصًا واحدًا على الأقل للمشاركة في المصروف.",IF($F199="بالتساوي بين المشاركين","جاهز",IF($F199="مبالغ متفق عليها",IF(OR(AND(G199="نعم",M199=""),AND(H199="نعم",N199=""),AND(I199="نعم",O199=""),AND(J199="نعم",P199=""),AND(K199="نعم",Q199=""),AND(L199="نعم",R199="")),"أدخل المبالغ المتفق عليها بحيث يساوي مجموعها مبلغ المصروف.",IF(ABS(SUM($M199:$R199))&lt;0.005,"أدخل المبالغ المتفق عليها بحيث يساوي مجموعها مبلغ المصروف.",IF(SUM($M199:$R199)&lt;$D199-0.005,"يتبقى للتوزيع: "&amp;ROUND($D199-SUM($M199:$R199),2)&amp;".",IF(SUM($M199:$R199)&gt;$D199+0.005,"يزيد مجموع الحصص على المصروف بمقدار "&amp;ROUND(SUM($M199:$R199)-$D199,2)&amp;".","جاهز")))),"أدخل المبالغ المتفق عليها بحيث يساوي مجموعها مبلغ المصروف."))))))</f>
      </c>
    </row>
    <row r="200">
      <c r="A200" s="149"/>
      <c r="B200" s="138"/>
      <c r="C200" s="138"/>
      <c r="D200" s="150"/>
      <c r="E200" s="138"/>
      <c r="F200" s="138"/>
      <c r="G200" s="138"/>
      <c r="H200" s="138"/>
      <c r="I200" s="138"/>
      <c r="J200" s="138"/>
      <c r="K200" s="138"/>
      <c r="L200" s="138"/>
      <c r="M200" s="150"/>
      <c r="N200" s="150"/>
      <c r="O200" s="150"/>
      <c r="P200" s="150"/>
      <c r="Q200" s="150"/>
      <c r="R200" s="150"/>
      <c r="S200" s="138"/>
      <c r="T200" s="151" t="str">
        <f>IF(COUNTIF($A200:$S200,"&lt;&gt;")=0,"",IF($F200="بالتساوي بين المشاركين",IF(G200&lt;&gt;"نعم",0,IF(COUNTIF($H200:$L200,"نعم")=0,$D200-0,ROUND($D200/COUNTIF($G200:$L200,"نعم"),2))),IF($F200="مبالغ متفق عليها",IF(G200="نعم",M200,0),"")))</f>
      </c>
      <c r="U200" s="151" t="str">
        <f>IF(COUNTIF($A200:$S200,"&lt;&gt;")=0,"",IF($F200="بالتساوي بين المشاركين",IF(H200&lt;&gt;"نعم",0,IF(COUNTIF($I200:$L200,"نعم")=0,$D200-SUM($T200:T200),ROUND($D200/COUNTIF($G200:$L200,"نعم"),2))),IF($F200="مبالغ متفق عليها",IF(H200="نعم",N200,0),"")))</f>
      </c>
      <c r="V200" s="151" t="str">
        <f>IF(COUNTIF($A200:$S200,"&lt;&gt;")=0,"",IF($F200="بالتساوي بين المشاركين",IF(I200&lt;&gt;"نعم",0,IF(COUNTIF($J200:$L200,"نعم")=0,$D200-SUM($T200:U200),ROUND($D200/COUNTIF($G200:$L200,"نعم"),2))),IF($F200="مبالغ متفق عليها",IF(I200="نعم",O200,0),"")))</f>
      </c>
      <c r="W200" s="151" t="str">
        <f>IF(COUNTIF($A200:$S200,"&lt;&gt;")=0,"",IF($F200="بالتساوي بين المشاركين",IF(J200&lt;&gt;"نعم",0,IF(COUNTIF($K200:$L200,"نعم")=0,$D200-SUM($T200:V200),ROUND($D200/COUNTIF($G200:$L200,"نعم"),2))),IF($F200="مبالغ متفق عليها",IF(J200="نعم",P200,0),"")))</f>
      </c>
      <c r="X200" s="151" t="str">
        <f>IF(COUNTIF($A200:$S200,"&lt;&gt;")=0,"",IF($F200="بالتساوي بين المشاركين",IF(K200&lt;&gt;"نعم",0,IF(COUNTIF($L200:$L200,"نعم")=0,$D200-SUM($T200:W200),ROUND($D200/COUNTIF($G200:$L200,"نعم"),2))),IF($F200="مبالغ متفق عليها",IF(K200="نعم",Q200,0),"")))</f>
      </c>
      <c r="Y200" s="151" t="str">
        <f>IF(COUNTIF($A200:$S200,"&lt;&gt;")=0,"",IF($F200="بالتساوي بين المشاركين",IF(L200&lt;&gt;"نعم",0,IF(0=0,$D200-SUM($T200:X200),ROUND($D200/COUNTIF($G200:$L200,"نعم"),2))),IF($F200="مبالغ متفق عليها",IF(L200="نعم",R200,0),"")))</f>
      </c>
      <c r="Z200" s="165" t="str">
        <f>IF(COUNTIF($A200:$S200,"&lt;&gt;")=0,"",IF(OR($D200="",$D200&lt;=0),"أدخل مبلغًا أكبر من صفر.",IF($E200="","اختر الشخص الذي دفع المبلغ.",IF(COUNTIF($G200:$L200,"نعم")=0,"حدد شخصًا واحدًا على الأقل للمشاركة في المصروف.",IF($F200="بالتساوي بين المشاركين","جاهز",IF($F200="مبالغ متفق عليها",IF(OR(AND(G200="نعم",M200=""),AND(H200="نعم",N200=""),AND(I200="نعم",O200=""),AND(J200="نعم",P200=""),AND(K200="نعم",Q200=""),AND(L200="نعم",R200="")),"أدخل المبالغ المتفق عليها بحيث يساوي مجموعها مبلغ المصروف.",IF(ABS(SUM($M200:$R200))&lt;0.005,"أدخل المبالغ المتفق عليها بحيث يساوي مجموعها مبلغ المصروف.",IF(SUM($M200:$R200)&lt;$D200-0.005,"يتبقى للتوزيع: "&amp;ROUND($D200-SUM($M200:$R200),2)&amp;".",IF(SUM($M200:$R200)&gt;$D200+0.005,"يزيد مجموع الحصص على المصروف بمقدار "&amp;ROUND(SUM($M200:$R200)-$D200,2)&amp;".","جاهز")))),"أدخل المبالغ المتفق عليها بحيث يساوي مجموعها مبلغ المصروف."))))))</f>
      </c>
    </row>
    <row r="201">
      <c r="A201" s="149"/>
      <c r="B201" s="138"/>
      <c r="C201" s="138"/>
      <c r="D201" s="150"/>
      <c r="E201" s="138"/>
      <c r="F201" s="138"/>
      <c r="G201" s="138"/>
      <c r="H201" s="138"/>
      <c r="I201" s="138"/>
      <c r="J201" s="138"/>
      <c r="K201" s="138"/>
      <c r="L201" s="138"/>
      <c r="M201" s="150"/>
      <c r="N201" s="150"/>
      <c r="O201" s="150"/>
      <c r="P201" s="150"/>
      <c r="Q201" s="150"/>
      <c r="R201" s="150"/>
      <c r="S201" s="138"/>
      <c r="T201" s="151" t="str">
        <f>IF(COUNTIF($A201:$S201,"&lt;&gt;")=0,"",IF($F201="بالتساوي بين المشاركين",IF(G201&lt;&gt;"نعم",0,IF(COUNTIF($H201:$L201,"نعم")=0,$D201-0,ROUND($D201/COUNTIF($G201:$L201,"نعم"),2))),IF($F201="مبالغ متفق عليها",IF(G201="نعم",M201,0),"")))</f>
      </c>
      <c r="U201" s="151" t="str">
        <f>IF(COUNTIF($A201:$S201,"&lt;&gt;")=0,"",IF($F201="بالتساوي بين المشاركين",IF(H201&lt;&gt;"نعم",0,IF(COUNTIF($I201:$L201,"نعم")=0,$D201-SUM($T201:T201),ROUND($D201/COUNTIF($G201:$L201,"نعم"),2))),IF($F201="مبالغ متفق عليها",IF(H201="نعم",N201,0),"")))</f>
      </c>
      <c r="V201" s="151" t="str">
        <f>IF(COUNTIF($A201:$S201,"&lt;&gt;")=0,"",IF($F201="بالتساوي بين المشاركين",IF(I201&lt;&gt;"نعم",0,IF(COUNTIF($J201:$L201,"نعم")=0,$D201-SUM($T201:U201),ROUND($D201/COUNTIF($G201:$L201,"نعم"),2))),IF($F201="مبالغ متفق عليها",IF(I201="نعم",O201,0),"")))</f>
      </c>
      <c r="W201" s="151" t="str">
        <f>IF(COUNTIF($A201:$S201,"&lt;&gt;")=0,"",IF($F201="بالتساوي بين المشاركين",IF(J201&lt;&gt;"نعم",0,IF(COUNTIF($K201:$L201,"نعم")=0,$D201-SUM($T201:V201),ROUND($D201/COUNTIF($G201:$L201,"نعم"),2))),IF($F201="مبالغ متفق عليها",IF(J201="نعم",P201,0),"")))</f>
      </c>
      <c r="X201" s="151" t="str">
        <f>IF(COUNTIF($A201:$S201,"&lt;&gt;")=0,"",IF($F201="بالتساوي بين المشاركين",IF(K201&lt;&gt;"نعم",0,IF(COUNTIF($L201:$L201,"نعم")=0,$D201-SUM($T201:W201),ROUND($D201/COUNTIF($G201:$L201,"نعم"),2))),IF($F201="مبالغ متفق عليها",IF(K201="نعم",Q201,0),"")))</f>
      </c>
      <c r="Y201" s="151" t="str">
        <f>IF(COUNTIF($A201:$S201,"&lt;&gt;")=0,"",IF($F201="بالتساوي بين المشاركين",IF(L201&lt;&gt;"نعم",0,IF(0=0,$D201-SUM($T201:X201),ROUND($D201/COUNTIF($G201:$L201,"نعم"),2))),IF($F201="مبالغ متفق عليها",IF(L201="نعم",R201,0),"")))</f>
      </c>
      <c r="Z201" s="165" t="str">
        <f>IF(COUNTIF($A201:$S201,"&lt;&gt;")=0,"",IF(OR($D201="",$D201&lt;=0),"أدخل مبلغًا أكبر من صفر.",IF($E201="","اختر الشخص الذي دفع المبلغ.",IF(COUNTIF($G201:$L201,"نعم")=0,"حدد شخصًا واحدًا على الأقل للمشاركة في المصروف.",IF($F201="بالتساوي بين المشاركين","جاهز",IF($F201="مبالغ متفق عليها",IF(OR(AND(G201="نعم",M201=""),AND(H201="نعم",N201=""),AND(I201="نعم",O201=""),AND(J201="نعم",P201=""),AND(K201="نعم",Q201=""),AND(L201="نعم",R201="")),"أدخل المبالغ المتفق عليها بحيث يساوي مجموعها مبلغ المصروف.",IF(ABS(SUM($M201:$R201))&lt;0.005,"أدخل المبالغ المتفق عليها بحيث يساوي مجموعها مبلغ المصروف.",IF(SUM($M201:$R201)&lt;$D201-0.005,"يتبقى للتوزيع: "&amp;ROUND($D201-SUM($M201:$R201),2)&amp;".",IF(SUM($M201:$R201)&gt;$D201+0.005,"يزيد مجموع الحصص على المصروف بمقدار "&amp;ROUND(SUM($M201:$R201)-$D201,2)&amp;".","جاهز")))),"أدخل المبالغ المتفق عليها بحيث يساوي مجموعها مبلغ المصروف."))))))</f>
      </c>
    </row>
    <row r="202">
      <c r="A202" s="149"/>
      <c r="B202" s="138"/>
      <c r="C202" s="138"/>
      <c r="D202" s="150"/>
      <c r="E202" s="138"/>
      <c r="F202" s="138"/>
      <c r="G202" s="138"/>
      <c r="H202" s="138"/>
      <c r="I202" s="138"/>
      <c r="J202" s="138"/>
      <c r="K202" s="138"/>
      <c r="L202" s="138"/>
      <c r="M202" s="150"/>
      <c r="N202" s="150"/>
      <c r="O202" s="150"/>
      <c r="P202" s="150"/>
      <c r="Q202" s="150"/>
      <c r="R202" s="150"/>
      <c r="S202" s="138"/>
      <c r="T202" s="151" t="str">
        <f>IF(COUNTIF($A202:$S202,"&lt;&gt;")=0,"",IF($F202="بالتساوي بين المشاركين",IF(G202&lt;&gt;"نعم",0,IF(COUNTIF($H202:$L202,"نعم")=0,$D202-0,ROUND($D202/COUNTIF($G202:$L202,"نعم"),2))),IF($F202="مبالغ متفق عليها",IF(G202="نعم",M202,0),"")))</f>
      </c>
      <c r="U202" s="151" t="str">
        <f>IF(COUNTIF($A202:$S202,"&lt;&gt;")=0,"",IF($F202="بالتساوي بين المشاركين",IF(H202&lt;&gt;"نعم",0,IF(COUNTIF($I202:$L202,"نعم")=0,$D202-SUM($T202:T202),ROUND($D202/COUNTIF($G202:$L202,"نعم"),2))),IF($F202="مبالغ متفق عليها",IF(H202="نعم",N202,0),"")))</f>
      </c>
      <c r="V202" s="151" t="str">
        <f>IF(COUNTIF($A202:$S202,"&lt;&gt;")=0,"",IF($F202="بالتساوي بين المشاركين",IF(I202&lt;&gt;"نعم",0,IF(COUNTIF($J202:$L202,"نعم")=0,$D202-SUM($T202:U202),ROUND($D202/COUNTIF($G202:$L202,"نعم"),2))),IF($F202="مبالغ متفق عليها",IF(I202="نعم",O202,0),"")))</f>
      </c>
      <c r="W202" s="151" t="str">
        <f>IF(COUNTIF($A202:$S202,"&lt;&gt;")=0,"",IF($F202="بالتساوي بين المشاركين",IF(J202&lt;&gt;"نعم",0,IF(COUNTIF($K202:$L202,"نعم")=0,$D202-SUM($T202:V202),ROUND($D202/COUNTIF($G202:$L202,"نعم"),2))),IF($F202="مبالغ متفق عليها",IF(J202="نعم",P202,0),"")))</f>
      </c>
      <c r="X202" s="151" t="str">
        <f>IF(COUNTIF($A202:$S202,"&lt;&gt;")=0,"",IF($F202="بالتساوي بين المشاركين",IF(K202&lt;&gt;"نعم",0,IF(COUNTIF($L202:$L202,"نعم")=0,$D202-SUM($T202:W202),ROUND($D202/COUNTIF($G202:$L202,"نعم"),2))),IF($F202="مبالغ متفق عليها",IF(K202="نعم",Q202,0),"")))</f>
      </c>
      <c r="Y202" s="151" t="str">
        <f>IF(COUNTIF($A202:$S202,"&lt;&gt;")=0,"",IF($F202="بالتساوي بين المشاركين",IF(L202&lt;&gt;"نعم",0,IF(0=0,$D202-SUM($T202:X202),ROUND($D202/COUNTIF($G202:$L202,"نعم"),2))),IF($F202="مبالغ متفق عليها",IF(L202="نعم",R202,0),"")))</f>
      </c>
      <c r="Z202" s="165" t="str">
        <f>IF(COUNTIF($A202:$S202,"&lt;&gt;")=0,"",IF(OR($D202="",$D202&lt;=0),"أدخل مبلغًا أكبر من صفر.",IF($E202="","اختر الشخص الذي دفع المبلغ.",IF(COUNTIF($G202:$L202,"نعم")=0,"حدد شخصًا واحدًا على الأقل للمشاركة في المصروف.",IF($F202="بالتساوي بين المشاركين","جاهز",IF($F202="مبالغ متفق عليها",IF(OR(AND(G202="نعم",M202=""),AND(H202="نعم",N202=""),AND(I202="نعم",O202=""),AND(J202="نعم",P202=""),AND(K202="نعم",Q202=""),AND(L202="نعم",R202="")),"أدخل المبالغ المتفق عليها بحيث يساوي مجموعها مبلغ المصروف.",IF(ABS(SUM($M202:$R202))&lt;0.005,"أدخل المبالغ المتفق عليها بحيث يساوي مجموعها مبلغ المصروف.",IF(SUM($M202:$R202)&lt;$D202-0.005,"يتبقى للتوزيع: "&amp;ROUND($D202-SUM($M202:$R202),2)&amp;".",IF(SUM($M202:$R202)&gt;$D202+0.005,"يزيد مجموع الحصص على المصروف بمقدار "&amp;ROUND(SUM($M202:$R202)-$D202,2)&amp;".","جاهز")))),"أدخل المبالغ المتفق عليها بحيث يساوي مجموعها مبلغ المصروف."))))))</f>
      </c>
    </row>
    <row r="203">
      <c r="A203" s="149"/>
      <c r="B203" s="138"/>
      <c r="C203" s="138"/>
      <c r="D203" s="150"/>
      <c r="E203" s="138"/>
      <c r="F203" s="138"/>
      <c r="G203" s="138"/>
      <c r="H203" s="138"/>
      <c r="I203" s="138"/>
      <c r="J203" s="138"/>
      <c r="K203" s="138"/>
      <c r="L203" s="138"/>
      <c r="M203" s="150"/>
      <c r="N203" s="150"/>
      <c r="O203" s="150"/>
      <c r="P203" s="150"/>
      <c r="Q203" s="150"/>
      <c r="R203" s="150"/>
      <c r="S203" s="138"/>
      <c r="T203" s="151" t="str">
        <f>IF(COUNTIF($A203:$S203,"&lt;&gt;")=0,"",IF($F203="بالتساوي بين المشاركين",IF(G203&lt;&gt;"نعم",0,IF(COUNTIF($H203:$L203,"نعم")=0,$D203-0,ROUND($D203/COUNTIF($G203:$L203,"نعم"),2))),IF($F203="مبالغ متفق عليها",IF(G203="نعم",M203,0),"")))</f>
      </c>
      <c r="U203" s="151" t="str">
        <f>IF(COUNTIF($A203:$S203,"&lt;&gt;")=0,"",IF($F203="بالتساوي بين المشاركين",IF(H203&lt;&gt;"نعم",0,IF(COUNTIF($I203:$L203,"نعم")=0,$D203-SUM($T203:T203),ROUND($D203/COUNTIF($G203:$L203,"نعم"),2))),IF($F203="مبالغ متفق عليها",IF(H203="نعم",N203,0),"")))</f>
      </c>
      <c r="V203" s="151" t="str">
        <f>IF(COUNTIF($A203:$S203,"&lt;&gt;")=0,"",IF($F203="بالتساوي بين المشاركين",IF(I203&lt;&gt;"نعم",0,IF(COUNTIF($J203:$L203,"نعم")=0,$D203-SUM($T203:U203),ROUND($D203/COUNTIF($G203:$L203,"نعم"),2))),IF($F203="مبالغ متفق عليها",IF(I203="نعم",O203,0),"")))</f>
      </c>
      <c r="W203" s="151" t="str">
        <f>IF(COUNTIF($A203:$S203,"&lt;&gt;")=0,"",IF($F203="بالتساوي بين المشاركين",IF(J203&lt;&gt;"نعم",0,IF(COUNTIF($K203:$L203,"نعم")=0,$D203-SUM($T203:V203),ROUND($D203/COUNTIF($G203:$L203,"نعم"),2))),IF($F203="مبالغ متفق عليها",IF(J203="نعم",P203,0),"")))</f>
      </c>
      <c r="X203" s="151" t="str">
        <f>IF(COUNTIF($A203:$S203,"&lt;&gt;")=0,"",IF($F203="بالتساوي بين المشاركين",IF(K203&lt;&gt;"نعم",0,IF(COUNTIF($L203:$L203,"نعم")=0,$D203-SUM($T203:W203),ROUND($D203/COUNTIF($G203:$L203,"نعم"),2))),IF($F203="مبالغ متفق عليها",IF(K203="نعم",Q203,0),"")))</f>
      </c>
      <c r="Y203" s="151" t="str">
        <f>IF(COUNTIF($A203:$S203,"&lt;&gt;")=0,"",IF($F203="بالتساوي بين المشاركين",IF(L203&lt;&gt;"نعم",0,IF(0=0,$D203-SUM($T203:X203),ROUND($D203/COUNTIF($G203:$L203,"نعم"),2))),IF($F203="مبالغ متفق عليها",IF(L203="نعم",R203,0),"")))</f>
      </c>
      <c r="Z203" s="165" t="str">
        <f>IF(COUNTIF($A203:$S203,"&lt;&gt;")=0,"",IF(OR($D203="",$D203&lt;=0),"أدخل مبلغًا أكبر من صفر.",IF($E203="","اختر الشخص الذي دفع المبلغ.",IF(COUNTIF($G203:$L203,"نعم")=0,"حدد شخصًا واحدًا على الأقل للمشاركة في المصروف.",IF($F203="بالتساوي بين المشاركين","جاهز",IF($F203="مبالغ متفق عليها",IF(OR(AND(G203="نعم",M203=""),AND(H203="نعم",N203=""),AND(I203="نعم",O203=""),AND(J203="نعم",P203=""),AND(K203="نعم",Q203=""),AND(L203="نعم",R203="")),"أدخل المبالغ المتفق عليها بحيث يساوي مجموعها مبلغ المصروف.",IF(ABS(SUM($M203:$R203))&lt;0.005,"أدخل المبالغ المتفق عليها بحيث يساوي مجموعها مبلغ المصروف.",IF(SUM($M203:$R203)&lt;$D203-0.005,"يتبقى للتوزيع: "&amp;ROUND($D203-SUM($M203:$R203),2)&amp;".",IF(SUM($M203:$R203)&gt;$D203+0.005,"يزيد مجموع الحصص على المصروف بمقدار "&amp;ROUND(SUM($M203:$R203)-$D203,2)&amp;".","جاهز")))),"أدخل المبالغ المتفق عليها بحيث يساوي مجموعها مبلغ المصروف."))))))</f>
      </c>
    </row>
    <row r="204">
      <c r="A204" s="149"/>
      <c r="B204" s="138"/>
      <c r="C204" s="138"/>
      <c r="D204" s="150"/>
      <c r="E204" s="138"/>
      <c r="F204" s="138"/>
      <c r="G204" s="138"/>
      <c r="H204" s="138"/>
      <c r="I204" s="138"/>
      <c r="J204" s="138"/>
      <c r="K204" s="138"/>
      <c r="L204" s="138"/>
      <c r="M204" s="150"/>
      <c r="N204" s="150"/>
      <c r="O204" s="150"/>
      <c r="P204" s="150"/>
      <c r="Q204" s="150"/>
      <c r="R204" s="150"/>
      <c r="S204" s="138"/>
      <c r="T204" s="151" t="str">
        <f>IF(COUNTIF($A204:$S204,"&lt;&gt;")=0,"",IF($F204="بالتساوي بين المشاركين",IF(G204&lt;&gt;"نعم",0,IF(COUNTIF($H204:$L204,"نعم")=0,$D204-0,ROUND($D204/COUNTIF($G204:$L204,"نعم"),2))),IF($F204="مبالغ متفق عليها",IF(G204="نعم",M204,0),"")))</f>
      </c>
      <c r="U204" s="151" t="str">
        <f>IF(COUNTIF($A204:$S204,"&lt;&gt;")=0,"",IF($F204="بالتساوي بين المشاركين",IF(H204&lt;&gt;"نعم",0,IF(COUNTIF($I204:$L204,"نعم")=0,$D204-SUM($T204:T204),ROUND($D204/COUNTIF($G204:$L204,"نعم"),2))),IF($F204="مبالغ متفق عليها",IF(H204="نعم",N204,0),"")))</f>
      </c>
      <c r="V204" s="151" t="str">
        <f>IF(COUNTIF($A204:$S204,"&lt;&gt;")=0,"",IF($F204="بالتساوي بين المشاركين",IF(I204&lt;&gt;"نعم",0,IF(COUNTIF($J204:$L204,"نعم")=0,$D204-SUM($T204:U204),ROUND($D204/COUNTIF($G204:$L204,"نعم"),2))),IF($F204="مبالغ متفق عليها",IF(I204="نعم",O204,0),"")))</f>
      </c>
      <c r="W204" s="151" t="str">
        <f>IF(COUNTIF($A204:$S204,"&lt;&gt;")=0,"",IF($F204="بالتساوي بين المشاركين",IF(J204&lt;&gt;"نعم",0,IF(COUNTIF($K204:$L204,"نعم")=0,$D204-SUM($T204:V204),ROUND($D204/COUNTIF($G204:$L204,"نعم"),2))),IF($F204="مبالغ متفق عليها",IF(J204="نعم",P204,0),"")))</f>
      </c>
      <c r="X204" s="151" t="str">
        <f>IF(COUNTIF($A204:$S204,"&lt;&gt;")=0,"",IF($F204="بالتساوي بين المشاركين",IF(K204&lt;&gt;"نعم",0,IF(COUNTIF($L204:$L204,"نعم")=0,$D204-SUM($T204:W204),ROUND($D204/COUNTIF($G204:$L204,"نعم"),2))),IF($F204="مبالغ متفق عليها",IF(K204="نعم",Q204,0),"")))</f>
      </c>
      <c r="Y204" s="151" t="str">
        <f>IF(COUNTIF($A204:$S204,"&lt;&gt;")=0,"",IF($F204="بالتساوي بين المشاركين",IF(L204&lt;&gt;"نعم",0,IF(0=0,$D204-SUM($T204:X204),ROUND($D204/COUNTIF($G204:$L204,"نعم"),2))),IF($F204="مبالغ متفق عليها",IF(L204="نعم",R204,0),"")))</f>
      </c>
      <c r="Z204" s="165" t="str">
        <f>IF(COUNTIF($A204:$S204,"&lt;&gt;")=0,"",IF(OR($D204="",$D204&lt;=0),"أدخل مبلغًا أكبر من صفر.",IF($E204="","اختر الشخص الذي دفع المبلغ.",IF(COUNTIF($G204:$L204,"نعم")=0,"حدد شخصًا واحدًا على الأقل للمشاركة في المصروف.",IF($F204="بالتساوي بين المشاركين","جاهز",IF($F204="مبالغ متفق عليها",IF(OR(AND(G204="نعم",M204=""),AND(H204="نعم",N204=""),AND(I204="نعم",O204=""),AND(J204="نعم",P204=""),AND(K204="نعم",Q204=""),AND(L204="نعم",R204="")),"أدخل المبالغ المتفق عليها بحيث يساوي مجموعها مبلغ المصروف.",IF(ABS(SUM($M204:$R204))&lt;0.005,"أدخل المبالغ المتفق عليها بحيث يساوي مجموعها مبلغ المصروف.",IF(SUM($M204:$R204)&lt;$D204-0.005,"يتبقى للتوزيع: "&amp;ROUND($D204-SUM($M204:$R204),2)&amp;".",IF(SUM($M204:$R204)&gt;$D204+0.005,"يزيد مجموع الحصص على المصروف بمقدار "&amp;ROUND(SUM($M204:$R204)-$D204,2)&amp;".","جاهز")))),"أدخل المبالغ المتفق عليها بحيث يساوي مجموعها مبلغ المصروف."))))))</f>
      </c>
    </row>
  </sheetData>
  <autoFilter ref="A4:Z204"/>
  <mergeCells>
    <mergeCell ref="A1:Z1"/>
    <mergeCell ref="A2:Z2"/>
    <mergeCell ref="A3:F3"/>
    <mergeCell ref="G3:L3"/>
    <mergeCell ref="M3:R3"/>
    <mergeCell ref="T3:Y3"/>
  </mergeCells>
  <conditionalFormatting sqref="Z5:Z204">
    <cfRule type="containsText" dxfId="2" priority="1" operator="containsText" text="جاهز"/>
    <cfRule type="notContainsText" dxfId="3" priority="2" text="جاهز"/>
  </conditionalFormatting>
  <dataValidations count="6">
    <dataValidation type="list" sqref="C5:C204">
      <formula1>CategoriesList</formula1>
    </dataValidation>
    <dataValidation type="decimal" operator="greaterThan" sqref="D5:D204">
      <formula1>0</formula1>
    </dataValidation>
    <dataValidation type="list" sqref="E5:E204">
      <formula1>RoommateNames</formula1>
    </dataValidation>
    <dataValidation type="list" sqref="F5:F204">
      <formula1>SplitMethodsList</formula1>
    </dataValidation>
    <dataValidation type="list" sqref="G5:L204">
      <formula1>YesNoList</formula1>
    </dataValidation>
    <dataValidation type="decimal" operator="greaterThanOrEqual" sqref="M5:R204">
      <formula1>0</formula1>
    </dataValidation>
  </dataValidations>
  <pageMargins left="0.7" right="0.7" top="0.75" bottom="0.75" header="0.3" footer="0.3"/>
</worksheet>
</file>

<file path=xl/worksheets/sheet4.xml><?xml version="1.0" encoding="utf-8"?>
<worksheet xmlns="http://schemas.openxmlformats.org/spreadsheetml/2006/main" xmlns:ns1="http://schemas.openxmlformats.org/officeDocument/2006/relationships">
  <sheetViews>
    <sheetView showGridLines="0" workbookViewId="0" rightToLeft="1">
      <pane ySplit="4" topLeftCell="A5" activePane="bottomLeft" state="frozen"/>
    </sheetView>
  </sheetViews>
  <sheetFormatPr defaultRowHeight="15"/>
  <cols>
    <col min="1" max="1" width="14" hidden="0" customWidth="1"/>
    <col min="2" max="2" width="22" hidden="0" customWidth="1"/>
    <col min="3" max="3" width="22" hidden="0" customWidth="1"/>
    <col min="4" max="4" width="16" hidden="0" customWidth="1"/>
    <col min="5" max="5" width="42" hidden="0" customWidth="1"/>
    <col min="6" max="6" width="48" hidden="0" customWidth="1"/>
  </cols>
  <sheetData>
    <row r="1" ht="34" customHeight="1">
      <c r="A1" s="109" t="str">
        <v>الدفعات بين شركاء السكن</v>
      </c>
      <c r="B1" s="109" t="str">
        <v>الدفعات بين شركاء السكن</v>
      </c>
      <c r="C1" s="109" t="str">
        <v>الدفعات بين شركاء السكن</v>
      </c>
      <c r="D1" s="109" t="str">
        <v>الدفعات بين شركاء السكن</v>
      </c>
      <c r="E1" s="109" t="str">
        <v>الدفعات بين شركاء السكن</v>
      </c>
      <c r="F1" s="109" t="str">
        <v>الدفعات بين شركاء السكن</v>
      </c>
    </row>
    <row r="2" ht="30" customHeight="1">
      <c r="A2" s="110" t="str">
        <v>سجّل كل دفعة مرة واحدة، من الشخص الذي دفع المبلغ إلى الشخص الذي استلمه. لا تقلّل المصروف الأصلي أو تحذفه بسبب هذه الدفعة.</v>
      </c>
      <c r="B2" s="110" t="str">
        <v>سجّل كل دفعة مرة واحدة، من الشخص الذي دفع المبلغ إلى الشخص الذي استلمه. لا تقلّل المصروف الأصلي أو تحذفه بسبب هذه الدفعة.</v>
      </c>
      <c r="C2" s="110" t="str">
        <v>سجّل كل دفعة مرة واحدة، من الشخص الذي دفع المبلغ إلى الشخص الذي استلمه. لا تقلّل المصروف الأصلي أو تحذفه بسبب هذه الدفعة.</v>
      </c>
      <c r="D2" s="110" t="str">
        <v>سجّل كل دفعة مرة واحدة، من الشخص الذي دفع المبلغ إلى الشخص الذي استلمه. لا تقلّل المصروف الأصلي أو تحذفه بسبب هذه الدفعة.</v>
      </c>
      <c r="E2" s="110" t="str">
        <v>سجّل كل دفعة مرة واحدة، من الشخص الذي دفع المبلغ إلى الشخص الذي استلمه. لا تقلّل المصروف الأصلي أو تحذفه بسبب هذه الدفعة.</v>
      </c>
      <c r="F2" s="110" t="str">
        <v>سجّل كل دفعة مرة واحدة، من الشخص الذي دفع المبلغ إلى الشخص الذي استلمه. لا تقلّل المصروف الأصلي أو تحذفه بسبب هذه الدفعة.</v>
      </c>
    </row>
    <row r="3">
      <c r="A3" s="111"/>
      <c r="B3" s="111"/>
      <c r="C3" s="111"/>
      <c r="D3" s="111"/>
      <c r="E3" s="111"/>
      <c r="F3" s="111"/>
    </row>
    <row r="4" ht="34" customHeight="1">
      <c r="A4" s="134" t="str">
        <v>التاريخ</v>
      </c>
      <c r="B4" s="134" t="str">
        <v>مِن</v>
      </c>
      <c r="C4" s="134" t="str">
        <v>إلى</v>
      </c>
      <c r="D4" s="134" t="str">
        <v>المبلغ</v>
      </c>
      <c r="E4" s="134" t="str">
        <v>ملاحظة</v>
      </c>
      <c r="F4" s="134" t="str">
        <v>المراجعة</v>
      </c>
    </row>
    <row r="5">
      <c r="A5" s="145"/>
      <c r="B5" s="135"/>
      <c r="C5" s="135"/>
      <c r="D5" s="146"/>
      <c r="E5" s="135"/>
      <c r="F5" s="164" t="str">
        <f>IF(COUNTIF($A5:$E5,"&lt;&gt;")=0,"",IF(OR($B5="",$C5=""),"حدد الشخص الذي دفع المبلغ والشخص الذي استلمه.",IF($B5=$C5,"اختر شخصين مختلفين.",IF(OR($D5="",$D5&lt;=0),"أدخل مبلغًا أكبر من صفر.","جاهز"))))</f>
      </c>
    </row>
    <row r="6">
      <c r="A6" s="149"/>
      <c r="B6" s="138"/>
      <c r="C6" s="138"/>
      <c r="D6" s="150"/>
      <c r="E6" s="138"/>
      <c r="F6" s="165" t="str">
        <f>IF(COUNTIF($A6:$E6,"&lt;&gt;")=0,"",IF(OR($B6="",$C6=""),"حدد الشخص الذي دفع المبلغ والشخص الذي استلمه.",IF($B6=$C6,"اختر شخصين مختلفين.",IF(OR($D6="",$D6&lt;=0),"أدخل مبلغًا أكبر من صفر.","جاهز"))))</f>
      </c>
    </row>
    <row r="7">
      <c r="A7" s="149"/>
      <c r="B7" s="138"/>
      <c r="C7" s="138"/>
      <c r="D7" s="150"/>
      <c r="E7" s="138"/>
      <c r="F7" s="165" t="str">
        <f>IF(COUNTIF($A7:$E7,"&lt;&gt;")=0,"",IF(OR($B7="",$C7=""),"حدد الشخص الذي دفع المبلغ والشخص الذي استلمه.",IF($B7=$C7,"اختر شخصين مختلفين.",IF(OR($D7="",$D7&lt;=0),"أدخل مبلغًا أكبر من صفر.","جاهز"))))</f>
      </c>
    </row>
    <row r="8">
      <c r="A8" s="149"/>
      <c r="B8" s="138"/>
      <c r="C8" s="138"/>
      <c r="D8" s="150"/>
      <c r="E8" s="138"/>
      <c r="F8" s="165" t="str">
        <f>IF(COUNTIF($A8:$E8,"&lt;&gt;")=0,"",IF(OR($B8="",$C8=""),"حدد الشخص الذي دفع المبلغ والشخص الذي استلمه.",IF($B8=$C8,"اختر شخصين مختلفين.",IF(OR($D8="",$D8&lt;=0),"أدخل مبلغًا أكبر من صفر.","جاهز"))))</f>
      </c>
    </row>
    <row r="9">
      <c r="A9" s="149"/>
      <c r="B9" s="138"/>
      <c r="C9" s="138"/>
      <c r="D9" s="150"/>
      <c r="E9" s="138"/>
      <c r="F9" s="165" t="str">
        <f>IF(COUNTIF($A9:$E9,"&lt;&gt;")=0,"",IF(OR($B9="",$C9=""),"حدد الشخص الذي دفع المبلغ والشخص الذي استلمه.",IF($B9=$C9,"اختر شخصين مختلفين.",IF(OR($D9="",$D9&lt;=0),"أدخل مبلغًا أكبر من صفر.","جاهز"))))</f>
      </c>
    </row>
    <row r="10">
      <c r="A10" s="149"/>
      <c r="B10" s="138"/>
      <c r="C10" s="138"/>
      <c r="D10" s="150"/>
      <c r="E10" s="138"/>
      <c r="F10" s="165" t="str">
        <f>IF(COUNTIF($A10:$E10,"&lt;&gt;")=0,"",IF(OR($B10="",$C10=""),"حدد الشخص الذي دفع المبلغ والشخص الذي استلمه.",IF($B10=$C10,"اختر شخصين مختلفين.",IF(OR($D10="",$D10&lt;=0),"أدخل مبلغًا أكبر من صفر.","جاهز"))))</f>
      </c>
    </row>
    <row r="11">
      <c r="A11" s="149"/>
      <c r="B11" s="138"/>
      <c r="C11" s="138"/>
      <c r="D11" s="150"/>
      <c r="E11" s="138"/>
      <c r="F11" s="165" t="str">
        <f>IF(COUNTIF($A11:$E11,"&lt;&gt;")=0,"",IF(OR($B11="",$C11=""),"حدد الشخص الذي دفع المبلغ والشخص الذي استلمه.",IF($B11=$C11,"اختر شخصين مختلفين.",IF(OR($D11="",$D11&lt;=0),"أدخل مبلغًا أكبر من صفر.","جاهز"))))</f>
      </c>
    </row>
    <row r="12">
      <c r="A12" s="149"/>
      <c r="B12" s="138"/>
      <c r="C12" s="138"/>
      <c r="D12" s="150"/>
      <c r="E12" s="138"/>
      <c r="F12" s="165" t="str">
        <f>IF(COUNTIF($A12:$E12,"&lt;&gt;")=0,"",IF(OR($B12="",$C12=""),"حدد الشخص الذي دفع المبلغ والشخص الذي استلمه.",IF($B12=$C12,"اختر شخصين مختلفين.",IF(OR($D12="",$D12&lt;=0),"أدخل مبلغًا أكبر من صفر.","جاهز"))))</f>
      </c>
    </row>
    <row r="13">
      <c r="A13" s="149"/>
      <c r="B13" s="138"/>
      <c r="C13" s="138"/>
      <c r="D13" s="150"/>
      <c r="E13" s="138"/>
      <c r="F13" s="165" t="str">
        <f>IF(COUNTIF($A13:$E13,"&lt;&gt;")=0,"",IF(OR($B13="",$C13=""),"حدد الشخص الذي دفع المبلغ والشخص الذي استلمه.",IF($B13=$C13,"اختر شخصين مختلفين.",IF(OR($D13="",$D13&lt;=0),"أدخل مبلغًا أكبر من صفر.","جاهز"))))</f>
      </c>
    </row>
    <row r="14">
      <c r="A14" s="149"/>
      <c r="B14" s="138"/>
      <c r="C14" s="138"/>
      <c r="D14" s="150"/>
      <c r="E14" s="138"/>
      <c r="F14" s="165" t="str">
        <f>IF(COUNTIF($A14:$E14,"&lt;&gt;")=0,"",IF(OR($B14="",$C14=""),"حدد الشخص الذي دفع المبلغ والشخص الذي استلمه.",IF($B14=$C14,"اختر شخصين مختلفين.",IF(OR($D14="",$D14&lt;=0),"أدخل مبلغًا أكبر من صفر.","جاهز"))))</f>
      </c>
    </row>
    <row r="15">
      <c r="A15" s="149"/>
      <c r="B15" s="138"/>
      <c r="C15" s="138"/>
      <c r="D15" s="150"/>
      <c r="E15" s="138"/>
      <c r="F15" s="165" t="str">
        <f>IF(COUNTIF($A15:$E15,"&lt;&gt;")=0,"",IF(OR($B15="",$C15=""),"حدد الشخص الذي دفع المبلغ والشخص الذي استلمه.",IF($B15=$C15,"اختر شخصين مختلفين.",IF(OR($D15="",$D15&lt;=0),"أدخل مبلغًا أكبر من صفر.","جاهز"))))</f>
      </c>
    </row>
    <row r="16">
      <c r="A16" s="149"/>
      <c r="B16" s="138"/>
      <c r="C16" s="138"/>
      <c r="D16" s="150"/>
      <c r="E16" s="138"/>
      <c r="F16" s="165" t="str">
        <f>IF(COUNTIF($A16:$E16,"&lt;&gt;")=0,"",IF(OR($B16="",$C16=""),"حدد الشخص الذي دفع المبلغ والشخص الذي استلمه.",IF($B16=$C16,"اختر شخصين مختلفين.",IF(OR($D16="",$D16&lt;=0),"أدخل مبلغًا أكبر من صفر.","جاهز"))))</f>
      </c>
    </row>
    <row r="17">
      <c r="A17" s="149"/>
      <c r="B17" s="138"/>
      <c r="C17" s="138"/>
      <c r="D17" s="150"/>
      <c r="E17" s="138"/>
      <c r="F17" s="165" t="str">
        <f>IF(COUNTIF($A17:$E17,"&lt;&gt;")=0,"",IF(OR($B17="",$C17=""),"حدد الشخص الذي دفع المبلغ والشخص الذي استلمه.",IF($B17=$C17,"اختر شخصين مختلفين.",IF(OR($D17="",$D17&lt;=0),"أدخل مبلغًا أكبر من صفر.","جاهز"))))</f>
      </c>
    </row>
    <row r="18">
      <c r="A18" s="149"/>
      <c r="B18" s="138"/>
      <c r="C18" s="138"/>
      <c r="D18" s="150"/>
      <c r="E18" s="138"/>
      <c r="F18" s="165" t="str">
        <f>IF(COUNTIF($A18:$E18,"&lt;&gt;")=0,"",IF(OR($B18="",$C18=""),"حدد الشخص الذي دفع المبلغ والشخص الذي استلمه.",IF($B18=$C18,"اختر شخصين مختلفين.",IF(OR($D18="",$D18&lt;=0),"أدخل مبلغًا أكبر من صفر.","جاهز"))))</f>
      </c>
    </row>
    <row r="19">
      <c r="A19" s="149"/>
      <c r="B19" s="138"/>
      <c r="C19" s="138"/>
      <c r="D19" s="150"/>
      <c r="E19" s="138"/>
      <c r="F19" s="165" t="str">
        <f>IF(COUNTIF($A19:$E19,"&lt;&gt;")=0,"",IF(OR($B19="",$C19=""),"حدد الشخص الذي دفع المبلغ والشخص الذي استلمه.",IF($B19=$C19,"اختر شخصين مختلفين.",IF(OR($D19="",$D19&lt;=0),"أدخل مبلغًا أكبر من صفر.","جاهز"))))</f>
      </c>
    </row>
    <row r="20">
      <c r="A20" s="149"/>
      <c r="B20" s="138"/>
      <c r="C20" s="138"/>
      <c r="D20" s="150"/>
      <c r="E20" s="138"/>
      <c r="F20" s="165" t="str">
        <f>IF(COUNTIF($A20:$E20,"&lt;&gt;")=0,"",IF(OR($B20="",$C20=""),"حدد الشخص الذي دفع المبلغ والشخص الذي استلمه.",IF($B20=$C20,"اختر شخصين مختلفين.",IF(OR($D20="",$D20&lt;=0),"أدخل مبلغًا أكبر من صفر.","جاهز"))))</f>
      </c>
    </row>
    <row r="21">
      <c r="A21" s="149"/>
      <c r="B21" s="138"/>
      <c r="C21" s="138"/>
      <c r="D21" s="150"/>
      <c r="E21" s="138"/>
      <c r="F21" s="165" t="str">
        <f>IF(COUNTIF($A21:$E21,"&lt;&gt;")=0,"",IF(OR($B21="",$C21=""),"حدد الشخص الذي دفع المبلغ والشخص الذي استلمه.",IF($B21=$C21,"اختر شخصين مختلفين.",IF(OR($D21="",$D21&lt;=0),"أدخل مبلغًا أكبر من صفر.","جاهز"))))</f>
      </c>
    </row>
    <row r="22">
      <c r="A22" s="149"/>
      <c r="B22" s="138"/>
      <c r="C22" s="138"/>
      <c r="D22" s="150"/>
      <c r="E22" s="138"/>
      <c r="F22" s="165" t="str">
        <f>IF(COUNTIF($A22:$E22,"&lt;&gt;")=0,"",IF(OR($B22="",$C22=""),"حدد الشخص الذي دفع المبلغ والشخص الذي استلمه.",IF($B22=$C22,"اختر شخصين مختلفين.",IF(OR($D22="",$D22&lt;=0),"أدخل مبلغًا أكبر من صفر.","جاهز"))))</f>
      </c>
    </row>
    <row r="23">
      <c r="A23" s="149"/>
      <c r="B23" s="138"/>
      <c r="C23" s="138"/>
      <c r="D23" s="150"/>
      <c r="E23" s="138"/>
      <c r="F23" s="165" t="str">
        <f>IF(COUNTIF($A23:$E23,"&lt;&gt;")=0,"",IF(OR($B23="",$C23=""),"حدد الشخص الذي دفع المبلغ والشخص الذي استلمه.",IF($B23=$C23,"اختر شخصين مختلفين.",IF(OR($D23="",$D23&lt;=0),"أدخل مبلغًا أكبر من صفر.","جاهز"))))</f>
      </c>
    </row>
    <row r="24">
      <c r="A24" s="149"/>
      <c r="B24" s="138"/>
      <c r="C24" s="138"/>
      <c r="D24" s="150"/>
      <c r="E24" s="138"/>
      <c r="F24" s="165" t="str">
        <f>IF(COUNTIF($A24:$E24,"&lt;&gt;")=0,"",IF(OR($B24="",$C24=""),"حدد الشخص الذي دفع المبلغ والشخص الذي استلمه.",IF($B24=$C24,"اختر شخصين مختلفين.",IF(OR($D24="",$D24&lt;=0),"أدخل مبلغًا أكبر من صفر.","جاهز"))))</f>
      </c>
    </row>
    <row r="25">
      <c r="A25" s="149"/>
      <c r="B25" s="138"/>
      <c r="C25" s="138"/>
      <c r="D25" s="150"/>
      <c r="E25" s="138"/>
      <c r="F25" s="165" t="str">
        <f>IF(COUNTIF($A25:$E25,"&lt;&gt;")=0,"",IF(OR($B25="",$C25=""),"حدد الشخص الذي دفع المبلغ والشخص الذي استلمه.",IF($B25=$C25,"اختر شخصين مختلفين.",IF(OR($D25="",$D25&lt;=0),"أدخل مبلغًا أكبر من صفر.","جاهز"))))</f>
      </c>
    </row>
    <row r="26">
      <c r="A26" s="149"/>
      <c r="B26" s="138"/>
      <c r="C26" s="138"/>
      <c r="D26" s="150"/>
      <c r="E26" s="138"/>
      <c r="F26" s="165" t="str">
        <f>IF(COUNTIF($A26:$E26,"&lt;&gt;")=0,"",IF(OR($B26="",$C26=""),"حدد الشخص الذي دفع المبلغ والشخص الذي استلمه.",IF($B26=$C26,"اختر شخصين مختلفين.",IF(OR($D26="",$D26&lt;=0),"أدخل مبلغًا أكبر من صفر.","جاهز"))))</f>
      </c>
    </row>
    <row r="27">
      <c r="A27" s="149"/>
      <c r="B27" s="138"/>
      <c r="C27" s="138"/>
      <c r="D27" s="150"/>
      <c r="E27" s="138"/>
      <c r="F27" s="165" t="str">
        <f>IF(COUNTIF($A27:$E27,"&lt;&gt;")=0,"",IF(OR($B27="",$C27=""),"حدد الشخص الذي دفع المبلغ والشخص الذي استلمه.",IF($B27=$C27,"اختر شخصين مختلفين.",IF(OR($D27="",$D27&lt;=0),"أدخل مبلغًا أكبر من صفر.","جاهز"))))</f>
      </c>
    </row>
    <row r="28">
      <c r="A28" s="149"/>
      <c r="B28" s="138"/>
      <c r="C28" s="138"/>
      <c r="D28" s="150"/>
      <c r="E28" s="138"/>
      <c r="F28" s="165" t="str">
        <f>IF(COUNTIF($A28:$E28,"&lt;&gt;")=0,"",IF(OR($B28="",$C28=""),"حدد الشخص الذي دفع المبلغ والشخص الذي استلمه.",IF($B28=$C28,"اختر شخصين مختلفين.",IF(OR($D28="",$D28&lt;=0),"أدخل مبلغًا أكبر من صفر.","جاهز"))))</f>
      </c>
    </row>
    <row r="29">
      <c r="A29" s="149"/>
      <c r="B29" s="138"/>
      <c r="C29" s="138"/>
      <c r="D29" s="150"/>
      <c r="E29" s="138"/>
      <c r="F29" s="165" t="str">
        <f>IF(COUNTIF($A29:$E29,"&lt;&gt;")=0,"",IF(OR($B29="",$C29=""),"حدد الشخص الذي دفع المبلغ والشخص الذي استلمه.",IF($B29=$C29,"اختر شخصين مختلفين.",IF(OR($D29="",$D29&lt;=0),"أدخل مبلغًا أكبر من صفر.","جاهز"))))</f>
      </c>
    </row>
    <row r="30">
      <c r="A30" s="149"/>
      <c r="B30" s="138"/>
      <c r="C30" s="138"/>
      <c r="D30" s="150"/>
      <c r="E30" s="138"/>
      <c r="F30" s="165" t="str">
        <f>IF(COUNTIF($A30:$E30,"&lt;&gt;")=0,"",IF(OR($B30="",$C30=""),"حدد الشخص الذي دفع المبلغ والشخص الذي استلمه.",IF($B30=$C30,"اختر شخصين مختلفين.",IF(OR($D30="",$D30&lt;=0),"أدخل مبلغًا أكبر من صفر.","جاهز"))))</f>
      </c>
    </row>
    <row r="31">
      <c r="A31" s="149"/>
      <c r="B31" s="138"/>
      <c r="C31" s="138"/>
      <c r="D31" s="150"/>
      <c r="E31" s="138"/>
      <c r="F31" s="165" t="str">
        <f>IF(COUNTIF($A31:$E31,"&lt;&gt;")=0,"",IF(OR($B31="",$C31=""),"حدد الشخص الذي دفع المبلغ والشخص الذي استلمه.",IF($B31=$C31,"اختر شخصين مختلفين.",IF(OR($D31="",$D31&lt;=0),"أدخل مبلغًا أكبر من صفر.","جاهز"))))</f>
      </c>
    </row>
    <row r="32">
      <c r="A32" s="149"/>
      <c r="B32" s="138"/>
      <c r="C32" s="138"/>
      <c r="D32" s="150"/>
      <c r="E32" s="138"/>
      <c r="F32" s="165" t="str">
        <f>IF(COUNTIF($A32:$E32,"&lt;&gt;")=0,"",IF(OR($B32="",$C32=""),"حدد الشخص الذي دفع المبلغ والشخص الذي استلمه.",IF($B32=$C32,"اختر شخصين مختلفين.",IF(OR($D32="",$D32&lt;=0),"أدخل مبلغًا أكبر من صفر.","جاهز"))))</f>
      </c>
    </row>
    <row r="33">
      <c r="A33" s="149"/>
      <c r="B33" s="138"/>
      <c r="C33" s="138"/>
      <c r="D33" s="150"/>
      <c r="E33" s="138"/>
      <c r="F33" s="165" t="str">
        <f>IF(COUNTIF($A33:$E33,"&lt;&gt;")=0,"",IF(OR($B33="",$C33=""),"حدد الشخص الذي دفع المبلغ والشخص الذي استلمه.",IF($B33=$C33,"اختر شخصين مختلفين.",IF(OR($D33="",$D33&lt;=0),"أدخل مبلغًا أكبر من صفر.","جاهز"))))</f>
      </c>
    </row>
    <row r="34">
      <c r="A34" s="149"/>
      <c r="B34" s="138"/>
      <c r="C34" s="138"/>
      <c r="D34" s="150"/>
      <c r="E34" s="138"/>
      <c r="F34" s="165" t="str">
        <f>IF(COUNTIF($A34:$E34,"&lt;&gt;")=0,"",IF(OR($B34="",$C34=""),"حدد الشخص الذي دفع المبلغ والشخص الذي استلمه.",IF($B34=$C34,"اختر شخصين مختلفين.",IF(OR($D34="",$D34&lt;=0),"أدخل مبلغًا أكبر من صفر.","جاهز"))))</f>
      </c>
    </row>
    <row r="35">
      <c r="A35" s="149"/>
      <c r="B35" s="138"/>
      <c r="C35" s="138"/>
      <c r="D35" s="150"/>
      <c r="E35" s="138"/>
      <c r="F35" s="165" t="str">
        <f>IF(COUNTIF($A35:$E35,"&lt;&gt;")=0,"",IF(OR($B35="",$C35=""),"حدد الشخص الذي دفع المبلغ والشخص الذي استلمه.",IF($B35=$C35,"اختر شخصين مختلفين.",IF(OR($D35="",$D35&lt;=0),"أدخل مبلغًا أكبر من صفر.","جاهز"))))</f>
      </c>
    </row>
    <row r="36">
      <c r="A36" s="149"/>
      <c r="B36" s="138"/>
      <c r="C36" s="138"/>
      <c r="D36" s="150"/>
      <c r="E36" s="138"/>
      <c r="F36" s="165" t="str">
        <f>IF(COUNTIF($A36:$E36,"&lt;&gt;")=0,"",IF(OR($B36="",$C36=""),"حدد الشخص الذي دفع المبلغ والشخص الذي استلمه.",IF($B36=$C36,"اختر شخصين مختلفين.",IF(OR($D36="",$D36&lt;=0),"أدخل مبلغًا أكبر من صفر.","جاهز"))))</f>
      </c>
    </row>
    <row r="37">
      <c r="A37" s="149"/>
      <c r="B37" s="138"/>
      <c r="C37" s="138"/>
      <c r="D37" s="150"/>
      <c r="E37" s="138"/>
      <c r="F37" s="165" t="str">
        <f>IF(COUNTIF($A37:$E37,"&lt;&gt;")=0,"",IF(OR($B37="",$C37=""),"حدد الشخص الذي دفع المبلغ والشخص الذي استلمه.",IF($B37=$C37,"اختر شخصين مختلفين.",IF(OR($D37="",$D37&lt;=0),"أدخل مبلغًا أكبر من صفر.","جاهز"))))</f>
      </c>
    </row>
    <row r="38">
      <c r="A38" s="149"/>
      <c r="B38" s="138"/>
      <c r="C38" s="138"/>
      <c r="D38" s="150"/>
      <c r="E38" s="138"/>
      <c r="F38" s="165" t="str">
        <f>IF(COUNTIF($A38:$E38,"&lt;&gt;")=0,"",IF(OR($B38="",$C38=""),"حدد الشخص الذي دفع المبلغ والشخص الذي استلمه.",IF($B38=$C38,"اختر شخصين مختلفين.",IF(OR($D38="",$D38&lt;=0),"أدخل مبلغًا أكبر من صفر.","جاهز"))))</f>
      </c>
    </row>
    <row r="39">
      <c r="A39" s="149"/>
      <c r="B39" s="138"/>
      <c r="C39" s="138"/>
      <c r="D39" s="150"/>
      <c r="E39" s="138"/>
      <c r="F39" s="165" t="str">
        <f>IF(COUNTIF($A39:$E39,"&lt;&gt;")=0,"",IF(OR($B39="",$C39=""),"حدد الشخص الذي دفع المبلغ والشخص الذي استلمه.",IF($B39=$C39,"اختر شخصين مختلفين.",IF(OR($D39="",$D39&lt;=0),"أدخل مبلغًا أكبر من صفر.","جاهز"))))</f>
      </c>
    </row>
    <row r="40">
      <c r="A40" s="149"/>
      <c r="B40" s="138"/>
      <c r="C40" s="138"/>
      <c r="D40" s="150"/>
      <c r="E40" s="138"/>
      <c r="F40" s="165" t="str">
        <f>IF(COUNTIF($A40:$E40,"&lt;&gt;")=0,"",IF(OR($B40="",$C40=""),"حدد الشخص الذي دفع المبلغ والشخص الذي استلمه.",IF($B40=$C40,"اختر شخصين مختلفين.",IF(OR($D40="",$D40&lt;=0),"أدخل مبلغًا أكبر من صفر.","جاهز"))))</f>
      </c>
    </row>
    <row r="41">
      <c r="A41" s="149"/>
      <c r="B41" s="138"/>
      <c r="C41" s="138"/>
      <c r="D41" s="150"/>
      <c r="E41" s="138"/>
      <c r="F41" s="165" t="str">
        <f>IF(COUNTIF($A41:$E41,"&lt;&gt;")=0,"",IF(OR($B41="",$C41=""),"حدد الشخص الذي دفع المبلغ والشخص الذي استلمه.",IF($B41=$C41,"اختر شخصين مختلفين.",IF(OR($D41="",$D41&lt;=0),"أدخل مبلغًا أكبر من صفر.","جاهز"))))</f>
      </c>
    </row>
    <row r="42">
      <c r="A42" s="149"/>
      <c r="B42" s="138"/>
      <c r="C42" s="138"/>
      <c r="D42" s="150"/>
      <c r="E42" s="138"/>
      <c r="F42" s="165" t="str">
        <f>IF(COUNTIF($A42:$E42,"&lt;&gt;")=0,"",IF(OR($B42="",$C42=""),"حدد الشخص الذي دفع المبلغ والشخص الذي استلمه.",IF($B42=$C42,"اختر شخصين مختلفين.",IF(OR($D42="",$D42&lt;=0),"أدخل مبلغًا أكبر من صفر.","جاهز"))))</f>
      </c>
    </row>
    <row r="43">
      <c r="A43" s="149"/>
      <c r="B43" s="138"/>
      <c r="C43" s="138"/>
      <c r="D43" s="150"/>
      <c r="E43" s="138"/>
      <c r="F43" s="165" t="str">
        <f>IF(COUNTIF($A43:$E43,"&lt;&gt;")=0,"",IF(OR($B43="",$C43=""),"حدد الشخص الذي دفع المبلغ والشخص الذي استلمه.",IF($B43=$C43,"اختر شخصين مختلفين.",IF(OR($D43="",$D43&lt;=0),"أدخل مبلغًا أكبر من صفر.","جاهز"))))</f>
      </c>
    </row>
    <row r="44">
      <c r="A44" s="149"/>
      <c r="B44" s="138"/>
      <c r="C44" s="138"/>
      <c r="D44" s="150"/>
      <c r="E44" s="138"/>
      <c r="F44" s="165" t="str">
        <f>IF(COUNTIF($A44:$E44,"&lt;&gt;")=0,"",IF(OR($B44="",$C44=""),"حدد الشخص الذي دفع المبلغ والشخص الذي استلمه.",IF($B44=$C44,"اختر شخصين مختلفين.",IF(OR($D44="",$D44&lt;=0),"أدخل مبلغًا أكبر من صفر.","جاهز"))))</f>
      </c>
    </row>
    <row r="45">
      <c r="A45" s="149"/>
      <c r="B45" s="138"/>
      <c r="C45" s="138"/>
      <c r="D45" s="150"/>
      <c r="E45" s="138"/>
      <c r="F45" s="165" t="str">
        <f>IF(COUNTIF($A45:$E45,"&lt;&gt;")=0,"",IF(OR($B45="",$C45=""),"حدد الشخص الذي دفع المبلغ والشخص الذي استلمه.",IF($B45=$C45,"اختر شخصين مختلفين.",IF(OR($D45="",$D45&lt;=0),"أدخل مبلغًا أكبر من صفر.","جاهز"))))</f>
      </c>
    </row>
    <row r="46">
      <c r="A46" s="149"/>
      <c r="B46" s="138"/>
      <c r="C46" s="138"/>
      <c r="D46" s="150"/>
      <c r="E46" s="138"/>
      <c r="F46" s="165" t="str">
        <f>IF(COUNTIF($A46:$E46,"&lt;&gt;")=0,"",IF(OR($B46="",$C46=""),"حدد الشخص الذي دفع المبلغ والشخص الذي استلمه.",IF($B46=$C46,"اختر شخصين مختلفين.",IF(OR($D46="",$D46&lt;=0),"أدخل مبلغًا أكبر من صفر.","جاهز"))))</f>
      </c>
    </row>
    <row r="47">
      <c r="A47" s="149"/>
      <c r="B47" s="138"/>
      <c r="C47" s="138"/>
      <c r="D47" s="150"/>
      <c r="E47" s="138"/>
      <c r="F47" s="165" t="str">
        <f>IF(COUNTIF($A47:$E47,"&lt;&gt;")=0,"",IF(OR($B47="",$C47=""),"حدد الشخص الذي دفع المبلغ والشخص الذي استلمه.",IF($B47=$C47,"اختر شخصين مختلفين.",IF(OR($D47="",$D47&lt;=0),"أدخل مبلغًا أكبر من صفر.","جاهز"))))</f>
      </c>
    </row>
    <row r="48">
      <c r="A48" s="149"/>
      <c r="B48" s="138"/>
      <c r="C48" s="138"/>
      <c r="D48" s="150"/>
      <c r="E48" s="138"/>
      <c r="F48" s="165" t="str">
        <f>IF(COUNTIF($A48:$E48,"&lt;&gt;")=0,"",IF(OR($B48="",$C48=""),"حدد الشخص الذي دفع المبلغ والشخص الذي استلمه.",IF($B48=$C48,"اختر شخصين مختلفين.",IF(OR($D48="",$D48&lt;=0),"أدخل مبلغًا أكبر من صفر.","جاهز"))))</f>
      </c>
    </row>
    <row r="49">
      <c r="A49" s="149"/>
      <c r="B49" s="138"/>
      <c r="C49" s="138"/>
      <c r="D49" s="150"/>
      <c r="E49" s="138"/>
      <c r="F49" s="165" t="str">
        <f>IF(COUNTIF($A49:$E49,"&lt;&gt;")=0,"",IF(OR($B49="",$C49=""),"حدد الشخص الذي دفع المبلغ والشخص الذي استلمه.",IF($B49=$C49,"اختر شخصين مختلفين.",IF(OR($D49="",$D49&lt;=0),"أدخل مبلغًا أكبر من صفر.","جاهز"))))</f>
      </c>
    </row>
    <row r="50">
      <c r="A50" s="149"/>
      <c r="B50" s="138"/>
      <c r="C50" s="138"/>
      <c r="D50" s="150"/>
      <c r="E50" s="138"/>
      <c r="F50" s="165" t="str">
        <f>IF(COUNTIF($A50:$E50,"&lt;&gt;")=0,"",IF(OR($B50="",$C50=""),"حدد الشخص الذي دفع المبلغ والشخص الذي استلمه.",IF($B50=$C50,"اختر شخصين مختلفين.",IF(OR($D50="",$D50&lt;=0),"أدخل مبلغًا أكبر من صفر.","جاهز"))))</f>
      </c>
    </row>
    <row r="51">
      <c r="A51" s="149"/>
      <c r="B51" s="138"/>
      <c r="C51" s="138"/>
      <c r="D51" s="150"/>
      <c r="E51" s="138"/>
      <c r="F51" s="165" t="str">
        <f>IF(COUNTIF($A51:$E51,"&lt;&gt;")=0,"",IF(OR($B51="",$C51=""),"حدد الشخص الذي دفع المبلغ والشخص الذي استلمه.",IF($B51=$C51,"اختر شخصين مختلفين.",IF(OR($D51="",$D51&lt;=0),"أدخل مبلغًا أكبر من صفر.","جاهز"))))</f>
      </c>
    </row>
    <row r="52">
      <c r="A52" s="149"/>
      <c r="B52" s="138"/>
      <c r="C52" s="138"/>
      <c r="D52" s="150"/>
      <c r="E52" s="138"/>
      <c r="F52" s="165" t="str">
        <f>IF(COUNTIF($A52:$E52,"&lt;&gt;")=0,"",IF(OR($B52="",$C52=""),"حدد الشخص الذي دفع المبلغ والشخص الذي استلمه.",IF($B52=$C52,"اختر شخصين مختلفين.",IF(OR($D52="",$D52&lt;=0),"أدخل مبلغًا أكبر من صفر.","جاهز"))))</f>
      </c>
    </row>
    <row r="53">
      <c r="A53" s="149"/>
      <c r="B53" s="138"/>
      <c r="C53" s="138"/>
      <c r="D53" s="150"/>
      <c r="E53" s="138"/>
      <c r="F53" s="165" t="str">
        <f>IF(COUNTIF($A53:$E53,"&lt;&gt;")=0,"",IF(OR($B53="",$C53=""),"حدد الشخص الذي دفع المبلغ والشخص الذي استلمه.",IF($B53=$C53,"اختر شخصين مختلفين.",IF(OR($D53="",$D53&lt;=0),"أدخل مبلغًا أكبر من صفر.","جاهز"))))</f>
      </c>
    </row>
    <row r="54">
      <c r="A54" s="149"/>
      <c r="B54" s="138"/>
      <c r="C54" s="138"/>
      <c r="D54" s="150"/>
      <c r="E54" s="138"/>
      <c r="F54" s="165" t="str">
        <f>IF(COUNTIF($A54:$E54,"&lt;&gt;")=0,"",IF(OR($B54="",$C54=""),"حدد الشخص الذي دفع المبلغ والشخص الذي استلمه.",IF($B54=$C54,"اختر شخصين مختلفين.",IF(OR($D54="",$D54&lt;=0),"أدخل مبلغًا أكبر من صفر.","جاهز"))))</f>
      </c>
    </row>
    <row r="55">
      <c r="A55" s="149"/>
      <c r="B55" s="138"/>
      <c r="C55" s="138"/>
      <c r="D55" s="150"/>
      <c r="E55" s="138"/>
      <c r="F55" s="165" t="str">
        <f>IF(COUNTIF($A55:$E55,"&lt;&gt;")=0,"",IF(OR($B55="",$C55=""),"حدد الشخص الذي دفع المبلغ والشخص الذي استلمه.",IF($B55=$C55,"اختر شخصين مختلفين.",IF(OR($D55="",$D55&lt;=0),"أدخل مبلغًا أكبر من صفر.","جاهز"))))</f>
      </c>
    </row>
    <row r="56">
      <c r="A56" s="149"/>
      <c r="B56" s="138"/>
      <c r="C56" s="138"/>
      <c r="D56" s="150"/>
      <c r="E56" s="138"/>
      <c r="F56" s="165" t="str">
        <f>IF(COUNTIF($A56:$E56,"&lt;&gt;")=0,"",IF(OR($B56="",$C56=""),"حدد الشخص الذي دفع المبلغ والشخص الذي استلمه.",IF($B56=$C56,"اختر شخصين مختلفين.",IF(OR($D56="",$D56&lt;=0),"أدخل مبلغًا أكبر من صفر.","جاهز"))))</f>
      </c>
    </row>
    <row r="57">
      <c r="A57" s="149"/>
      <c r="B57" s="138"/>
      <c r="C57" s="138"/>
      <c r="D57" s="150"/>
      <c r="E57" s="138"/>
      <c r="F57" s="165" t="str">
        <f>IF(COUNTIF($A57:$E57,"&lt;&gt;")=0,"",IF(OR($B57="",$C57=""),"حدد الشخص الذي دفع المبلغ والشخص الذي استلمه.",IF($B57=$C57,"اختر شخصين مختلفين.",IF(OR($D57="",$D57&lt;=0),"أدخل مبلغًا أكبر من صفر.","جاهز"))))</f>
      </c>
    </row>
    <row r="58">
      <c r="A58" s="149"/>
      <c r="B58" s="138"/>
      <c r="C58" s="138"/>
      <c r="D58" s="150"/>
      <c r="E58" s="138"/>
      <c r="F58" s="165" t="str">
        <f>IF(COUNTIF($A58:$E58,"&lt;&gt;")=0,"",IF(OR($B58="",$C58=""),"حدد الشخص الذي دفع المبلغ والشخص الذي استلمه.",IF($B58=$C58,"اختر شخصين مختلفين.",IF(OR($D58="",$D58&lt;=0),"أدخل مبلغًا أكبر من صفر.","جاهز"))))</f>
      </c>
    </row>
    <row r="59">
      <c r="A59" s="149"/>
      <c r="B59" s="138"/>
      <c r="C59" s="138"/>
      <c r="D59" s="150"/>
      <c r="E59" s="138"/>
      <c r="F59" s="165" t="str">
        <f>IF(COUNTIF($A59:$E59,"&lt;&gt;")=0,"",IF(OR($B59="",$C59=""),"حدد الشخص الذي دفع المبلغ والشخص الذي استلمه.",IF($B59=$C59,"اختر شخصين مختلفين.",IF(OR($D59="",$D59&lt;=0),"أدخل مبلغًا أكبر من صفر.","جاهز"))))</f>
      </c>
    </row>
    <row r="60">
      <c r="A60" s="149"/>
      <c r="B60" s="138"/>
      <c r="C60" s="138"/>
      <c r="D60" s="150"/>
      <c r="E60" s="138"/>
      <c r="F60" s="165" t="str">
        <f>IF(COUNTIF($A60:$E60,"&lt;&gt;")=0,"",IF(OR($B60="",$C60=""),"حدد الشخص الذي دفع المبلغ والشخص الذي استلمه.",IF($B60=$C60,"اختر شخصين مختلفين.",IF(OR($D60="",$D60&lt;=0),"أدخل مبلغًا أكبر من صفر.","جاهز"))))</f>
      </c>
    </row>
    <row r="61">
      <c r="A61" s="149"/>
      <c r="B61" s="138"/>
      <c r="C61" s="138"/>
      <c r="D61" s="150"/>
      <c r="E61" s="138"/>
      <c r="F61" s="165" t="str">
        <f>IF(COUNTIF($A61:$E61,"&lt;&gt;")=0,"",IF(OR($B61="",$C61=""),"حدد الشخص الذي دفع المبلغ والشخص الذي استلمه.",IF($B61=$C61,"اختر شخصين مختلفين.",IF(OR($D61="",$D61&lt;=0),"أدخل مبلغًا أكبر من صفر.","جاهز"))))</f>
      </c>
    </row>
    <row r="62">
      <c r="A62" s="149"/>
      <c r="B62" s="138"/>
      <c r="C62" s="138"/>
      <c r="D62" s="150"/>
      <c r="E62" s="138"/>
      <c r="F62" s="165" t="str">
        <f>IF(COUNTIF($A62:$E62,"&lt;&gt;")=0,"",IF(OR($B62="",$C62=""),"حدد الشخص الذي دفع المبلغ والشخص الذي استلمه.",IF($B62=$C62,"اختر شخصين مختلفين.",IF(OR($D62="",$D62&lt;=0),"أدخل مبلغًا أكبر من صفر.","جاهز"))))</f>
      </c>
    </row>
    <row r="63">
      <c r="A63" s="149"/>
      <c r="B63" s="138"/>
      <c r="C63" s="138"/>
      <c r="D63" s="150"/>
      <c r="E63" s="138"/>
      <c r="F63" s="165" t="str">
        <f>IF(COUNTIF($A63:$E63,"&lt;&gt;")=0,"",IF(OR($B63="",$C63=""),"حدد الشخص الذي دفع المبلغ والشخص الذي استلمه.",IF($B63=$C63,"اختر شخصين مختلفين.",IF(OR($D63="",$D63&lt;=0),"أدخل مبلغًا أكبر من صفر.","جاهز"))))</f>
      </c>
    </row>
    <row r="64">
      <c r="A64" s="149"/>
      <c r="B64" s="138"/>
      <c r="C64" s="138"/>
      <c r="D64" s="150"/>
      <c r="E64" s="138"/>
      <c r="F64" s="165" t="str">
        <f>IF(COUNTIF($A64:$E64,"&lt;&gt;")=0,"",IF(OR($B64="",$C64=""),"حدد الشخص الذي دفع المبلغ والشخص الذي استلمه.",IF($B64=$C64,"اختر شخصين مختلفين.",IF(OR($D64="",$D64&lt;=0),"أدخل مبلغًا أكبر من صفر.","جاهز"))))</f>
      </c>
    </row>
    <row r="65">
      <c r="A65" s="149"/>
      <c r="B65" s="138"/>
      <c r="C65" s="138"/>
      <c r="D65" s="150"/>
      <c r="E65" s="138"/>
      <c r="F65" s="165" t="str">
        <f>IF(COUNTIF($A65:$E65,"&lt;&gt;")=0,"",IF(OR($B65="",$C65=""),"حدد الشخص الذي دفع المبلغ والشخص الذي استلمه.",IF($B65=$C65,"اختر شخصين مختلفين.",IF(OR($D65="",$D65&lt;=0),"أدخل مبلغًا أكبر من صفر.","جاهز"))))</f>
      </c>
    </row>
    <row r="66">
      <c r="A66" s="149"/>
      <c r="B66" s="138"/>
      <c r="C66" s="138"/>
      <c r="D66" s="150"/>
      <c r="E66" s="138"/>
      <c r="F66" s="165" t="str">
        <f>IF(COUNTIF($A66:$E66,"&lt;&gt;")=0,"",IF(OR($B66="",$C66=""),"حدد الشخص الذي دفع المبلغ والشخص الذي استلمه.",IF($B66=$C66,"اختر شخصين مختلفين.",IF(OR($D66="",$D66&lt;=0),"أدخل مبلغًا أكبر من صفر.","جاهز"))))</f>
      </c>
    </row>
    <row r="67">
      <c r="A67" s="149"/>
      <c r="B67" s="138"/>
      <c r="C67" s="138"/>
      <c r="D67" s="150"/>
      <c r="E67" s="138"/>
      <c r="F67" s="165" t="str">
        <f>IF(COUNTIF($A67:$E67,"&lt;&gt;")=0,"",IF(OR($B67="",$C67=""),"حدد الشخص الذي دفع المبلغ والشخص الذي استلمه.",IF($B67=$C67,"اختر شخصين مختلفين.",IF(OR($D67="",$D67&lt;=0),"أدخل مبلغًا أكبر من صفر.","جاهز"))))</f>
      </c>
    </row>
    <row r="68">
      <c r="A68" s="149"/>
      <c r="B68" s="138"/>
      <c r="C68" s="138"/>
      <c r="D68" s="150"/>
      <c r="E68" s="138"/>
      <c r="F68" s="165" t="str">
        <f>IF(COUNTIF($A68:$E68,"&lt;&gt;")=0,"",IF(OR($B68="",$C68=""),"حدد الشخص الذي دفع المبلغ والشخص الذي استلمه.",IF($B68=$C68,"اختر شخصين مختلفين.",IF(OR($D68="",$D68&lt;=0),"أدخل مبلغًا أكبر من صفر.","جاهز"))))</f>
      </c>
    </row>
    <row r="69">
      <c r="A69" s="149"/>
      <c r="B69" s="138"/>
      <c r="C69" s="138"/>
      <c r="D69" s="150"/>
      <c r="E69" s="138"/>
      <c r="F69" s="165" t="str">
        <f>IF(COUNTIF($A69:$E69,"&lt;&gt;")=0,"",IF(OR($B69="",$C69=""),"حدد الشخص الذي دفع المبلغ والشخص الذي استلمه.",IF($B69=$C69,"اختر شخصين مختلفين.",IF(OR($D69="",$D69&lt;=0),"أدخل مبلغًا أكبر من صفر.","جاهز"))))</f>
      </c>
    </row>
    <row r="70">
      <c r="A70" s="149"/>
      <c r="B70" s="138"/>
      <c r="C70" s="138"/>
      <c r="D70" s="150"/>
      <c r="E70" s="138"/>
      <c r="F70" s="165" t="str">
        <f>IF(COUNTIF($A70:$E70,"&lt;&gt;")=0,"",IF(OR($B70="",$C70=""),"حدد الشخص الذي دفع المبلغ والشخص الذي استلمه.",IF($B70=$C70,"اختر شخصين مختلفين.",IF(OR($D70="",$D70&lt;=0),"أدخل مبلغًا أكبر من صفر.","جاهز"))))</f>
      </c>
    </row>
    <row r="71">
      <c r="A71" s="149"/>
      <c r="B71" s="138"/>
      <c r="C71" s="138"/>
      <c r="D71" s="150"/>
      <c r="E71" s="138"/>
      <c r="F71" s="165" t="str">
        <f>IF(COUNTIF($A71:$E71,"&lt;&gt;")=0,"",IF(OR($B71="",$C71=""),"حدد الشخص الذي دفع المبلغ والشخص الذي استلمه.",IF($B71=$C71,"اختر شخصين مختلفين.",IF(OR($D71="",$D71&lt;=0),"أدخل مبلغًا أكبر من صفر.","جاهز"))))</f>
      </c>
    </row>
    <row r="72">
      <c r="A72" s="149"/>
      <c r="B72" s="138"/>
      <c r="C72" s="138"/>
      <c r="D72" s="150"/>
      <c r="E72" s="138"/>
      <c r="F72" s="165" t="str">
        <f>IF(COUNTIF($A72:$E72,"&lt;&gt;")=0,"",IF(OR($B72="",$C72=""),"حدد الشخص الذي دفع المبلغ والشخص الذي استلمه.",IF($B72=$C72,"اختر شخصين مختلفين.",IF(OR($D72="",$D72&lt;=0),"أدخل مبلغًا أكبر من صفر.","جاهز"))))</f>
      </c>
    </row>
    <row r="73">
      <c r="A73" s="149"/>
      <c r="B73" s="138"/>
      <c r="C73" s="138"/>
      <c r="D73" s="150"/>
      <c r="E73" s="138"/>
      <c r="F73" s="165" t="str">
        <f>IF(COUNTIF($A73:$E73,"&lt;&gt;")=0,"",IF(OR($B73="",$C73=""),"حدد الشخص الذي دفع المبلغ والشخص الذي استلمه.",IF($B73=$C73,"اختر شخصين مختلفين.",IF(OR($D73="",$D73&lt;=0),"أدخل مبلغًا أكبر من صفر.","جاهز"))))</f>
      </c>
    </row>
    <row r="74">
      <c r="A74" s="149"/>
      <c r="B74" s="138"/>
      <c r="C74" s="138"/>
      <c r="D74" s="150"/>
      <c r="E74" s="138"/>
      <c r="F74" s="165" t="str">
        <f>IF(COUNTIF($A74:$E74,"&lt;&gt;")=0,"",IF(OR($B74="",$C74=""),"حدد الشخص الذي دفع المبلغ والشخص الذي استلمه.",IF($B74=$C74,"اختر شخصين مختلفين.",IF(OR($D74="",$D74&lt;=0),"أدخل مبلغًا أكبر من صفر.","جاهز"))))</f>
      </c>
    </row>
    <row r="75">
      <c r="A75" s="149"/>
      <c r="B75" s="138"/>
      <c r="C75" s="138"/>
      <c r="D75" s="150"/>
      <c r="E75" s="138"/>
      <c r="F75" s="165" t="str">
        <f>IF(COUNTIF($A75:$E75,"&lt;&gt;")=0,"",IF(OR($B75="",$C75=""),"حدد الشخص الذي دفع المبلغ والشخص الذي استلمه.",IF($B75=$C75,"اختر شخصين مختلفين.",IF(OR($D75="",$D75&lt;=0),"أدخل مبلغًا أكبر من صفر.","جاهز"))))</f>
      </c>
    </row>
    <row r="76">
      <c r="A76" s="149"/>
      <c r="B76" s="138"/>
      <c r="C76" s="138"/>
      <c r="D76" s="150"/>
      <c r="E76" s="138"/>
      <c r="F76" s="165" t="str">
        <f>IF(COUNTIF($A76:$E76,"&lt;&gt;")=0,"",IF(OR($B76="",$C76=""),"حدد الشخص الذي دفع المبلغ والشخص الذي استلمه.",IF($B76=$C76,"اختر شخصين مختلفين.",IF(OR($D76="",$D76&lt;=0),"أدخل مبلغًا أكبر من صفر.","جاهز"))))</f>
      </c>
    </row>
    <row r="77">
      <c r="A77" s="149"/>
      <c r="B77" s="138"/>
      <c r="C77" s="138"/>
      <c r="D77" s="150"/>
      <c r="E77" s="138"/>
      <c r="F77" s="165" t="str">
        <f>IF(COUNTIF($A77:$E77,"&lt;&gt;")=0,"",IF(OR($B77="",$C77=""),"حدد الشخص الذي دفع المبلغ والشخص الذي استلمه.",IF($B77=$C77,"اختر شخصين مختلفين.",IF(OR($D77="",$D77&lt;=0),"أدخل مبلغًا أكبر من صفر.","جاهز"))))</f>
      </c>
    </row>
    <row r="78">
      <c r="A78" s="149"/>
      <c r="B78" s="138"/>
      <c r="C78" s="138"/>
      <c r="D78" s="150"/>
      <c r="E78" s="138"/>
      <c r="F78" s="165" t="str">
        <f>IF(COUNTIF($A78:$E78,"&lt;&gt;")=0,"",IF(OR($B78="",$C78=""),"حدد الشخص الذي دفع المبلغ والشخص الذي استلمه.",IF($B78=$C78,"اختر شخصين مختلفين.",IF(OR($D78="",$D78&lt;=0),"أدخل مبلغًا أكبر من صفر.","جاهز"))))</f>
      </c>
    </row>
    <row r="79">
      <c r="A79" s="149"/>
      <c r="B79" s="138"/>
      <c r="C79" s="138"/>
      <c r="D79" s="150"/>
      <c r="E79" s="138"/>
      <c r="F79" s="165" t="str">
        <f>IF(COUNTIF($A79:$E79,"&lt;&gt;")=0,"",IF(OR($B79="",$C79=""),"حدد الشخص الذي دفع المبلغ والشخص الذي استلمه.",IF($B79=$C79,"اختر شخصين مختلفين.",IF(OR($D79="",$D79&lt;=0),"أدخل مبلغًا أكبر من صفر.","جاهز"))))</f>
      </c>
    </row>
    <row r="80">
      <c r="A80" s="149"/>
      <c r="B80" s="138"/>
      <c r="C80" s="138"/>
      <c r="D80" s="150"/>
      <c r="E80" s="138"/>
      <c r="F80" s="165" t="str">
        <f>IF(COUNTIF($A80:$E80,"&lt;&gt;")=0,"",IF(OR($B80="",$C80=""),"حدد الشخص الذي دفع المبلغ والشخص الذي استلمه.",IF($B80=$C80,"اختر شخصين مختلفين.",IF(OR($D80="",$D80&lt;=0),"أدخل مبلغًا أكبر من صفر.","جاهز"))))</f>
      </c>
    </row>
    <row r="81">
      <c r="A81" s="149"/>
      <c r="B81" s="138"/>
      <c r="C81" s="138"/>
      <c r="D81" s="150"/>
      <c r="E81" s="138"/>
      <c r="F81" s="165" t="str">
        <f>IF(COUNTIF($A81:$E81,"&lt;&gt;")=0,"",IF(OR($B81="",$C81=""),"حدد الشخص الذي دفع المبلغ والشخص الذي استلمه.",IF($B81=$C81,"اختر شخصين مختلفين.",IF(OR($D81="",$D81&lt;=0),"أدخل مبلغًا أكبر من صفر.","جاهز"))))</f>
      </c>
    </row>
    <row r="82">
      <c r="A82" s="149"/>
      <c r="B82" s="138"/>
      <c r="C82" s="138"/>
      <c r="D82" s="150"/>
      <c r="E82" s="138"/>
      <c r="F82" s="165" t="str">
        <f>IF(COUNTIF($A82:$E82,"&lt;&gt;")=0,"",IF(OR($B82="",$C82=""),"حدد الشخص الذي دفع المبلغ والشخص الذي استلمه.",IF($B82=$C82,"اختر شخصين مختلفين.",IF(OR($D82="",$D82&lt;=0),"أدخل مبلغًا أكبر من صفر.","جاهز"))))</f>
      </c>
    </row>
    <row r="83">
      <c r="A83" s="149"/>
      <c r="B83" s="138"/>
      <c r="C83" s="138"/>
      <c r="D83" s="150"/>
      <c r="E83" s="138"/>
      <c r="F83" s="165" t="str">
        <f>IF(COUNTIF($A83:$E83,"&lt;&gt;")=0,"",IF(OR($B83="",$C83=""),"حدد الشخص الذي دفع المبلغ والشخص الذي استلمه.",IF($B83=$C83,"اختر شخصين مختلفين.",IF(OR($D83="",$D83&lt;=0),"أدخل مبلغًا أكبر من صفر.","جاهز"))))</f>
      </c>
    </row>
    <row r="84">
      <c r="A84" s="149"/>
      <c r="B84" s="138"/>
      <c r="C84" s="138"/>
      <c r="D84" s="150"/>
      <c r="E84" s="138"/>
      <c r="F84" s="165" t="str">
        <f>IF(COUNTIF($A84:$E84,"&lt;&gt;")=0,"",IF(OR($B84="",$C84=""),"حدد الشخص الذي دفع المبلغ والشخص الذي استلمه.",IF($B84=$C84,"اختر شخصين مختلفين.",IF(OR($D84="",$D84&lt;=0),"أدخل مبلغًا أكبر من صفر.","جاهز"))))</f>
      </c>
    </row>
    <row r="85">
      <c r="A85" s="149"/>
      <c r="B85" s="138"/>
      <c r="C85" s="138"/>
      <c r="D85" s="150"/>
      <c r="E85" s="138"/>
      <c r="F85" s="165" t="str">
        <f>IF(COUNTIF($A85:$E85,"&lt;&gt;")=0,"",IF(OR($B85="",$C85=""),"حدد الشخص الذي دفع المبلغ والشخص الذي استلمه.",IF($B85=$C85,"اختر شخصين مختلفين.",IF(OR($D85="",$D85&lt;=0),"أدخل مبلغًا أكبر من صفر.","جاهز"))))</f>
      </c>
    </row>
    <row r="86">
      <c r="A86" s="149"/>
      <c r="B86" s="138"/>
      <c r="C86" s="138"/>
      <c r="D86" s="150"/>
      <c r="E86" s="138"/>
      <c r="F86" s="165" t="str">
        <f>IF(COUNTIF($A86:$E86,"&lt;&gt;")=0,"",IF(OR($B86="",$C86=""),"حدد الشخص الذي دفع المبلغ والشخص الذي استلمه.",IF($B86=$C86,"اختر شخصين مختلفين.",IF(OR($D86="",$D86&lt;=0),"أدخل مبلغًا أكبر من صفر.","جاهز"))))</f>
      </c>
    </row>
    <row r="87">
      <c r="A87" s="149"/>
      <c r="B87" s="138"/>
      <c r="C87" s="138"/>
      <c r="D87" s="150"/>
      <c r="E87" s="138"/>
      <c r="F87" s="165" t="str">
        <f>IF(COUNTIF($A87:$E87,"&lt;&gt;")=0,"",IF(OR($B87="",$C87=""),"حدد الشخص الذي دفع المبلغ والشخص الذي استلمه.",IF($B87=$C87,"اختر شخصين مختلفين.",IF(OR($D87="",$D87&lt;=0),"أدخل مبلغًا أكبر من صفر.","جاهز"))))</f>
      </c>
    </row>
    <row r="88">
      <c r="A88" s="149"/>
      <c r="B88" s="138"/>
      <c r="C88" s="138"/>
      <c r="D88" s="150"/>
      <c r="E88" s="138"/>
      <c r="F88" s="165" t="str">
        <f>IF(COUNTIF($A88:$E88,"&lt;&gt;")=0,"",IF(OR($B88="",$C88=""),"حدد الشخص الذي دفع المبلغ والشخص الذي استلمه.",IF($B88=$C88,"اختر شخصين مختلفين.",IF(OR($D88="",$D88&lt;=0),"أدخل مبلغًا أكبر من صفر.","جاهز"))))</f>
      </c>
    </row>
    <row r="89">
      <c r="A89" s="149"/>
      <c r="B89" s="138"/>
      <c r="C89" s="138"/>
      <c r="D89" s="150"/>
      <c r="E89" s="138"/>
      <c r="F89" s="165" t="str">
        <f>IF(COUNTIF($A89:$E89,"&lt;&gt;")=0,"",IF(OR($B89="",$C89=""),"حدد الشخص الذي دفع المبلغ والشخص الذي استلمه.",IF($B89=$C89,"اختر شخصين مختلفين.",IF(OR($D89="",$D89&lt;=0),"أدخل مبلغًا أكبر من صفر.","جاهز"))))</f>
      </c>
    </row>
    <row r="90">
      <c r="A90" s="149"/>
      <c r="B90" s="138"/>
      <c r="C90" s="138"/>
      <c r="D90" s="150"/>
      <c r="E90" s="138"/>
      <c r="F90" s="165" t="str">
        <f>IF(COUNTIF($A90:$E90,"&lt;&gt;")=0,"",IF(OR($B90="",$C90=""),"حدد الشخص الذي دفع المبلغ والشخص الذي استلمه.",IF($B90=$C90,"اختر شخصين مختلفين.",IF(OR($D90="",$D90&lt;=0),"أدخل مبلغًا أكبر من صفر.","جاهز"))))</f>
      </c>
    </row>
    <row r="91">
      <c r="A91" s="149"/>
      <c r="B91" s="138"/>
      <c r="C91" s="138"/>
      <c r="D91" s="150"/>
      <c r="E91" s="138"/>
      <c r="F91" s="165" t="str">
        <f>IF(COUNTIF($A91:$E91,"&lt;&gt;")=0,"",IF(OR($B91="",$C91=""),"حدد الشخص الذي دفع المبلغ والشخص الذي استلمه.",IF($B91=$C91,"اختر شخصين مختلفين.",IF(OR($D91="",$D91&lt;=0),"أدخل مبلغًا أكبر من صفر.","جاهز"))))</f>
      </c>
    </row>
    <row r="92">
      <c r="A92" s="149"/>
      <c r="B92" s="138"/>
      <c r="C92" s="138"/>
      <c r="D92" s="150"/>
      <c r="E92" s="138"/>
      <c r="F92" s="165" t="str">
        <f>IF(COUNTIF($A92:$E92,"&lt;&gt;")=0,"",IF(OR($B92="",$C92=""),"حدد الشخص الذي دفع المبلغ والشخص الذي استلمه.",IF($B92=$C92,"اختر شخصين مختلفين.",IF(OR($D92="",$D92&lt;=0),"أدخل مبلغًا أكبر من صفر.","جاهز"))))</f>
      </c>
    </row>
    <row r="93">
      <c r="A93" s="149"/>
      <c r="B93" s="138"/>
      <c r="C93" s="138"/>
      <c r="D93" s="150"/>
      <c r="E93" s="138"/>
      <c r="F93" s="165" t="str">
        <f>IF(COUNTIF($A93:$E93,"&lt;&gt;")=0,"",IF(OR($B93="",$C93=""),"حدد الشخص الذي دفع المبلغ والشخص الذي استلمه.",IF($B93=$C93,"اختر شخصين مختلفين.",IF(OR($D93="",$D93&lt;=0),"أدخل مبلغًا أكبر من صفر.","جاهز"))))</f>
      </c>
    </row>
    <row r="94">
      <c r="A94" s="149"/>
      <c r="B94" s="138"/>
      <c r="C94" s="138"/>
      <c r="D94" s="150"/>
      <c r="E94" s="138"/>
      <c r="F94" s="165" t="str">
        <f>IF(COUNTIF($A94:$E94,"&lt;&gt;")=0,"",IF(OR($B94="",$C94=""),"حدد الشخص الذي دفع المبلغ والشخص الذي استلمه.",IF($B94=$C94,"اختر شخصين مختلفين.",IF(OR($D94="",$D94&lt;=0),"أدخل مبلغًا أكبر من صفر.","جاهز"))))</f>
      </c>
    </row>
    <row r="95">
      <c r="A95" s="149"/>
      <c r="B95" s="138"/>
      <c r="C95" s="138"/>
      <c r="D95" s="150"/>
      <c r="E95" s="138"/>
      <c r="F95" s="165" t="str">
        <f>IF(COUNTIF($A95:$E95,"&lt;&gt;")=0,"",IF(OR($B95="",$C95=""),"حدد الشخص الذي دفع المبلغ والشخص الذي استلمه.",IF($B95=$C95,"اختر شخصين مختلفين.",IF(OR($D95="",$D95&lt;=0),"أدخل مبلغًا أكبر من صفر.","جاهز"))))</f>
      </c>
    </row>
    <row r="96">
      <c r="A96" s="149"/>
      <c r="B96" s="138"/>
      <c r="C96" s="138"/>
      <c r="D96" s="150"/>
      <c r="E96" s="138"/>
      <c r="F96" s="165" t="str">
        <f>IF(COUNTIF($A96:$E96,"&lt;&gt;")=0,"",IF(OR($B96="",$C96=""),"حدد الشخص الذي دفع المبلغ والشخص الذي استلمه.",IF($B96=$C96,"اختر شخصين مختلفين.",IF(OR($D96="",$D96&lt;=0),"أدخل مبلغًا أكبر من صفر.","جاهز"))))</f>
      </c>
    </row>
    <row r="97">
      <c r="A97" s="149"/>
      <c r="B97" s="138"/>
      <c r="C97" s="138"/>
      <c r="D97" s="150"/>
      <c r="E97" s="138"/>
      <c r="F97" s="165" t="str">
        <f>IF(COUNTIF($A97:$E97,"&lt;&gt;")=0,"",IF(OR($B97="",$C97=""),"حدد الشخص الذي دفع المبلغ والشخص الذي استلمه.",IF($B97=$C97,"اختر شخصين مختلفين.",IF(OR($D97="",$D97&lt;=0),"أدخل مبلغًا أكبر من صفر.","جاهز"))))</f>
      </c>
    </row>
    <row r="98">
      <c r="A98" s="149"/>
      <c r="B98" s="138"/>
      <c r="C98" s="138"/>
      <c r="D98" s="150"/>
      <c r="E98" s="138"/>
      <c r="F98" s="165" t="str">
        <f>IF(COUNTIF($A98:$E98,"&lt;&gt;")=0,"",IF(OR($B98="",$C98=""),"حدد الشخص الذي دفع المبلغ والشخص الذي استلمه.",IF($B98=$C98,"اختر شخصين مختلفين.",IF(OR($D98="",$D98&lt;=0),"أدخل مبلغًا أكبر من صفر.","جاهز"))))</f>
      </c>
    </row>
    <row r="99">
      <c r="A99" s="149"/>
      <c r="B99" s="138"/>
      <c r="C99" s="138"/>
      <c r="D99" s="150"/>
      <c r="E99" s="138"/>
      <c r="F99" s="165" t="str">
        <f>IF(COUNTIF($A99:$E99,"&lt;&gt;")=0,"",IF(OR($B99="",$C99=""),"حدد الشخص الذي دفع المبلغ والشخص الذي استلمه.",IF($B99=$C99,"اختر شخصين مختلفين.",IF(OR($D99="",$D99&lt;=0),"أدخل مبلغًا أكبر من صفر.","جاهز"))))</f>
      </c>
    </row>
    <row r="100">
      <c r="A100" s="149"/>
      <c r="B100" s="138"/>
      <c r="C100" s="138"/>
      <c r="D100" s="150"/>
      <c r="E100" s="138"/>
      <c r="F100" s="165" t="str">
        <f>IF(COUNTIF($A100:$E100,"&lt;&gt;")=0,"",IF(OR($B100="",$C100=""),"حدد الشخص الذي دفع المبلغ والشخص الذي استلمه.",IF($B100=$C100,"اختر شخصين مختلفين.",IF(OR($D100="",$D100&lt;=0),"أدخل مبلغًا أكبر من صفر.","جاهز"))))</f>
      </c>
    </row>
    <row r="101">
      <c r="A101" s="149"/>
      <c r="B101" s="138"/>
      <c r="C101" s="138"/>
      <c r="D101" s="150"/>
      <c r="E101" s="138"/>
      <c r="F101" s="165" t="str">
        <f>IF(COUNTIF($A101:$E101,"&lt;&gt;")=0,"",IF(OR($B101="",$C101=""),"حدد الشخص الذي دفع المبلغ والشخص الذي استلمه.",IF($B101=$C101,"اختر شخصين مختلفين.",IF(OR($D101="",$D101&lt;=0),"أدخل مبلغًا أكبر من صفر.","جاهز"))))</f>
      </c>
    </row>
    <row r="102">
      <c r="A102" s="149"/>
      <c r="B102" s="138"/>
      <c r="C102" s="138"/>
      <c r="D102" s="150"/>
      <c r="E102" s="138"/>
      <c r="F102" s="165" t="str">
        <f>IF(COUNTIF($A102:$E102,"&lt;&gt;")=0,"",IF(OR($B102="",$C102=""),"حدد الشخص الذي دفع المبلغ والشخص الذي استلمه.",IF($B102=$C102,"اختر شخصين مختلفين.",IF(OR($D102="",$D102&lt;=0),"أدخل مبلغًا أكبر من صفر.","جاهز"))))</f>
      </c>
    </row>
    <row r="103">
      <c r="A103" s="149"/>
      <c r="B103" s="138"/>
      <c r="C103" s="138"/>
      <c r="D103" s="150"/>
      <c r="E103" s="138"/>
      <c r="F103" s="165" t="str">
        <f>IF(COUNTIF($A103:$E103,"&lt;&gt;")=0,"",IF(OR($B103="",$C103=""),"حدد الشخص الذي دفع المبلغ والشخص الذي استلمه.",IF($B103=$C103,"اختر شخصين مختلفين.",IF(OR($D103="",$D103&lt;=0),"أدخل مبلغًا أكبر من صفر.","جاهز"))))</f>
      </c>
    </row>
    <row r="104">
      <c r="A104" s="149"/>
      <c r="B104" s="138"/>
      <c r="C104" s="138"/>
      <c r="D104" s="150"/>
      <c r="E104" s="138"/>
      <c r="F104" s="165" t="str">
        <f>IF(COUNTIF($A104:$E104,"&lt;&gt;")=0,"",IF(OR($B104="",$C104=""),"حدد الشخص الذي دفع المبلغ والشخص الذي استلمه.",IF($B104=$C104,"اختر شخصين مختلفين.",IF(OR($D104="",$D104&lt;=0),"أدخل مبلغًا أكبر من صفر.","جاهز"))))</f>
      </c>
    </row>
    <row r="105">
      <c r="A105" s="149"/>
      <c r="B105" s="138"/>
      <c r="C105" s="138"/>
      <c r="D105" s="150"/>
      <c r="E105" s="138"/>
      <c r="F105" s="165" t="str">
        <f>IF(COUNTIF($A105:$E105,"&lt;&gt;")=0,"",IF(OR($B105="",$C105=""),"حدد الشخص الذي دفع المبلغ والشخص الذي استلمه.",IF($B105=$C105,"اختر شخصين مختلفين.",IF(OR($D105="",$D105&lt;=0),"أدخل مبلغًا أكبر من صفر.","جاهز"))))</f>
      </c>
    </row>
    <row r="106">
      <c r="A106" s="149"/>
      <c r="B106" s="138"/>
      <c r="C106" s="138"/>
      <c r="D106" s="150"/>
      <c r="E106" s="138"/>
      <c r="F106" s="165" t="str">
        <f>IF(COUNTIF($A106:$E106,"&lt;&gt;")=0,"",IF(OR($B106="",$C106=""),"حدد الشخص الذي دفع المبلغ والشخص الذي استلمه.",IF($B106=$C106,"اختر شخصين مختلفين.",IF(OR($D106="",$D106&lt;=0),"أدخل مبلغًا أكبر من صفر.","جاهز"))))</f>
      </c>
    </row>
    <row r="107">
      <c r="A107" s="149"/>
      <c r="B107" s="138"/>
      <c r="C107" s="138"/>
      <c r="D107" s="150"/>
      <c r="E107" s="138"/>
      <c r="F107" s="165" t="str">
        <f>IF(COUNTIF($A107:$E107,"&lt;&gt;")=0,"",IF(OR($B107="",$C107=""),"حدد الشخص الذي دفع المبلغ والشخص الذي استلمه.",IF($B107=$C107,"اختر شخصين مختلفين.",IF(OR($D107="",$D107&lt;=0),"أدخل مبلغًا أكبر من صفر.","جاهز"))))</f>
      </c>
    </row>
    <row r="108">
      <c r="A108" s="149"/>
      <c r="B108" s="138"/>
      <c r="C108" s="138"/>
      <c r="D108" s="150"/>
      <c r="E108" s="138"/>
      <c r="F108" s="165" t="str">
        <f>IF(COUNTIF($A108:$E108,"&lt;&gt;")=0,"",IF(OR($B108="",$C108=""),"حدد الشخص الذي دفع المبلغ والشخص الذي استلمه.",IF($B108=$C108,"اختر شخصين مختلفين.",IF(OR($D108="",$D108&lt;=0),"أدخل مبلغًا أكبر من صفر.","جاهز"))))</f>
      </c>
    </row>
    <row r="109">
      <c r="A109" s="149"/>
      <c r="B109" s="138"/>
      <c r="C109" s="138"/>
      <c r="D109" s="150"/>
      <c r="E109" s="138"/>
      <c r="F109" s="165" t="str">
        <f>IF(COUNTIF($A109:$E109,"&lt;&gt;")=0,"",IF(OR($B109="",$C109=""),"حدد الشخص الذي دفع المبلغ والشخص الذي استلمه.",IF($B109=$C109,"اختر شخصين مختلفين.",IF(OR($D109="",$D109&lt;=0),"أدخل مبلغًا أكبر من صفر.","جاهز"))))</f>
      </c>
    </row>
    <row r="110">
      <c r="A110" s="149"/>
      <c r="B110" s="138"/>
      <c r="C110" s="138"/>
      <c r="D110" s="150"/>
      <c r="E110" s="138"/>
      <c r="F110" s="165" t="str">
        <f>IF(COUNTIF($A110:$E110,"&lt;&gt;")=0,"",IF(OR($B110="",$C110=""),"حدد الشخص الذي دفع المبلغ والشخص الذي استلمه.",IF($B110=$C110,"اختر شخصين مختلفين.",IF(OR($D110="",$D110&lt;=0),"أدخل مبلغًا أكبر من صفر.","جاهز"))))</f>
      </c>
    </row>
    <row r="111">
      <c r="A111" s="149"/>
      <c r="B111" s="138"/>
      <c r="C111" s="138"/>
      <c r="D111" s="150"/>
      <c r="E111" s="138"/>
      <c r="F111" s="165" t="str">
        <f>IF(COUNTIF($A111:$E111,"&lt;&gt;")=0,"",IF(OR($B111="",$C111=""),"حدد الشخص الذي دفع المبلغ والشخص الذي استلمه.",IF($B111=$C111,"اختر شخصين مختلفين.",IF(OR($D111="",$D111&lt;=0),"أدخل مبلغًا أكبر من صفر.","جاهز"))))</f>
      </c>
    </row>
    <row r="112">
      <c r="A112" s="149"/>
      <c r="B112" s="138"/>
      <c r="C112" s="138"/>
      <c r="D112" s="150"/>
      <c r="E112" s="138"/>
      <c r="F112" s="165" t="str">
        <f>IF(COUNTIF($A112:$E112,"&lt;&gt;")=0,"",IF(OR($B112="",$C112=""),"حدد الشخص الذي دفع المبلغ والشخص الذي استلمه.",IF($B112=$C112,"اختر شخصين مختلفين.",IF(OR($D112="",$D112&lt;=0),"أدخل مبلغًا أكبر من صفر.","جاهز"))))</f>
      </c>
    </row>
    <row r="113">
      <c r="A113" s="149"/>
      <c r="B113" s="138"/>
      <c r="C113" s="138"/>
      <c r="D113" s="150"/>
      <c r="E113" s="138"/>
      <c r="F113" s="165" t="str">
        <f>IF(COUNTIF($A113:$E113,"&lt;&gt;")=0,"",IF(OR($B113="",$C113=""),"حدد الشخص الذي دفع المبلغ والشخص الذي استلمه.",IF($B113=$C113,"اختر شخصين مختلفين.",IF(OR($D113="",$D113&lt;=0),"أدخل مبلغًا أكبر من صفر.","جاهز"))))</f>
      </c>
    </row>
    <row r="114">
      <c r="A114" s="149"/>
      <c r="B114" s="138"/>
      <c r="C114" s="138"/>
      <c r="D114" s="150"/>
      <c r="E114" s="138"/>
      <c r="F114" s="165" t="str">
        <f>IF(COUNTIF($A114:$E114,"&lt;&gt;")=0,"",IF(OR($B114="",$C114=""),"حدد الشخص الذي دفع المبلغ والشخص الذي استلمه.",IF($B114=$C114,"اختر شخصين مختلفين.",IF(OR($D114="",$D114&lt;=0),"أدخل مبلغًا أكبر من صفر.","جاهز"))))</f>
      </c>
    </row>
    <row r="115">
      <c r="A115" s="149"/>
      <c r="B115" s="138"/>
      <c r="C115" s="138"/>
      <c r="D115" s="150"/>
      <c r="E115" s="138"/>
      <c r="F115" s="165" t="str">
        <f>IF(COUNTIF($A115:$E115,"&lt;&gt;")=0,"",IF(OR($B115="",$C115=""),"حدد الشخص الذي دفع المبلغ والشخص الذي استلمه.",IF($B115=$C115,"اختر شخصين مختلفين.",IF(OR($D115="",$D115&lt;=0),"أدخل مبلغًا أكبر من صفر.","جاهز"))))</f>
      </c>
    </row>
    <row r="116">
      <c r="A116" s="149"/>
      <c r="B116" s="138"/>
      <c r="C116" s="138"/>
      <c r="D116" s="150"/>
      <c r="E116" s="138"/>
      <c r="F116" s="165" t="str">
        <f>IF(COUNTIF($A116:$E116,"&lt;&gt;")=0,"",IF(OR($B116="",$C116=""),"حدد الشخص الذي دفع المبلغ والشخص الذي استلمه.",IF($B116=$C116,"اختر شخصين مختلفين.",IF(OR($D116="",$D116&lt;=0),"أدخل مبلغًا أكبر من صفر.","جاهز"))))</f>
      </c>
    </row>
    <row r="117">
      <c r="A117" s="149"/>
      <c r="B117" s="138"/>
      <c r="C117" s="138"/>
      <c r="D117" s="150"/>
      <c r="E117" s="138"/>
      <c r="F117" s="165" t="str">
        <f>IF(COUNTIF($A117:$E117,"&lt;&gt;")=0,"",IF(OR($B117="",$C117=""),"حدد الشخص الذي دفع المبلغ والشخص الذي استلمه.",IF($B117=$C117,"اختر شخصين مختلفين.",IF(OR($D117="",$D117&lt;=0),"أدخل مبلغًا أكبر من صفر.","جاهز"))))</f>
      </c>
    </row>
    <row r="118">
      <c r="A118" s="149"/>
      <c r="B118" s="138"/>
      <c r="C118" s="138"/>
      <c r="D118" s="150"/>
      <c r="E118" s="138"/>
      <c r="F118" s="165" t="str">
        <f>IF(COUNTIF($A118:$E118,"&lt;&gt;")=0,"",IF(OR($B118="",$C118=""),"حدد الشخص الذي دفع المبلغ والشخص الذي استلمه.",IF($B118=$C118,"اختر شخصين مختلفين.",IF(OR($D118="",$D118&lt;=0),"أدخل مبلغًا أكبر من صفر.","جاهز"))))</f>
      </c>
    </row>
    <row r="119">
      <c r="A119" s="149"/>
      <c r="B119" s="138"/>
      <c r="C119" s="138"/>
      <c r="D119" s="150"/>
      <c r="E119" s="138"/>
      <c r="F119" s="165" t="str">
        <f>IF(COUNTIF($A119:$E119,"&lt;&gt;")=0,"",IF(OR($B119="",$C119=""),"حدد الشخص الذي دفع المبلغ والشخص الذي استلمه.",IF($B119=$C119,"اختر شخصين مختلفين.",IF(OR($D119="",$D119&lt;=0),"أدخل مبلغًا أكبر من صفر.","جاهز"))))</f>
      </c>
    </row>
    <row r="120">
      <c r="A120" s="149"/>
      <c r="B120" s="138"/>
      <c r="C120" s="138"/>
      <c r="D120" s="150"/>
      <c r="E120" s="138"/>
      <c r="F120" s="165" t="str">
        <f>IF(COUNTIF($A120:$E120,"&lt;&gt;")=0,"",IF(OR($B120="",$C120=""),"حدد الشخص الذي دفع المبلغ والشخص الذي استلمه.",IF($B120=$C120,"اختر شخصين مختلفين.",IF(OR($D120="",$D120&lt;=0),"أدخل مبلغًا أكبر من صفر.","جاهز"))))</f>
      </c>
    </row>
    <row r="121">
      <c r="A121" s="149"/>
      <c r="B121" s="138"/>
      <c r="C121" s="138"/>
      <c r="D121" s="150"/>
      <c r="E121" s="138"/>
      <c r="F121" s="165" t="str">
        <f>IF(COUNTIF($A121:$E121,"&lt;&gt;")=0,"",IF(OR($B121="",$C121=""),"حدد الشخص الذي دفع المبلغ والشخص الذي استلمه.",IF($B121=$C121,"اختر شخصين مختلفين.",IF(OR($D121="",$D121&lt;=0),"أدخل مبلغًا أكبر من صفر.","جاهز"))))</f>
      </c>
    </row>
    <row r="122">
      <c r="A122" s="149"/>
      <c r="B122" s="138"/>
      <c r="C122" s="138"/>
      <c r="D122" s="150"/>
      <c r="E122" s="138"/>
      <c r="F122" s="165" t="str">
        <f>IF(COUNTIF($A122:$E122,"&lt;&gt;")=0,"",IF(OR($B122="",$C122=""),"حدد الشخص الذي دفع المبلغ والشخص الذي استلمه.",IF($B122=$C122,"اختر شخصين مختلفين.",IF(OR($D122="",$D122&lt;=0),"أدخل مبلغًا أكبر من صفر.","جاهز"))))</f>
      </c>
    </row>
    <row r="123">
      <c r="A123" s="149"/>
      <c r="B123" s="138"/>
      <c r="C123" s="138"/>
      <c r="D123" s="150"/>
      <c r="E123" s="138"/>
      <c r="F123" s="165" t="str">
        <f>IF(COUNTIF($A123:$E123,"&lt;&gt;")=0,"",IF(OR($B123="",$C123=""),"حدد الشخص الذي دفع المبلغ والشخص الذي استلمه.",IF($B123=$C123,"اختر شخصين مختلفين.",IF(OR($D123="",$D123&lt;=0),"أدخل مبلغًا أكبر من صفر.","جاهز"))))</f>
      </c>
    </row>
    <row r="124">
      <c r="A124" s="149"/>
      <c r="B124" s="138"/>
      <c r="C124" s="138"/>
      <c r="D124" s="150"/>
      <c r="E124" s="138"/>
      <c r="F124" s="165" t="str">
        <f>IF(COUNTIF($A124:$E124,"&lt;&gt;")=0,"",IF(OR($B124="",$C124=""),"حدد الشخص الذي دفع المبلغ والشخص الذي استلمه.",IF($B124=$C124,"اختر شخصين مختلفين.",IF(OR($D124="",$D124&lt;=0),"أدخل مبلغًا أكبر من صفر.","جاهز"))))</f>
      </c>
    </row>
    <row r="125">
      <c r="A125" s="149"/>
      <c r="B125" s="138"/>
      <c r="C125" s="138"/>
      <c r="D125" s="150"/>
      <c r="E125" s="138"/>
      <c r="F125" s="165" t="str">
        <f>IF(COUNTIF($A125:$E125,"&lt;&gt;")=0,"",IF(OR($B125="",$C125=""),"حدد الشخص الذي دفع المبلغ والشخص الذي استلمه.",IF($B125=$C125,"اختر شخصين مختلفين.",IF(OR($D125="",$D125&lt;=0),"أدخل مبلغًا أكبر من صفر.","جاهز"))))</f>
      </c>
    </row>
    <row r="126">
      <c r="A126" s="149"/>
      <c r="B126" s="138"/>
      <c r="C126" s="138"/>
      <c r="D126" s="150"/>
      <c r="E126" s="138"/>
      <c r="F126" s="165" t="str">
        <f>IF(COUNTIF($A126:$E126,"&lt;&gt;")=0,"",IF(OR($B126="",$C126=""),"حدد الشخص الذي دفع المبلغ والشخص الذي استلمه.",IF($B126=$C126,"اختر شخصين مختلفين.",IF(OR($D126="",$D126&lt;=0),"أدخل مبلغًا أكبر من صفر.","جاهز"))))</f>
      </c>
    </row>
    <row r="127">
      <c r="A127" s="149"/>
      <c r="B127" s="138"/>
      <c r="C127" s="138"/>
      <c r="D127" s="150"/>
      <c r="E127" s="138"/>
      <c r="F127" s="165" t="str">
        <f>IF(COUNTIF($A127:$E127,"&lt;&gt;")=0,"",IF(OR($B127="",$C127=""),"حدد الشخص الذي دفع المبلغ والشخص الذي استلمه.",IF($B127=$C127,"اختر شخصين مختلفين.",IF(OR($D127="",$D127&lt;=0),"أدخل مبلغًا أكبر من صفر.","جاهز"))))</f>
      </c>
    </row>
    <row r="128">
      <c r="A128" s="149"/>
      <c r="B128" s="138"/>
      <c r="C128" s="138"/>
      <c r="D128" s="150"/>
      <c r="E128" s="138"/>
      <c r="F128" s="165" t="str">
        <f>IF(COUNTIF($A128:$E128,"&lt;&gt;")=0,"",IF(OR($B128="",$C128=""),"حدد الشخص الذي دفع المبلغ والشخص الذي استلمه.",IF($B128=$C128,"اختر شخصين مختلفين.",IF(OR($D128="",$D128&lt;=0),"أدخل مبلغًا أكبر من صفر.","جاهز"))))</f>
      </c>
    </row>
    <row r="129">
      <c r="A129" s="149"/>
      <c r="B129" s="138"/>
      <c r="C129" s="138"/>
      <c r="D129" s="150"/>
      <c r="E129" s="138"/>
      <c r="F129" s="165" t="str">
        <f>IF(COUNTIF($A129:$E129,"&lt;&gt;")=0,"",IF(OR($B129="",$C129=""),"حدد الشخص الذي دفع المبلغ والشخص الذي استلمه.",IF($B129=$C129,"اختر شخصين مختلفين.",IF(OR($D129="",$D129&lt;=0),"أدخل مبلغًا أكبر من صفر.","جاهز"))))</f>
      </c>
    </row>
    <row r="130">
      <c r="A130" s="149"/>
      <c r="B130" s="138"/>
      <c r="C130" s="138"/>
      <c r="D130" s="150"/>
      <c r="E130" s="138"/>
      <c r="F130" s="165" t="str">
        <f>IF(COUNTIF($A130:$E130,"&lt;&gt;")=0,"",IF(OR($B130="",$C130=""),"حدد الشخص الذي دفع المبلغ والشخص الذي استلمه.",IF($B130=$C130,"اختر شخصين مختلفين.",IF(OR($D130="",$D130&lt;=0),"أدخل مبلغًا أكبر من صفر.","جاهز"))))</f>
      </c>
    </row>
    <row r="131">
      <c r="A131" s="149"/>
      <c r="B131" s="138"/>
      <c r="C131" s="138"/>
      <c r="D131" s="150"/>
      <c r="E131" s="138"/>
      <c r="F131" s="165" t="str">
        <f>IF(COUNTIF($A131:$E131,"&lt;&gt;")=0,"",IF(OR($B131="",$C131=""),"حدد الشخص الذي دفع المبلغ والشخص الذي استلمه.",IF($B131=$C131,"اختر شخصين مختلفين.",IF(OR($D131="",$D131&lt;=0),"أدخل مبلغًا أكبر من صفر.","جاهز"))))</f>
      </c>
    </row>
    <row r="132">
      <c r="A132" s="149"/>
      <c r="B132" s="138"/>
      <c r="C132" s="138"/>
      <c r="D132" s="150"/>
      <c r="E132" s="138"/>
      <c r="F132" s="165" t="str">
        <f>IF(COUNTIF($A132:$E132,"&lt;&gt;")=0,"",IF(OR($B132="",$C132=""),"حدد الشخص الذي دفع المبلغ والشخص الذي استلمه.",IF($B132=$C132,"اختر شخصين مختلفين.",IF(OR($D132="",$D132&lt;=0),"أدخل مبلغًا أكبر من صفر.","جاهز"))))</f>
      </c>
    </row>
    <row r="133">
      <c r="A133" s="149"/>
      <c r="B133" s="138"/>
      <c r="C133" s="138"/>
      <c r="D133" s="150"/>
      <c r="E133" s="138"/>
      <c r="F133" s="165" t="str">
        <f>IF(COUNTIF($A133:$E133,"&lt;&gt;")=0,"",IF(OR($B133="",$C133=""),"حدد الشخص الذي دفع المبلغ والشخص الذي استلمه.",IF($B133=$C133,"اختر شخصين مختلفين.",IF(OR($D133="",$D133&lt;=0),"أدخل مبلغًا أكبر من صفر.","جاهز"))))</f>
      </c>
    </row>
    <row r="134">
      <c r="A134" s="149"/>
      <c r="B134" s="138"/>
      <c r="C134" s="138"/>
      <c r="D134" s="150"/>
      <c r="E134" s="138"/>
      <c r="F134" s="165" t="str">
        <f>IF(COUNTIF($A134:$E134,"&lt;&gt;")=0,"",IF(OR($B134="",$C134=""),"حدد الشخص الذي دفع المبلغ والشخص الذي استلمه.",IF($B134=$C134,"اختر شخصين مختلفين.",IF(OR($D134="",$D134&lt;=0),"أدخل مبلغًا أكبر من صفر.","جاهز"))))</f>
      </c>
    </row>
    <row r="135">
      <c r="A135" s="149"/>
      <c r="B135" s="138"/>
      <c r="C135" s="138"/>
      <c r="D135" s="150"/>
      <c r="E135" s="138"/>
      <c r="F135" s="165" t="str">
        <f>IF(COUNTIF($A135:$E135,"&lt;&gt;")=0,"",IF(OR($B135="",$C135=""),"حدد الشخص الذي دفع المبلغ والشخص الذي استلمه.",IF($B135=$C135,"اختر شخصين مختلفين.",IF(OR($D135="",$D135&lt;=0),"أدخل مبلغًا أكبر من صفر.","جاهز"))))</f>
      </c>
    </row>
    <row r="136">
      <c r="A136" s="149"/>
      <c r="B136" s="138"/>
      <c r="C136" s="138"/>
      <c r="D136" s="150"/>
      <c r="E136" s="138"/>
      <c r="F136" s="165" t="str">
        <f>IF(COUNTIF($A136:$E136,"&lt;&gt;")=0,"",IF(OR($B136="",$C136=""),"حدد الشخص الذي دفع المبلغ والشخص الذي استلمه.",IF($B136=$C136,"اختر شخصين مختلفين.",IF(OR($D136="",$D136&lt;=0),"أدخل مبلغًا أكبر من صفر.","جاهز"))))</f>
      </c>
    </row>
    <row r="137">
      <c r="A137" s="149"/>
      <c r="B137" s="138"/>
      <c r="C137" s="138"/>
      <c r="D137" s="150"/>
      <c r="E137" s="138"/>
      <c r="F137" s="165" t="str">
        <f>IF(COUNTIF($A137:$E137,"&lt;&gt;")=0,"",IF(OR($B137="",$C137=""),"حدد الشخص الذي دفع المبلغ والشخص الذي استلمه.",IF($B137=$C137,"اختر شخصين مختلفين.",IF(OR($D137="",$D137&lt;=0),"أدخل مبلغًا أكبر من صفر.","جاهز"))))</f>
      </c>
    </row>
    <row r="138">
      <c r="A138" s="149"/>
      <c r="B138" s="138"/>
      <c r="C138" s="138"/>
      <c r="D138" s="150"/>
      <c r="E138" s="138"/>
      <c r="F138" s="165" t="str">
        <f>IF(COUNTIF($A138:$E138,"&lt;&gt;")=0,"",IF(OR($B138="",$C138=""),"حدد الشخص الذي دفع المبلغ والشخص الذي استلمه.",IF($B138=$C138,"اختر شخصين مختلفين.",IF(OR($D138="",$D138&lt;=0),"أدخل مبلغًا أكبر من صفر.","جاهز"))))</f>
      </c>
    </row>
    <row r="139">
      <c r="A139" s="149"/>
      <c r="B139" s="138"/>
      <c r="C139" s="138"/>
      <c r="D139" s="150"/>
      <c r="E139" s="138"/>
      <c r="F139" s="165" t="str">
        <f>IF(COUNTIF($A139:$E139,"&lt;&gt;")=0,"",IF(OR($B139="",$C139=""),"حدد الشخص الذي دفع المبلغ والشخص الذي استلمه.",IF($B139=$C139,"اختر شخصين مختلفين.",IF(OR($D139="",$D139&lt;=0),"أدخل مبلغًا أكبر من صفر.","جاهز"))))</f>
      </c>
    </row>
    <row r="140">
      <c r="A140" s="149"/>
      <c r="B140" s="138"/>
      <c r="C140" s="138"/>
      <c r="D140" s="150"/>
      <c r="E140" s="138"/>
      <c r="F140" s="165" t="str">
        <f>IF(COUNTIF($A140:$E140,"&lt;&gt;")=0,"",IF(OR($B140="",$C140=""),"حدد الشخص الذي دفع المبلغ والشخص الذي استلمه.",IF($B140=$C140,"اختر شخصين مختلفين.",IF(OR($D140="",$D140&lt;=0),"أدخل مبلغًا أكبر من صفر.","جاهز"))))</f>
      </c>
    </row>
    <row r="141">
      <c r="A141" s="149"/>
      <c r="B141" s="138"/>
      <c r="C141" s="138"/>
      <c r="D141" s="150"/>
      <c r="E141" s="138"/>
      <c r="F141" s="165" t="str">
        <f>IF(COUNTIF($A141:$E141,"&lt;&gt;")=0,"",IF(OR($B141="",$C141=""),"حدد الشخص الذي دفع المبلغ والشخص الذي استلمه.",IF($B141=$C141,"اختر شخصين مختلفين.",IF(OR($D141="",$D141&lt;=0),"أدخل مبلغًا أكبر من صفر.","جاهز"))))</f>
      </c>
    </row>
    <row r="142">
      <c r="A142" s="149"/>
      <c r="B142" s="138"/>
      <c r="C142" s="138"/>
      <c r="D142" s="150"/>
      <c r="E142" s="138"/>
      <c r="F142" s="165" t="str">
        <f>IF(COUNTIF($A142:$E142,"&lt;&gt;")=0,"",IF(OR($B142="",$C142=""),"حدد الشخص الذي دفع المبلغ والشخص الذي استلمه.",IF($B142=$C142,"اختر شخصين مختلفين.",IF(OR($D142="",$D142&lt;=0),"أدخل مبلغًا أكبر من صفر.","جاهز"))))</f>
      </c>
    </row>
    <row r="143">
      <c r="A143" s="149"/>
      <c r="B143" s="138"/>
      <c r="C143" s="138"/>
      <c r="D143" s="150"/>
      <c r="E143" s="138"/>
      <c r="F143" s="165" t="str">
        <f>IF(COUNTIF($A143:$E143,"&lt;&gt;")=0,"",IF(OR($B143="",$C143=""),"حدد الشخص الذي دفع المبلغ والشخص الذي استلمه.",IF($B143=$C143,"اختر شخصين مختلفين.",IF(OR($D143="",$D143&lt;=0),"أدخل مبلغًا أكبر من صفر.","جاهز"))))</f>
      </c>
    </row>
    <row r="144">
      <c r="A144" s="149"/>
      <c r="B144" s="138"/>
      <c r="C144" s="138"/>
      <c r="D144" s="150"/>
      <c r="E144" s="138"/>
      <c r="F144" s="165" t="str">
        <f>IF(COUNTIF($A144:$E144,"&lt;&gt;")=0,"",IF(OR($B144="",$C144=""),"حدد الشخص الذي دفع المبلغ والشخص الذي استلمه.",IF($B144=$C144,"اختر شخصين مختلفين.",IF(OR($D144="",$D144&lt;=0),"أدخل مبلغًا أكبر من صفر.","جاهز"))))</f>
      </c>
    </row>
    <row r="145">
      <c r="A145" s="149"/>
      <c r="B145" s="138"/>
      <c r="C145" s="138"/>
      <c r="D145" s="150"/>
      <c r="E145" s="138"/>
      <c r="F145" s="165" t="str">
        <f>IF(COUNTIF($A145:$E145,"&lt;&gt;")=0,"",IF(OR($B145="",$C145=""),"حدد الشخص الذي دفع المبلغ والشخص الذي استلمه.",IF($B145=$C145,"اختر شخصين مختلفين.",IF(OR($D145="",$D145&lt;=0),"أدخل مبلغًا أكبر من صفر.","جاهز"))))</f>
      </c>
    </row>
    <row r="146">
      <c r="A146" s="149"/>
      <c r="B146" s="138"/>
      <c r="C146" s="138"/>
      <c r="D146" s="150"/>
      <c r="E146" s="138"/>
      <c r="F146" s="165" t="str">
        <f>IF(COUNTIF($A146:$E146,"&lt;&gt;")=0,"",IF(OR($B146="",$C146=""),"حدد الشخص الذي دفع المبلغ والشخص الذي استلمه.",IF($B146=$C146,"اختر شخصين مختلفين.",IF(OR($D146="",$D146&lt;=0),"أدخل مبلغًا أكبر من صفر.","جاهز"))))</f>
      </c>
    </row>
    <row r="147">
      <c r="A147" s="149"/>
      <c r="B147" s="138"/>
      <c r="C147" s="138"/>
      <c r="D147" s="150"/>
      <c r="E147" s="138"/>
      <c r="F147" s="165" t="str">
        <f>IF(COUNTIF($A147:$E147,"&lt;&gt;")=0,"",IF(OR($B147="",$C147=""),"حدد الشخص الذي دفع المبلغ والشخص الذي استلمه.",IF($B147=$C147,"اختر شخصين مختلفين.",IF(OR($D147="",$D147&lt;=0),"أدخل مبلغًا أكبر من صفر.","جاهز"))))</f>
      </c>
    </row>
    <row r="148">
      <c r="A148" s="149"/>
      <c r="B148" s="138"/>
      <c r="C148" s="138"/>
      <c r="D148" s="150"/>
      <c r="E148" s="138"/>
      <c r="F148" s="165" t="str">
        <f>IF(COUNTIF($A148:$E148,"&lt;&gt;")=0,"",IF(OR($B148="",$C148=""),"حدد الشخص الذي دفع المبلغ والشخص الذي استلمه.",IF($B148=$C148,"اختر شخصين مختلفين.",IF(OR($D148="",$D148&lt;=0),"أدخل مبلغًا أكبر من صفر.","جاهز"))))</f>
      </c>
    </row>
    <row r="149">
      <c r="A149" s="149"/>
      <c r="B149" s="138"/>
      <c r="C149" s="138"/>
      <c r="D149" s="150"/>
      <c r="E149" s="138"/>
      <c r="F149" s="165" t="str">
        <f>IF(COUNTIF($A149:$E149,"&lt;&gt;")=0,"",IF(OR($B149="",$C149=""),"حدد الشخص الذي دفع المبلغ والشخص الذي استلمه.",IF($B149=$C149,"اختر شخصين مختلفين.",IF(OR($D149="",$D149&lt;=0),"أدخل مبلغًا أكبر من صفر.","جاهز"))))</f>
      </c>
    </row>
    <row r="150">
      <c r="A150" s="149"/>
      <c r="B150" s="138"/>
      <c r="C150" s="138"/>
      <c r="D150" s="150"/>
      <c r="E150" s="138"/>
      <c r="F150" s="165" t="str">
        <f>IF(COUNTIF($A150:$E150,"&lt;&gt;")=0,"",IF(OR($B150="",$C150=""),"حدد الشخص الذي دفع المبلغ والشخص الذي استلمه.",IF($B150=$C150,"اختر شخصين مختلفين.",IF(OR($D150="",$D150&lt;=0),"أدخل مبلغًا أكبر من صفر.","جاهز"))))</f>
      </c>
    </row>
    <row r="151">
      <c r="A151" s="149"/>
      <c r="B151" s="138"/>
      <c r="C151" s="138"/>
      <c r="D151" s="150"/>
      <c r="E151" s="138"/>
      <c r="F151" s="165" t="str">
        <f>IF(COUNTIF($A151:$E151,"&lt;&gt;")=0,"",IF(OR($B151="",$C151=""),"حدد الشخص الذي دفع المبلغ والشخص الذي استلمه.",IF($B151=$C151,"اختر شخصين مختلفين.",IF(OR($D151="",$D151&lt;=0),"أدخل مبلغًا أكبر من صفر.","جاهز"))))</f>
      </c>
    </row>
    <row r="152">
      <c r="A152" s="149"/>
      <c r="B152" s="138"/>
      <c r="C152" s="138"/>
      <c r="D152" s="150"/>
      <c r="E152" s="138"/>
      <c r="F152" s="165" t="str">
        <f>IF(COUNTIF($A152:$E152,"&lt;&gt;")=0,"",IF(OR($B152="",$C152=""),"حدد الشخص الذي دفع المبلغ والشخص الذي استلمه.",IF($B152=$C152,"اختر شخصين مختلفين.",IF(OR($D152="",$D152&lt;=0),"أدخل مبلغًا أكبر من صفر.","جاهز"))))</f>
      </c>
    </row>
    <row r="153">
      <c r="A153" s="149"/>
      <c r="B153" s="138"/>
      <c r="C153" s="138"/>
      <c r="D153" s="150"/>
      <c r="E153" s="138"/>
      <c r="F153" s="165" t="str">
        <f>IF(COUNTIF($A153:$E153,"&lt;&gt;")=0,"",IF(OR($B153="",$C153=""),"حدد الشخص الذي دفع المبلغ والشخص الذي استلمه.",IF($B153=$C153,"اختر شخصين مختلفين.",IF(OR($D153="",$D153&lt;=0),"أدخل مبلغًا أكبر من صفر.","جاهز"))))</f>
      </c>
    </row>
    <row r="154">
      <c r="A154" s="149"/>
      <c r="B154" s="138"/>
      <c r="C154" s="138"/>
      <c r="D154" s="150"/>
      <c r="E154" s="138"/>
      <c r="F154" s="165" t="str">
        <f>IF(COUNTIF($A154:$E154,"&lt;&gt;")=0,"",IF(OR($B154="",$C154=""),"حدد الشخص الذي دفع المبلغ والشخص الذي استلمه.",IF($B154=$C154,"اختر شخصين مختلفين.",IF(OR($D154="",$D154&lt;=0),"أدخل مبلغًا أكبر من صفر.","جاهز"))))</f>
      </c>
    </row>
    <row r="155">
      <c r="A155" s="149"/>
      <c r="B155" s="138"/>
      <c r="C155" s="138"/>
      <c r="D155" s="150"/>
      <c r="E155" s="138"/>
      <c r="F155" s="165" t="str">
        <f>IF(COUNTIF($A155:$E155,"&lt;&gt;")=0,"",IF(OR($B155="",$C155=""),"حدد الشخص الذي دفع المبلغ والشخص الذي استلمه.",IF($B155=$C155,"اختر شخصين مختلفين.",IF(OR($D155="",$D155&lt;=0),"أدخل مبلغًا أكبر من صفر.","جاهز"))))</f>
      </c>
    </row>
    <row r="156">
      <c r="A156" s="149"/>
      <c r="B156" s="138"/>
      <c r="C156" s="138"/>
      <c r="D156" s="150"/>
      <c r="E156" s="138"/>
      <c r="F156" s="165" t="str">
        <f>IF(COUNTIF($A156:$E156,"&lt;&gt;")=0,"",IF(OR($B156="",$C156=""),"حدد الشخص الذي دفع المبلغ والشخص الذي استلمه.",IF($B156=$C156,"اختر شخصين مختلفين.",IF(OR($D156="",$D156&lt;=0),"أدخل مبلغًا أكبر من صفر.","جاهز"))))</f>
      </c>
    </row>
    <row r="157">
      <c r="A157" s="149"/>
      <c r="B157" s="138"/>
      <c r="C157" s="138"/>
      <c r="D157" s="150"/>
      <c r="E157" s="138"/>
      <c r="F157" s="165" t="str">
        <f>IF(COUNTIF($A157:$E157,"&lt;&gt;")=0,"",IF(OR($B157="",$C157=""),"حدد الشخص الذي دفع المبلغ والشخص الذي استلمه.",IF($B157=$C157,"اختر شخصين مختلفين.",IF(OR($D157="",$D157&lt;=0),"أدخل مبلغًا أكبر من صفر.","جاهز"))))</f>
      </c>
    </row>
    <row r="158">
      <c r="A158" s="149"/>
      <c r="B158" s="138"/>
      <c r="C158" s="138"/>
      <c r="D158" s="150"/>
      <c r="E158" s="138"/>
      <c r="F158" s="165" t="str">
        <f>IF(COUNTIF($A158:$E158,"&lt;&gt;")=0,"",IF(OR($B158="",$C158=""),"حدد الشخص الذي دفع المبلغ والشخص الذي استلمه.",IF($B158=$C158,"اختر شخصين مختلفين.",IF(OR($D158="",$D158&lt;=0),"أدخل مبلغًا أكبر من صفر.","جاهز"))))</f>
      </c>
    </row>
    <row r="159">
      <c r="A159" s="149"/>
      <c r="B159" s="138"/>
      <c r="C159" s="138"/>
      <c r="D159" s="150"/>
      <c r="E159" s="138"/>
      <c r="F159" s="165" t="str">
        <f>IF(COUNTIF($A159:$E159,"&lt;&gt;")=0,"",IF(OR($B159="",$C159=""),"حدد الشخص الذي دفع المبلغ والشخص الذي استلمه.",IF($B159=$C159,"اختر شخصين مختلفين.",IF(OR($D159="",$D159&lt;=0),"أدخل مبلغًا أكبر من صفر.","جاهز"))))</f>
      </c>
    </row>
    <row r="160">
      <c r="A160" s="149"/>
      <c r="B160" s="138"/>
      <c r="C160" s="138"/>
      <c r="D160" s="150"/>
      <c r="E160" s="138"/>
      <c r="F160" s="165" t="str">
        <f>IF(COUNTIF($A160:$E160,"&lt;&gt;")=0,"",IF(OR($B160="",$C160=""),"حدد الشخص الذي دفع المبلغ والشخص الذي استلمه.",IF($B160=$C160,"اختر شخصين مختلفين.",IF(OR($D160="",$D160&lt;=0),"أدخل مبلغًا أكبر من صفر.","جاهز"))))</f>
      </c>
    </row>
    <row r="161">
      <c r="A161" s="149"/>
      <c r="B161" s="138"/>
      <c r="C161" s="138"/>
      <c r="D161" s="150"/>
      <c r="E161" s="138"/>
      <c r="F161" s="165" t="str">
        <f>IF(COUNTIF($A161:$E161,"&lt;&gt;")=0,"",IF(OR($B161="",$C161=""),"حدد الشخص الذي دفع المبلغ والشخص الذي استلمه.",IF($B161=$C161,"اختر شخصين مختلفين.",IF(OR($D161="",$D161&lt;=0),"أدخل مبلغًا أكبر من صفر.","جاهز"))))</f>
      </c>
    </row>
    <row r="162">
      <c r="A162" s="149"/>
      <c r="B162" s="138"/>
      <c r="C162" s="138"/>
      <c r="D162" s="150"/>
      <c r="E162" s="138"/>
      <c r="F162" s="165" t="str">
        <f>IF(COUNTIF($A162:$E162,"&lt;&gt;")=0,"",IF(OR($B162="",$C162=""),"حدد الشخص الذي دفع المبلغ والشخص الذي استلمه.",IF($B162=$C162,"اختر شخصين مختلفين.",IF(OR($D162="",$D162&lt;=0),"أدخل مبلغًا أكبر من صفر.","جاهز"))))</f>
      </c>
    </row>
    <row r="163">
      <c r="A163" s="149"/>
      <c r="B163" s="138"/>
      <c r="C163" s="138"/>
      <c r="D163" s="150"/>
      <c r="E163" s="138"/>
      <c r="F163" s="165" t="str">
        <f>IF(COUNTIF($A163:$E163,"&lt;&gt;")=0,"",IF(OR($B163="",$C163=""),"حدد الشخص الذي دفع المبلغ والشخص الذي استلمه.",IF($B163=$C163,"اختر شخصين مختلفين.",IF(OR($D163="",$D163&lt;=0),"أدخل مبلغًا أكبر من صفر.","جاهز"))))</f>
      </c>
    </row>
    <row r="164">
      <c r="A164" s="149"/>
      <c r="B164" s="138"/>
      <c r="C164" s="138"/>
      <c r="D164" s="150"/>
      <c r="E164" s="138"/>
      <c r="F164" s="165" t="str">
        <f>IF(COUNTIF($A164:$E164,"&lt;&gt;")=0,"",IF(OR($B164="",$C164=""),"حدد الشخص الذي دفع المبلغ والشخص الذي استلمه.",IF($B164=$C164,"اختر شخصين مختلفين.",IF(OR($D164="",$D164&lt;=0),"أدخل مبلغًا أكبر من صفر.","جاهز"))))</f>
      </c>
    </row>
    <row r="165">
      <c r="A165" s="149"/>
      <c r="B165" s="138"/>
      <c r="C165" s="138"/>
      <c r="D165" s="150"/>
      <c r="E165" s="138"/>
      <c r="F165" s="165" t="str">
        <f>IF(COUNTIF($A165:$E165,"&lt;&gt;")=0,"",IF(OR($B165="",$C165=""),"حدد الشخص الذي دفع المبلغ والشخص الذي استلمه.",IF($B165=$C165,"اختر شخصين مختلفين.",IF(OR($D165="",$D165&lt;=0),"أدخل مبلغًا أكبر من صفر.","جاهز"))))</f>
      </c>
    </row>
    <row r="166">
      <c r="A166" s="149"/>
      <c r="B166" s="138"/>
      <c r="C166" s="138"/>
      <c r="D166" s="150"/>
      <c r="E166" s="138"/>
      <c r="F166" s="165" t="str">
        <f>IF(COUNTIF($A166:$E166,"&lt;&gt;")=0,"",IF(OR($B166="",$C166=""),"حدد الشخص الذي دفع المبلغ والشخص الذي استلمه.",IF($B166=$C166,"اختر شخصين مختلفين.",IF(OR($D166="",$D166&lt;=0),"أدخل مبلغًا أكبر من صفر.","جاهز"))))</f>
      </c>
    </row>
    <row r="167">
      <c r="A167" s="149"/>
      <c r="B167" s="138"/>
      <c r="C167" s="138"/>
      <c r="D167" s="150"/>
      <c r="E167" s="138"/>
      <c r="F167" s="165" t="str">
        <f>IF(COUNTIF($A167:$E167,"&lt;&gt;")=0,"",IF(OR($B167="",$C167=""),"حدد الشخص الذي دفع المبلغ والشخص الذي استلمه.",IF($B167=$C167,"اختر شخصين مختلفين.",IF(OR($D167="",$D167&lt;=0),"أدخل مبلغًا أكبر من صفر.","جاهز"))))</f>
      </c>
    </row>
    <row r="168">
      <c r="A168" s="149"/>
      <c r="B168" s="138"/>
      <c r="C168" s="138"/>
      <c r="D168" s="150"/>
      <c r="E168" s="138"/>
      <c r="F168" s="165" t="str">
        <f>IF(COUNTIF($A168:$E168,"&lt;&gt;")=0,"",IF(OR($B168="",$C168=""),"حدد الشخص الذي دفع المبلغ والشخص الذي استلمه.",IF($B168=$C168,"اختر شخصين مختلفين.",IF(OR($D168="",$D168&lt;=0),"أدخل مبلغًا أكبر من صفر.","جاهز"))))</f>
      </c>
    </row>
    <row r="169">
      <c r="A169" s="149"/>
      <c r="B169" s="138"/>
      <c r="C169" s="138"/>
      <c r="D169" s="150"/>
      <c r="E169" s="138"/>
      <c r="F169" s="165" t="str">
        <f>IF(COUNTIF($A169:$E169,"&lt;&gt;")=0,"",IF(OR($B169="",$C169=""),"حدد الشخص الذي دفع المبلغ والشخص الذي استلمه.",IF($B169=$C169,"اختر شخصين مختلفين.",IF(OR($D169="",$D169&lt;=0),"أدخل مبلغًا أكبر من صفر.","جاهز"))))</f>
      </c>
    </row>
    <row r="170">
      <c r="A170" s="149"/>
      <c r="B170" s="138"/>
      <c r="C170" s="138"/>
      <c r="D170" s="150"/>
      <c r="E170" s="138"/>
      <c r="F170" s="165" t="str">
        <f>IF(COUNTIF($A170:$E170,"&lt;&gt;")=0,"",IF(OR($B170="",$C170=""),"حدد الشخص الذي دفع المبلغ والشخص الذي استلمه.",IF($B170=$C170,"اختر شخصين مختلفين.",IF(OR($D170="",$D170&lt;=0),"أدخل مبلغًا أكبر من صفر.","جاهز"))))</f>
      </c>
    </row>
    <row r="171">
      <c r="A171" s="149"/>
      <c r="B171" s="138"/>
      <c r="C171" s="138"/>
      <c r="D171" s="150"/>
      <c r="E171" s="138"/>
      <c r="F171" s="165" t="str">
        <f>IF(COUNTIF($A171:$E171,"&lt;&gt;")=0,"",IF(OR($B171="",$C171=""),"حدد الشخص الذي دفع المبلغ والشخص الذي استلمه.",IF($B171=$C171,"اختر شخصين مختلفين.",IF(OR($D171="",$D171&lt;=0),"أدخل مبلغًا أكبر من صفر.","جاهز"))))</f>
      </c>
    </row>
    <row r="172">
      <c r="A172" s="149"/>
      <c r="B172" s="138"/>
      <c r="C172" s="138"/>
      <c r="D172" s="150"/>
      <c r="E172" s="138"/>
      <c r="F172" s="165" t="str">
        <f>IF(COUNTIF($A172:$E172,"&lt;&gt;")=0,"",IF(OR($B172="",$C172=""),"حدد الشخص الذي دفع المبلغ والشخص الذي استلمه.",IF($B172=$C172,"اختر شخصين مختلفين.",IF(OR($D172="",$D172&lt;=0),"أدخل مبلغًا أكبر من صفر.","جاهز"))))</f>
      </c>
    </row>
    <row r="173">
      <c r="A173" s="149"/>
      <c r="B173" s="138"/>
      <c r="C173" s="138"/>
      <c r="D173" s="150"/>
      <c r="E173" s="138"/>
      <c r="F173" s="165" t="str">
        <f>IF(COUNTIF($A173:$E173,"&lt;&gt;")=0,"",IF(OR($B173="",$C173=""),"حدد الشخص الذي دفع المبلغ والشخص الذي استلمه.",IF($B173=$C173,"اختر شخصين مختلفين.",IF(OR($D173="",$D173&lt;=0),"أدخل مبلغًا أكبر من صفر.","جاهز"))))</f>
      </c>
    </row>
    <row r="174">
      <c r="A174" s="149"/>
      <c r="B174" s="138"/>
      <c r="C174" s="138"/>
      <c r="D174" s="150"/>
      <c r="E174" s="138"/>
      <c r="F174" s="165" t="str">
        <f>IF(COUNTIF($A174:$E174,"&lt;&gt;")=0,"",IF(OR($B174="",$C174=""),"حدد الشخص الذي دفع المبلغ والشخص الذي استلمه.",IF($B174=$C174,"اختر شخصين مختلفين.",IF(OR($D174="",$D174&lt;=0),"أدخل مبلغًا أكبر من صفر.","جاهز"))))</f>
      </c>
    </row>
    <row r="175">
      <c r="A175" s="149"/>
      <c r="B175" s="138"/>
      <c r="C175" s="138"/>
      <c r="D175" s="150"/>
      <c r="E175" s="138"/>
      <c r="F175" s="165" t="str">
        <f>IF(COUNTIF($A175:$E175,"&lt;&gt;")=0,"",IF(OR($B175="",$C175=""),"حدد الشخص الذي دفع المبلغ والشخص الذي استلمه.",IF($B175=$C175,"اختر شخصين مختلفين.",IF(OR($D175="",$D175&lt;=0),"أدخل مبلغًا أكبر من صفر.","جاهز"))))</f>
      </c>
    </row>
    <row r="176">
      <c r="A176" s="149"/>
      <c r="B176" s="138"/>
      <c r="C176" s="138"/>
      <c r="D176" s="150"/>
      <c r="E176" s="138"/>
      <c r="F176" s="165" t="str">
        <f>IF(COUNTIF($A176:$E176,"&lt;&gt;")=0,"",IF(OR($B176="",$C176=""),"حدد الشخص الذي دفع المبلغ والشخص الذي استلمه.",IF($B176=$C176,"اختر شخصين مختلفين.",IF(OR($D176="",$D176&lt;=0),"أدخل مبلغًا أكبر من صفر.","جاهز"))))</f>
      </c>
    </row>
    <row r="177">
      <c r="A177" s="149"/>
      <c r="B177" s="138"/>
      <c r="C177" s="138"/>
      <c r="D177" s="150"/>
      <c r="E177" s="138"/>
      <c r="F177" s="165" t="str">
        <f>IF(COUNTIF($A177:$E177,"&lt;&gt;")=0,"",IF(OR($B177="",$C177=""),"حدد الشخص الذي دفع المبلغ والشخص الذي استلمه.",IF($B177=$C177,"اختر شخصين مختلفين.",IF(OR($D177="",$D177&lt;=0),"أدخل مبلغًا أكبر من صفر.","جاهز"))))</f>
      </c>
    </row>
    <row r="178">
      <c r="A178" s="149"/>
      <c r="B178" s="138"/>
      <c r="C178" s="138"/>
      <c r="D178" s="150"/>
      <c r="E178" s="138"/>
      <c r="F178" s="165" t="str">
        <f>IF(COUNTIF($A178:$E178,"&lt;&gt;")=0,"",IF(OR($B178="",$C178=""),"حدد الشخص الذي دفع المبلغ والشخص الذي استلمه.",IF($B178=$C178,"اختر شخصين مختلفين.",IF(OR($D178="",$D178&lt;=0),"أدخل مبلغًا أكبر من صفر.","جاهز"))))</f>
      </c>
    </row>
    <row r="179">
      <c r="A179" s="149"/>
      <c r="B179" s="138"/>
      <c r="C179" s="138"/>
      <c r="D179" s="150"/>
      <c r="E179" s="138"/>
      <c r="F179" s="165" t="str">
        <f>IF(COUNTIF($A179:$E179,"&lt;&gt;")=0,"",IF(OR($B179="",$C179=""),"حدد الشخص الذي دفع المبلغ والشخص الذي استلمه.",IF($B179=$C179,"اختر شخصين مختلفين.",IF(OR($D179="",$D179&lt;=0),"أدخل مبلغًا أكبر من صفر.","جاهز"))))</f>
      </c>
    </row>
    <row r="180">
      <c r="A180" s="149"/>
      <c r="B180" s="138"/>
      <c r="C180" s="138"/>
      <c r="D180" s="150"/>
      <c r="E180" s="138"/>
      <c r="F180" s="165" t="str">
        <f>IF(COUNTIF($A180:$E180,"&lt;&gt;")=0,"",IF(OR($B180="",$C180=""),"حدد الشخص الذي دفع المبلغ والشخص الذي استلمه.",IF($B180=$C180,"اختر شخصين مختلفين.",IF(OR($D180="",$D180&lt;=0),"أدخل مبلغًا أكبر من صفر.","جاهز"))))</f>
      </c>
    </row>
    <row r="181">
      <c r="A181" s="149"/>
      <c r="B181" s="138"/>
      <c r="C181" s="138"/>
      <c r="D181" s="150"/>
      <c r="E181" s="138"/>
      <c r="F181" s="165" t="str">
        <f>IF(COUNTIF($A181:$E181,"&lt;&gt;")=0,"",IF(OR($B181="",$C181=""),"حدد الشخص الذي دفع المبلغ والشخص الذي استلمه.",IF($B181=$C181,"اختر شخصين مختلفين.",IF(OR($D181="",$D181&lt;=0),"أدخل مبلغًا أكبر من صفر.","جاهز"))))</f>
      </c>
    </row>
    <row r="182">
      <c r="A182" s="149"/>
      <c r="B182" s="138"/>
      <c r="C182" s="138"/>
      <c r="D182" s="150"/>
      <c r="E182" s="138"/>
      <c r="F182" s="165" t="str">
        <f>IF(COUNTIF($A182:$E182,"&lt;&gt;")=0,"",IF(OR($B182="",$C182=""),"حدد الشخص الذي دفع المبلغ والشخص الذي استلمه.",IF($B182=$C182,"اختر شخصين مختلفين.",IF(OR($D182="",$D182&lt;=0),"أدخل مبلغًا أكبر من صفر.","جاهز"))))</f>
      </c>
    </row>
    <row r="183">
      <c r="A183" s="149"/>
      <c r="B183" s="138"/>
      <c r="C183" s="138"/>
      <c r="D183" s="150"/>
      <c r="E183" s="138"/>
      <c r="F183" s="165" t="str">
        <f>IF(COUNTIF($A183:$E183,"&lt;&gt;")=0,"",IF(OR($B183="",$C183=""),"حدد الشخص الذي دفع المبلغ والشخص الذي استلمه.",IF($B183=$C183,"اختر شخصين مختلفين.",IF(OR($D183="",$D183&lt;=0),"أدخل مبلغًا أكبر من صفر.","جاهز"))))</f>
      </c>
    </row>
    <row r="184">
      <c r="A184" s="149"/>
      <c r="B184" s="138"/>
      <c r="C184" s="138"/>
      <c r="D184" s="150"/>
      <c r="E184" s="138"/>
      <c r="F184" s="165" t="str">
        <f>IF(COUNTIF($A184:$E184,"&lt;&gt;")=0,"",IF(OR($B184="",$C184=""),"حدد الشخص الذي دفع المبلغ والشخص الذي استلمه.",IF($B184=$C184,"اختر شخصين مختلفين.",IF(OR($D184="",$D184&lt;=0),"أدخل مبلغًا أكبر من صفر.","جاهز"))))</f>
      </c>
    </row>
    <row r="185">
      <c r="A185" s="149"/>
      <c r="B185" s="138"/>
      <c r="C185" s="138"/>
      <c r="D185" s="150"/>
      <c r="E185" s="138"/>
      <c r="F185" s="165" t="str">
        <f>IF(COUNTIF($A185:$E185,"&lt;&gt;")=0,"",IF(OR($B185="",$C185=""),"حدد الشخص الذي دفع المبلغ والشخص الذي استلمه.",IF($B185=$C185,"اختر شخصين مختلفين.",IF(OR($D185="",$D185&lt;=0),"أدخل مبلغًا أكبر من صفر.","جاهز"))))</f>
      </c>
    </row>
    <row r="186">
      <c r="A186" s="149"/>
      <c r="B186" s="138"/>
      <c r="C186" s="138"/>
      <c r="D186" s="150"/>
      <c r="E186" s="138"/>
      <c r="F186" s="165" t="str">
        <f>IF(COUNTIF($A186:$E186,"&lt;&gt;")=0,"",IF(OR($B186="",$C186=""),"حدد الشخص الذي دفع المبلغ والشخص الذي استلمه.",IF($B186=$C186,"اختر شخصين مختلفين.",IF(OR($D186="",$D186&lt;=0),"أدخل مبلغًا أكبر من صفر.","جاهز"))))</f>
      </c>
    </row>
    <row r="187">
      <c r="A187" s="149"/>
      <c r="B187" s="138"/>
      <c r="C187" s="138"/>
      <c r="D187" s="150"/>
      <c r="E187" s="138"/>
      <c r="F187" s="165" t="str">
        <f>IF(COUNTIF($A187:$E187,"&lt;&gt;")=0,"",IF(OR($B187="",$C187=""),"حدد الشخص الذي دفع المبلغ والشخص الذي استلمه.",IF($B187=$C187,"اختر شخصين مختلفين.",IF(OR($D187="",$D187&lt;=0),"أدخل مبلغًا أكبر من صفر.","جاهز"))))</f>
      </c>
    </row>
    <row r="188">
      <c r="A188" s="149"/>
      <c r="B188" s="138"/>
      <c r="C188" s="138"/>
      <c r="D188" s="150"/>
      <c r="E188" s="138"/>
      <c r="F188" s="165" t="str">
        <f>IF(COUNTIF($A188:$E188,"&lt;&gt;")=0,"",IF(OR($B188="",$C188=""),"حدد الشخص الذي دفع المبلغ والشخص الذي استلمه.",IF($B188=$C188,"اختر شخصين مختلفين.",IF(OR($D188="",$D188&lt;=0),"أدخل مبلغًا أكبر من صفر.","جاهز"))))</f>
      </c>
    </row>
    <row r="189">
      <c r="A189" s="149"/>
      <c r="B189" s="138"/>
      <c r="C189" s="138"/>
      <c r="D189" s="150"/>
      <c r="E189" s="138"/>
      <c r="F189" s="165" t="str">
        <f>IF(COUNTIF($A189:$E189,"&lt;&gt;")=0,"",IF(OR($B189="",$C189=""),"حدد الشخص الذي دفع المبلغ والشخص الذي استلمه.",IF($B189=$C189,"اختر شخصين مختلفين.",IF(OR($D189="",$D189&lt;=0),"أدخل مبلغًا أكبر من صفر.","جاهز"))))</f>
      </c>
    </row>
    <row r="190">
      <c r="A190" s="149"/>
      <c r="B190" s="138"/>
      <c r="C190" s="138"/>
      <c r="D190" s="150"/>
      <c r="E190" s="138"/>
      <c r="F190" s="165" t="str">
        <f>IF(COUNTIF($A190:$E190,"&lt;&gt;")=0,"",IF(OR($B190="",$C190=""),"حدد الشخص الذي دفع المبلغ والشخص الذي استلمه.",IF($B190=$C190,"اختر شخصين مختلفين.",IF(OR($D190="",$D190&lt;=0),"أدخل مبلغًا أكبر من صفر.","جاهز"))))</f>
      </c>
    </row>
    <row r="191">
      <c r="A191" s="149"/>
      <c r="B191" s="138"/>
      <c r="C191" s="138"/>
      <c r="D191" s="150"/>
      <c r="E191" s="138"/>
      <c r="F191" s="165" t="str">
        <f>IF(COUNTIF($A191:$E191,"&lt;&gt;")=0,"",IF(OR($B191="",$C191=""),"حدد الشخص الذي دفع المبلغ والشخص الذي استلمه.",IF($B191=$C191,"اختر شخصين مختلفين.",IF(OR($D191="",$D191&lt;=0),"أدخل مبلغًا أكبر من صفر.","جاهز"))))</f>
      </c>
    </row>
    <row r="192">
      <c r="A192" s="149"/>
      <c r="B192" s="138"/>
      <c r="C192" s="138"/>
      <c r="D192" s="150"/>
      <c r="E192" s="138"/>
      <c r="F192" s="165" t="str">
        <f>IF(COUNTIF($A192:$E192,"&lt;&gt;")=0,"",IF(OR($B192="",$C192=""),"حدد الشخص الذي دفع المبلغ والشخص الذي استلمه.",IF($B192=$C192,"اختر شخصين مختلفين.",IF(OR($D192="",$D192&lt;=0),"أدخل مبلغًا أكبر من صفر.","جاهز"))))</f>
      </c>
    </row>
    <row r="193">
      <c r="A193" s="149"/>
      <c r="B193" s="138"/>
      <c r="C193" s="138"/>
      <c r="D193" s="150"/>
      <c r="E193" s="138"/>
      <c r="F193" s="165" t="str">
        <f>IF(COUNTIF($A193:$E193,"&lt;&gt;")=0,"",IF(OR($B193="",$C193=""),"حدد الشخص الذي دفع المبلغ والشخص الذي استلمه.",IF($B193=$C193,"اختر شخصين مختلفين.",IF(OR($D193="",$D193&lt;=0),"أدخل مبلغًا أكبر من صفر.","جاهز"))))</f>
      </c>
    </row>
    <row r="194">
      <c r="A194" s="149"/>
      <c r="B194" s="138"/>
      <c r="C194" s="138"/>
      <c r="D194" s="150"/>
      <c r="E194" s="138"/>
      <c r="F194" s="165" t="str">
        <f>IF(COUNTIF($A194:$E194,"&lt;&gt;")=0,"",IF(OR($B194="",$C194=""),"حدد الشخص الذي دفع المبلغ والشخص الذي استلمه.",IF($B194=$C194,"اختر شخصين مختلفين.",IF(OR($D194="",$D194&lt;=0),"أدخل مبلغًا أكبر من صفر.","جاهز"))))</f>
      </c>
    </row>
    <row r="195">
      <c r="A195" s="149"/>
      <c r="B195" s="138"/>
      <c r="C195" s="138"/>
      <c r="D195" s="150"/>
      <c r="E195" s="138"/>
      <c r="F195" s="165" t="str">
        <f>IF(COUNTIF($A195:$E195,"&lt;&gt;")=0,"",IF(OR($B195="",$C195=""),"حدد الشخص الذي دفع المبلغ والشخص الذي استلمه.",IF($B195=$C195,"اختر شخصين مختلفين.",IF(OR($D195="",$D195&lt;=0),"أدخل مبلغًا أكبر من صفر.","جاهز"))))</f>
      </c>
    </row>
    <row r="196">
      <c r="A196" s="149"/>
      <c r="B196" s="138"/>
      <c r="C196" s="138"/>
      <c r="D196" s="150"/>
      <c r="E196" s="138"/>
      <c r="F196" s="165" t="str">
        <f>IF(COUNTIF($A196:$E196,"&lt;&gt;")=0,"",IF(OR($B196="",$C196=""),"حدد الشخص الذي دفع المبلغ والشخص الذي استلمه.",IF($B196=$C196,"اختر شخصين مختلفين.",IF(OR($D196="",$D196&lt;=0),"أدخل مبلغًا أكبر من صفر.","جاهز"))))</f>
      </c>
    </row>
    <row r="197">
      <c r="A197" s="149"/>
      <c r="B197" s="138"/>
      <c r="C197" s="138"/>
      <c r="D197" s="150"/>
      <c r="E197" s="138"/>
      <c r="F197" s="165" t="str">
        <f>IF(COUNTIF($A197:$E197,"&lt;&gt;")=0,"",IF(OR($B197="",$C197=""),"حدد الشخص الذي دفع المبلغ والشخص الذي استلمه.",IF($B197=$C197,"اختر شخصين مختلفين.",IF(OR($D197="",$D197&lt;=0),"أدخل مبلغًا أكبر من صفر.","جاهز"))))</f>
      </c>
    </row>
    <row r="198">
      <c r="A198" s="149"/>
      <c r="B198" s="138"/>
      <c r="C198" s="138"/>
      <c r="D198" s="150"/>
      <c r="E198" s="138"/>
      <c r="F198" s="165" t="str">
        <f>IF(COUNTIF($A198:$E198,"&lt;&gt;")=0,"",IF(OR($B198="",$C198=""),"حدد الشخص الذي دفع المبلغ والشخص الذي استلمه.",IF($B198=$C198,"اختر شخصين مختلفين.",IF(OR($D198="",$D198&lt;=0),"أدخل مبلغًا أكبر من صفر.","جاهز"))))</f>
      </c>
    </row>
    <row r="199">
      <c r="A199" s="149"/>
      <c r="B199" s="138"/>
      <c r="C199" s="138"/>
      <c r="D199" s="150"/>
      <c r="E199" s="138"/>
      <c r="F199" s="165" t="str">
        <f>IF(COUNTIF($A199:$E199,"&lt;&gt;")=0,"",IF(OR($B199="",$C199=""),"حدد الشخص الذي دفع المبلغ والشخص الذي استلمه.",IF($B199=$C199,"اختر شخصين مختلفين.",IF(OR($D199="",$D199&lt;=0),"أدخل مبلغًا أكبر من صفر.","جاهز"))))</f>
      </c>
    </row>
    <row r="200">
      <c r="A200" s="149"/>
      <c r="B200" s="138"/>
      <c r="C200" s="138"/>
      <c r="D200" s="150"/>
      <c r="E200" s="138"/>
      <c r="F200" s="165" t="str">
        <f>IF(COUNTIF($A200:$E200,"&lt;&gt;")=0,"",IF(OR($B200="",$C200=""),"حدد الشخص الذي دفع المبلغ والشخص الذي استلمه.",IF($B200=$C200,"اختر شخصين مختلفين.",IF(OR($D200="",$D200&lt;=0),"أدخل مبلغًا أكبر من صفر.","جاهز"))))</f>
      </c>
    </row>
    <row r="201">
      <c r="A201" s="149"/>
      <c r="B201" s="138"/>
      <c r="C201" s="138"/>
      <c r="D201" s="150"/>
      <c r="E201" s="138"/>
      <c r="F201" s="165" t="str">
        <f>IF(COUNTIF($A201:$E201,"&lt;&gt;")=0,"",IF(OR($B201="",$C201=""),"حدد الشخص الذي دفع المبلغ والشخص الذي استلمه.",IF($B201=$C201,"اختر شخصين مختلفين.",IF(OR($D201="",$D201&lt;=0),"أدخل مبلغًا أكبر من صفر.","جاهز"))))</f>
      </c>
    </row>
    <row r="202">
      <c r="A202" s="149"/>
      <c r="B202" s="138"/>
      <c r="C202" s="138"/>
      <c r="D202" s="150"/>
      <c r="E202" s="138"/>
      <c r="F202" s="165" t="str">
        <f>IF(COUNTIF($A202:$E202,"&lt;&gt;")=0,"",IF(OR($B202="",$C202=""),"حدد الشخص الذي دفع المبلغ والشخص الذي استلمه.",IF($B202=$C202,"اختر شخصين مختلفين.",IF(OR($D202="",$D202&lt;=0),"أدخل مبلغًا أكبر من صفر.","جاهز"))))</f>
      </c>
    </row>
    <row r="203">
      <c r="A203" s="149"/>
      <c r="B203" s="138"/>
      <c r="C203" s="138"/>
      <c r="D203" s="150"/>
      <c r="E203" s="138"/>
      <c r="F203" s="165" t="str">
        <f>IF(COUNTIF($A203:$E203,"&lt;&gt;")=0,"",IF(OR($B203="",$C203=""),"حدد الشخص الذي دفع المبلغ والشخص الذي استلمه.",IF($B203=$C203,"اختر شخصين مختلفين.",IF(OR($D203="",$D203&lt;=0),"أدخل مبلغًا أكبر من صفر.","جاهز"))))</f>
      </c>
    </row>
    <row r="204">
      <c r="A204" s="149"/>
      <c r="B204" s="138"/>
      <c r="C204" s="138"/>
      <c r="D204" s="150"/>
      <c r="E204" s="138"/>
      <c r="F204" s="165" t="str">
        <f>IF(COUNTIF($A204:$E204,"&lt;&gt;")=0,"",IF(OR($B204="",$C204=""),"حدد الشخص الذي دفع المبلغ والشخص الذي استلمه.",IF($B204=$C204,"اختر شخصين مختلفين.",IF(OR($D204="",$D204&lt;=0),"أدخل مبلغًا أكبر من صفر.","جاهز"))))</f>
      </c>
    </row>
  </sheetData>
  <mergeCells>
    <mergeCell ref="A1:F1"/>
    <mergeCell ref="A2:F2"/>
  </mergeCells>
  <conditionalFormatting sqref="F5:F204">
    <cfRule type="containsText" dxfId="4" priority="1" operator="containsText" text="جاهز"/>
    <cfRule type="notContainsText" dxfId="5" priority="2" text="جاهز"/>
  </conditionalFormatting>
  <dataValidations count="2">
    <dataValidation type="list" sqref="B5:C204">
      <formula1>RoommateNames</formula1>
    </dataValidation>
    <dataValidation type="decimal" operator="greaterThan" sqref="D5:D204">
      <formula1>0</formula1>
    </dataValidation>
  </dataValidations>
  <pageMargins left="0.7" right="0.7" top="0.75" bottom="0.75" header="0.3" footer="0.3"/>
  <tableParts count="1">
    <tablePart ns1:id="R78c37600767445c1"/>
  </tableParts>
</worksheet>
</file>

<file path=xl/worksheets/sheet5.xml><?xml version="1.0" encoding="utf-8"?>
<worksheet xmlns="http://schemas.openxmlformats.org/spreadsheetml/2006/main">
  <sheetViews>
    <sheetView showGridLines="0" workbookViewId="0" rightToLeft="1">
      <pane ySplit="4" topLeftCell="A5" activePane="bottomLeft" state="frozen"/>
    </sheetView>
  </sheetViews>
  <sheetFormatPr defaultRowHeight="15"/>
  <cols>
    <col min="1" max="1" width="23" hidden="0" customWidth="1"/>
    <col min="2" max="2" width="20" hidden="0" customWidth="1"/>
    <col min="3" max="3" width="22" hidden="0" customWidth="1"/>
    <col min="4" max="4" width="24" hidden="0" customWidth="1"/>
    <col min="5" max="5" width="20" hidden="0" customWidth="1"/>
    <col min="6" max="6" width="22" hidden="0" customWidth="1"/>
    <col min="7" max="7" width="20" hidden="0" customWidth="1"/>
    <col min="8" max="8" width="28" hidden="0" customWidth="1"/>
    <col min="9" max="9" width="4" hidden="0" customWidth="1"/>
    <col min="10" max="10" width="9" hidden="1" customWidth="1"/>
    <col min="11" max="11" width="20" hidden="1" customWidth="1"/>
    <col min="12" max="12" width="20" hidden="1" customWidth="1"/>
    <col min="13" max="13" width="16" hidden="1" customWidth="1"/>
    <col min="14" max="14" width="15" hidden="1" customWidth="1"/>
    <col min="15" max="15" width="15" hidden="1" customWidth="1"/>
    <col min="16" max="16" width="15" hidden="1" customWidth="1"/>
    <col min="17" max="17" width="15" hidden="1" customWidth="1"/>
    <col min="18" max="18" width="15" hidden="1" customWidth="1"/>
    <col min="19" max="19" width="15" hidden="1" customWidth="1"/>
  </cols>
  <sheetData>
    <row r="1" ht="34" customHeight="1">
      <c r="A1" s="109" t="str">
        <v>ملخص حسابات السكن</v>
      </c>
      <c r="B1" s="109" t="str">
        <v>ملخص حسابات السكن</v>
      </c>
      <c r="C1" s="109" t="str">
        <v>ملخص حسابات السكن</v>
      </c>
      <c r="D1" s="109" t="str">
        <v>ملخص حسابات السكن</v>
      </c>
      <c r="E1" s="109" t="str">
        <v>ملخص حسابات السكن</v>
      </c>
      <c r="F1" s="109" t="str">
        <v>ملخص حسابات السكن</v>
      </c>
      <c r="G1" s="109" t="str">
        <v>ملخص حسابات السكن</v>
      </c>
      <c r="H1" s="109" t="str">
        <v>ملخص حسابات السكن</v>
      </c>
      <c r="I1" s="109" t="str">
        <v>ملخص حسابات السكن</v>
      </c>
      <c r="J1" s="109" t="str">
        <v>ملخص حسابات السكن</v>
      </c>
      <c r="K1" s="109" t="str">
        <v>ملخص حسابات السكن</v>
      </c>
      <c r="L1" s="109" t="str">
        <v>ملخص حسابات السكن</v>
      </c>
      <c r="M1" s="109" t="str">
        <v>ملخص حسابات السكن</v>
      </c>
      <c r="N1" s="109" t="str">
        <v>ملخص حسابات السكن</v>
      </c>
      <c r="O1" s="109" t="str">
        <v>ملخص حسابات السكن</v>
      </c>
      <c r="P1" s="109" t="str">
        <v>ملخص حسابات السكن</v>
      </c>
      <c r="Q1" s="109" t="str">
        <v>ملخص حسابات السكن</v>
      </c>
      <c r="R1" s="109" t="str">
        <v>ملخص حسابات السكن</v>
      </c>
      <c r="S1" s="109" t="str">
        <v>ملخص حسابات السكن</v>
      </c>
    </row>
    <row r="2" ht="30" customHeight="1">
      <c r="A2" s="110" t="str">
        <v>الموجب: مبلغ للاستلام. السالب: مبلغ للدفع. راجعوا جميع التنبيهات قبل تنفيذ أي دفعة مقترحة.</v>
      </c>
      <c r="B2" s="110" t="str">
        <v>الموجب: مبلغ للاستلام. السالب: مبلغ للدفع. راجعوا جميع التنبيهات قبل تنفيذ أي دفعة مقترحة.</v>
      </c>
      <c r="C2" s="110" t="str">
        <v>الموجب: مبلغ للاستلام. السالب: مبلغ للدفع. راجعوا جميع التنبيهات قبل تنفيذ أي دفعة مقترحة.</v>
      </c>
      <c r="D2" s="110" t="str">
        <v>الموجب: مبلغ للاستلام. السالب: مبلغ للدفع. راجعوا جميع التنبيهات قبل تنفيذ أي دفعة مقترحة.</v>
      </c>
      <c r="E2" s="110" t="str">
        <v>الموجب: مبلغ للاستلام. السالب: مبلغ للدفع. راجعوا جميع التنبيهات قبل تنفيذ أي دفعة مقترحة.</v>
      </c>
      <c r="F2" s="110" t="str">
        <v>الموجب: مبلغ للاستلام. السالب: مبلغ للدفع. راجعوا جميع التنبيهات قبل تنفيذ أي دفعة مقترحة.</v>
      </c>
      <c r="G2" s="110" t="str">
        <v>الموجب: مبلغ للاستلام. السالب: مبلغ للدفع. راجعوا جميع التنبيهات قبل تنفيذ أي دفعة مقترحة.</v>
      </c>
      <c r="H2" s="110" t="str">
        <v>الموجب: مبلغ للاستلام. السالب: مبلغ للدفع. راجعوا جميع التنبيهات قبل تنفيذ أي دفعة مقترحة.</v>
      </c>
      <c r="I2" s="110" t="str">
        <v>الموجب: مبلغ للاستلام. السالب: مبلغ للدفع. راجعوا جميع التنبيهات قبل تنفيذ أي دفعة مقترحة.</v>
      </c>
      <c r="J2" s="110" t="str">
        <v>الموجب: مبلغ للاستلام. السالب: مبلغ للدفع. راجعوا جميع التنبيهات قبل تنفيذ أي دفعة مقترحة.</v>
      </c>
      <c r="K2" s="110" t="str">
        <v>الموجب: مبلغ للاستلام. السالب: مبلغ للدفع. راجعوا جميع التنبيهات قبل تنفيذ أي دفعة مقترحة.</v>
      </c>
      <c r="L2" s="110" t="str">
        <v>الموجب: مبلغ للاستلام. السالب: مبلغ للدفع. راجعوا جميع التنبيهات قبل تنفيذ أي دفعة مقترحة.</v>
      </c>
      <c r="M2" s="110" t="str">
        <v>الموجب: مبلغ للاستلام. السالب: مبلغ للدفع. راجعوا جميع التنبيهات قبل تنفيذ أي دفعة مقترحة.</v>
      </c>
      <c r="N2" s="110" t="str">
        <v>الموجب: مبلغ للاستلام. السالب: مبلغ للدفع. راجعوا جميع التنبيهات قبل تنفيذ أي دفعة مقترحة.</v>
      </c>
      <c r="O2" s="110" t="str">
        <v>الموجب: مبلغ للاستلام. السالب: مبلغ للدفع. راجعوا جميع التنبيهات قبل تنفيذ أي دفعة مقترحة.</v>
      </c>
      <c r="P2" s="110" t="str">
        <v>الموجب: مبلغ للاستلام. السالب: مبلغ للدفع. راجعوا جميع التنبيهات قبل تنفيذ أي دفعة مقترحة.</v>
      </c>
      <c r="Q2" s="110" t="str">
        <v>الموجب: مبلغ للاستلام. السالب: مبلغ للدفع. راجعوا جميع التنبيهات قبل تنفيذ أي دفعة مقترحة.</v>
      </c>
      <c r="R2" s="110" t="str">
        <v>الموجب: مبلغ للاستلام. السالب: مبلغ للدفع. راجعوا جميع التنبيهات قبل تنفيذ أي دفعة مقترحة.</v>
      </c>
      <c r="S2" s="110" t="str">
        <v>الموجب: مبلغ للاستلام. السالب: مبلغ للدفع. راجعوا جميع التنبيهات قبل تنفيذ أي دفعة مقترحة.</v>
      </c>
    </row>
    <row r="3">
      <c r="A3" s="111"/>
      <c r="B3" s="111"/>
      <c r="C3" s="111"/>
      <c r="D3" s="111"/>
      <c r="E3" s="111"/>
      <c r="F3" s="111"/>
      <c r="G3" s="111"/>
      <c r="H3" s="111"/>
      <c r="I3" s="111"/>
      <c r="J3" s="111"/>
      <c r="K3" s="111"/>
      <c r="L3" s="111"/>
      <c r="M3" s="111"/>
      <c r="N3" s="111"/>
      <c r="O3" s="111"/>
      <c r="P3" s="111"/>
      <c r="Q3" s="111"/>
      <c r="R3" s="111"/>
      <c r="S3" s="111"/>
    </row>
    <row r="4" ht="34" customHeight="1">
      <c r="A4" s="134" t="str">
        <v>الشخص</v>
      </c>
      <c r="B4" s="134" t="str">
        <v>رصيد البداية</v>
      </c>
      <c r="C4" s="134" t="str">
        <v>المصاريف المدفوعة</v>
      </c>
      <c r="D4" s="134" t="str">
        <v>الحصة من المصاريف</v>
      </c>
      <c r="E4" s="134" t="str">
        <v>دفعات مرسلة</v>
      </c>
      <c r="F4" s="134" t="str">
        <v>دفعات مستلمة</v>
      </c>
      <c r="G4" s="134" t="str">
        <v>الرصيد الحالي</v>
      </c>
      <c r="H4" s="134" t="str">
        <v>الحالة</v>
      </c>
      <c r="I4" s="111"/>
      <c r="J4" s="111"/>
      <c r="K4" s="111"/>
      <c r="L4" s="111"/>
      <c r="M4" s="111"/>
      <c r="N4" s="111"/>
      <c r="O4" s="111"/>
      <c r="P4" s="111"/>
      <c r="Q4" s="111"/>
      <c r="R4" s="111"/>
      <c r="S4" s="111"/>
    </row>
    <row r="5">
      <c r="A5" s="166" t="str">
        <f>IF('الإعداد'!B9="","",'الإعداد'!B9)</f>
      </c>
      <c r="B5" s="146" t="str">
        <f>IF(A5="","",'الإعداد'!C9)</f>
      </c>
      <c r="C5" s="146" t="str">
        <f>IF(A5="","",SUMIFS('المصاريف'!$D$5:$D$204,'المصاريف'!$E$5:$E$204,A5,'المصاريف'!$Z$5:$Z$204,"جاهز"))</f>
      </c>
      <c r="D5" s="146" t="str">
        <f>IF(A5="","",SUM('المصاريف'!$T$5:$T$204))</f>
      </c>
      <c r="E5" s="146" t="str">
        <f>IF(A5="","",SUMIFS('الدفعات'!$D$5:$D$204,'الدفعات'!$B$5:$B$204,A5,'الدفعات'!$F$5:$F$204,"جاهز"))</f>
      </c>
      <c r="F5" s="146" t="str">
        <f>IF(A5="","",SUMIFS('الدفعات'!$D$5:$D$204,'الدفعات'!$C$5:$C$204,A5,'الدفعات'!$F$5:$F$204,"جاهز"))</f>
      </c>
      <c r="G5" s="146" t="str">
        <f>IF(A5="","",B5+C5-D5+E5-F5)</f>
      </c>
      <c r="H5" s="166" t="str">
        <f>IF(A5="","",IF(ABS(G5)&lt;=0.01,"لا مبلغ متبقٍ",IF(G5&gt;0,"للاستلام: "&amp;ROUND(G5,2),"للدفع: "&amp;ROUND(-G5,2))))</f>
      </c>
      <c r="I5" s="111"/>
      <c r="J5" s="111"/>
      <c r="K5" s="111"/>
      <c r="L5" s="111"/>
      <c r="M5" s="111"/>
      <c r="N5" s="111"/>
      <c r="O5" s="111"/>
      <c r="P5" s="111"/>
      <c r="Q5" s="111"/>
      <c r="R5" s="111"/>
      <c r="S5" s="111"/>
    </row>
    <row r="6">
      <c r="A6" s="167" t="str">
        <f>IF('الإعداد'!B10="","",'الإعداد'!B10)</f>
      </c>
      <c r="B6" s="150" t="str">
        <f>IF(A6="","",'الإعداد'!C10)</f>
      </c>
      <c r="C6" s="150" t="str">
        <f>IF(A6="","",SUMIFS('المصاريف'!$D$5:$D$204,'المصاريف'!$E$5:$E$204,A6,'المصاريف'!$Z$5:$Z$204,"جاهز"))</f>
      </c>
      <c r="D6" s="150" t="str">
        <f>IF(A6="","",SUM('المصاريف'!$U$5:$U$204))</f>
      </c>
      <c r="E6" s="150" t="str">
        <f>IF(A6="","",SUMIFS('الدفعات'!$D$5:$D$204,'الدفعات'!$B$5:$B$204,A6,'الدفعات'!$F$5:$F$204,"جاهز"))</f>
      </c>
      <c r="F6" s="150" t="str">
        <f>IF(A6="","",SUMIFS('الدفعات'!$D$5:$D$204,'الدفعات'!$C$5:$C$204,A6,'الدفعات'!$F$5:$F$204,"جاهز"))</f>
      </c>
      <c r="G6" s="150" t="str">
        <f>IF(A6="","",B6+C6-D6+E6-F6)</f>
      </c>
      <c r="H6" s="167" t="str">
        <f>IF(A6="","",IF(ABS(G6)&lt;=0.01,"لا مبلغ متبقٍ",IF(G6&gt;0,"للاستلام: "&amp;ROUND(G6,2),"للدفع: "&amp;ROUND(-G6,2))))</f>
      </c>
      <c r="I6" s="111"/>
      <c r="J6" s="111"/>
      <c r="K6" s="111"/>
      <c r="L6" s="111"/>
      <c r="M6" s="111"/>
      <c r="N6" s="111"/>
      <c r="O6" s="111"/>
      <c r="P6" s="111"/>
      <c r="Q6" s="111"/>
      <c r="R6" s="111"/>
      <c r="S6" s="111"/>
    </row>
    <row r="7">
      <c r="A7" s="167" t="str">
        <f>IF('الإعداد'!B11="","",'الإعداد'!B11)</f>
      </c>
      <c r="B7" s="150" t="str">
        <f>IF(A7="","",'الإعداد'!C11)</f>
      </c>
      <c r="C7" s="150" t="str">
        <f>IF(A7="","",SUMIFS('المصاريف'!$D$5:$D$204,'المصاريف'!$E$5:$E$204,A7,'المصاريف'!$Z$5:$Z$204,"جاهز"))</f>
      </c>
      <c r="D7" s="150" t="str">
        <f>IF(A7="","",SUM('المصاريف'!$V$5:$V$204))</f>
      </c>
      <c r="E7" s="150" t="str">
        <f>IF(A7="","",SUMIFS('الدفعات'!$D$5:$D$204,'الدفعات'!$B$5:$B$204,A7,'الدفعات'!$F$5:$F$204,"جاهز"))</f>
      </c>
      <c r="F7" s="150" t="str">
        <f>IF(A7="","",SUMIFS('الدفعات'!$D$5:$D$204,'الدفعات'!$C$5:$C$204,A7,'الدفعات'!$F$5:$F$204,"جاهز"))</f>
      </c>
      <c r="G7" s="150" t="str">
        <f>IF(A7="","",B7+C7-D7+E7-F7)</f>
      </c>
      <c r="H7" s="167" t="str">
        <f>IF(A7="","",IF(ABS(G7)&lt;=0.01,"لا مبلغ متبقٍ",IF(G7&gt;0,"للاستلام: "&amp;ROUND(G7,2),"للدفع: "&amp;ROUND(-G7,2))))</f>
      </c>
      <c r="I7" s="111"/>
      <c r="J7" s="111"/>
      <c r="K7" s="111"/>
      <c r="L7" s="111"/>
      <c r="M7" s="111"/>
      <c r="N7" s="111"/>
      <c r="O7" s="111"/>
      <c r="P7" s="111"/>
      <c r="Q7" s="111"/>
      <c r="R7" s="111"/>
      <c r="S7" s="111"/>
    </row>
    <row r="8">
      <c r="A8" s="167" t="str">
        <f>IF('الإعداد'!B12="","",'الإعداد'!B12)</f>
      </c>
      <c r="B8" s="150" t="str">
        <f>IF(A8="","",'الإعداد'!C12)</f>
      </c>
      <c r="C8" s="150" t="str">
        <f>IF(A8="","",SUMIFS('المصاريف'!$D$5:$D$204,'المصاريف'!$E$5:$E$204,A8,'المصاريف'!$Z$5:$Z$204,"جاهز"))</f>
      </c>
      <c r="D8" s="150" t="str">
        <f>IF(A8="","",SUM('المصاريف'!$W$5:$W$204))</f>
      </c>
      <c r="E8" s="150" t="str">
        <f>IF(A8="","",SUMIFS('الدفعات'!$D$5:$D$204,'الدفعات'!$B$5:$B$204,A8,'الدفعات'!$F$5:$F$204,"جاهز"))</f>
      </c>
      <c r="F8" s="150" t="str">
        <f>IF(A8="","",SUMIFS('الدفعات'!$D$5:$D$204,'الدفعات'!$C$5:$C$204,A8,'الدفعات'!$F$5:$F$204,"جاهز"))</f>
      </c>
      <c r="G8" s="150" t="str">
        <f>IF(A8="","",B8+C8-D8+E8-F8)</f>
      </c>
      <c r="H8" s="167" t="str">
        <f>IF(A8="","",IF(ABS(G8)&lt;=0.01,"لا مبلغ متبقٍ",IF(G8&gt;0,"للاستلام: "&amp;ROUND(G8,2),"للدفع: "&amp;ROUND(-G8,2))))</f>
      </c>
      <c r="I8" s="111"/>
      <c r="J8" s="111"/>
      <c r="K8" s="111"/>
      <c r="L8" s="111"/>
      <c r="M8" s="111"/>
      <c r="N8" s="111"/>
      <c r="O8" s="111"/>
      <c r="P8" s="111"/>
      <c r="Q8" s="111"/>
      <c r="R8" s="111"/>
      <c r="S8" s="111"/>
    </row>
    <row r="9">
      <c r="A9" s="167" t="str">
        <f>IF('الإعداد'!B13="","",'الإعداد'!B13)</f>
      </c>
      <c r="B9" s="150" t="str">
        <f>IF(A9="","",'الإعداد'!C13)</f>
      </c>
      <c r="C9" s="150" t="str">
        <f>IF(A9="","",SUMIFS('المصاريف'!$D$5:$D$204,'المصاريف'!$E$5:$E$204,A9,'المصاريف'!$Z$5:$Z$204,"جاهز"))</f>
      </c>
      <c r="D9" s="150" t="str">
        <f>IF(A9="","",SUM('المصاريف'!$X$5:$X$204))</f>
      </c>
      <c r="E9" s="150" t="str">
        <f>IF(A9="","",SUMIFS('الدفعات'!$D$5:$D$204,'الدفعات'!$B$5:$B$204,A9,'الدفعات'!$F$5:$F$204,"جاهز"))</f>
      </c>
      <c r="F9" s="150" t="str">
        <f>IF(A9="","",SUMIFS('الدفعات'!$D$5:$D$204,'الدفعات'!$C$5:$C$204,A9,'الدفعات'!$F$5:$F$204,"جاهز"))</f>
      </c>
      <c r="G9" s="150" t="str">
        <f>IF(A9="","",B9+C9-D9+E9-F9)</f>
      </c>
      <c r="H9" s="167" t="str">
        <f>IF(A9="","",IF(ABS(G9)&lt;=0.01,"لا مبلغ متبقٍ",IF(G9&gt;0,"للاستلام: "&amp;ROUND(G9,2),"للدفع: "&amp;ROUND(-G9,2))))</f>
      </c>
      <c r="I9" s="111"/>
      <c r="J9" s="111"/>
      <c r="K9" s="111"/>
      <c r="L9" s="111"/>
      <c r="M9" s="111"/>
      <c r="N9" s="111"/>
      <c r="O9" s="111"/>
      <c r="P9" s="111"/>
      <c r="Q9" s="111"/>
      <c r="R9" s="111"/>
      <c r="S9" s="111"/>
    </row>
    <row r="10">
      <c r="A10" s="167" t="str">
        <f>IF('الإعداد'!B14="","",'الإعداد'!B14)</f>
      </c>
      <c r="B10" s="150" t="str">
        <f>IF(A10="","",'الإعداد'!C14)</f>
      </c>
      <c r="C10" s="150" t="str">
        <f>IF(A10="","",SUMIFS('المصاريف'!$D$5:$D$204,'المصاريف'!$E$5:$E$204,A10,'المصاريف'!$Z$5:$Z$204,"جاهز"))</f>
      </c>
      <c r="D10" s="150" t="str">
        <f>IF(A10="","",SUM('المصاريف'!$Y$5:$Y$204))</f>
      </c>
      <c r="E10" s="150" t="str">
        <f>IF(A10="","",SUMIFS('الدفعات'!$D$5:$D$204,'الدفعات'!$B$5:$B$204,A10,'الدفعات'!$F$5:$F$204,"جاهز"))</f>
      </c>
      <c r="F10" s="150" t="str">
        <f>IF(A10="","",SUMIFS('الدفعات'!$D$5:$D$204,'الدفعات'!$C$5:$C$204,A10,'الدفعات'!$F$5:$F$204,"جاهز"))</f>
      </c>
      <c r="G10" s="150" t="str">
        <f>IF(A10="","",B10+C10-D10+E10-F10)</f>
      </c>
      <c r="H10" s="167" t="str">
        <f>IF(A10="","",IF(ABS(G10)&lt;=0.01,"لا مبلغ متبقٍ",IF(G10&gt;0,"للاستلام: "&amp;ROUND(G10,2),"للدفع: "&amp;ROUND(-G10,2))))</f>
      </c>
      <c r="I10" s="111"/>
      <c r="J10" s="111"/>
      <c r="K10" s="111"/>
      <c r="L10" s="111"/>
      <c r="M10" s="111"/>
      <c r="N10" s="111"/>
      <c r="O10" s="111"/>
      <c r="P10" s="111"/>
      <c r="Q10" s="111"/>
      <c r="R10" s="111"/>
      <c r="S10" s="111"/>
    </row>
    <row r="11">
      <c r="A11" s="111"/>
      <c r="B11" s="111"/>
      <c r="C11" s="111"/>
      <c r="D11" s="111"/>
      <c r="E11" s="111"/>
      <c r="F11" s="111"/>
      <c r="G11" s="111"/>
      <c r="H11" s="111"/>
      <c r="I11" s="111"/>
      <c r="J11" s="111"/>
      <c r="K11" s="111"/>
      <c r="L11" s="111"/>
      <c r="M11" s="111"/>
      <c r="N11" s="111"/>
      <c r="O11" s="111"/>
      <c r="P11" s="111"/>
      <c r="Q11" s="111"/>
      <c r="R11" s="111"/>
      <c r="S11" s="111"/>
    </row>
    <row r="12">
      <c r="A12" s="112" t="str">
        <v>المجاميع ومراجعة السجل</v>
      </c>
      <c r="B12" s="112" t="str">
        <v>المجاميع ومراجعة السجل</v>
      </c>
      <c r="C12" s="112" t="str">
        <v>المجاميع ومراجعة السجل</v>
      </c>
      <c r="D12" s="112" t="str">
        <v>المجاميع ومراجعة السجل</v>
      </c>
      <c r="E12" s="112" t="str">
        <v>المجاميع ومراجعة السجل</v>
      </c>
      <c r="F12" s="112" t="str">
        <v>المجاميع ومراجعة السجل</v>
      </c>
      <c r="G12" s="112" t="str">
        <v>المجاميع ومراجعة السجل</v>
      </c>
      <c r="H12" s="112" t="str">
        <v>المجاميع ومراجعة السجل</v>
      </c>
      <c r="I12" s="111"/>
      <c r="J12" s="111"/>
      <c r="K12" s="111"/>
      <c r="L12" s="111"/>
      <c r="M12" s="111"/>
      <c r="N12" s="111"/>
      <c r="O12" s="111"/>
      <c r="P12" s="111"/>
      <c r="Q12" s="111"/>
      <c r="R12" s="111"/>
      <c r="S12" s="111"/>
    </row>
    <row r="13">
      <c r="A13" s="153" t="str">
        <v>إجمالي المصاريف</v>
      </c>
      <c r="B13" s="154" t="n">
        <f>SUMIF('المصاريف'!$Z$5:$Z$204,"جاهز",'المصاريف'!$D$5:$D$204)</f>
        <v>0</v>
      </c>
      <c r="C13" s="111"/>
      <c r="D13" s="111"/>
      <c r="E13" s="111"/>
      <c r="F13" s="111"/>
      <c r="G13" s="111"/>
      <c r="H13" s="111"/>
      <c r="I13" s="111"/>
      <c r="J13" s="111"/>
      <c r="K13" s="111"/>
      <c r="L13" s="111"/>
      <c r="M13" s="111"/>
      <c r="N13" s="111"/>
      <c r="O13" s="111"/>
      <c r="P13" s="111"/>
      <c r="Q13" s="111"/>
      <c r="R13" s="111"/>
      <c r="S13" s="111"/>
    </row>
    <row r="14">
      <c r="A14" s="153" t="str">
        <v>إجمالي الحصص</v>
      </c>
      <c r="B14" s="154" t="n">
        <f>SUM(D5:D10)</f>
        <v>0</v>
      </c>
      <c r="C14" s="111"/>
      <c r="D14" s="111"/>
      <c r="E14" s="111"/>
      <c r="F14" s="111"/>
      <c r="G14" s="111"/>
      <c r="H14" s="111"/>
      <c r="I14" s="111"/>
      <c r="J14" s="111"/>
      <c r="K14" s="111"/>
      <c r="L14" s="111"/>
      <c r="M14" s="111"/>
      <c r="N14" s="111"/>
      <c r="O14" s="111"/>
      <c r="P14" s="111"/>
      <c r="Q14" s="111"/>
      <c r="R14" s="111"/>
      <c r="S14" s="111"/>
    </row>
    <row r="15">
      <c r="A15" s="153" t="str">
        <v>إجمالي الدفعات</v>
      </c>
      <c r="B15" s="154" t="n">
        <f>SUMIF('الدفعات'!$F$5:$F$204,"جاهز",'الدفعات'!$D$5:$D$204)</f>
        <v>0</v>
      </c>
      <c r="C15" s="111"/>
      <c r="D15" s="111"/>
      <c r="E15" s="111"/>
      <c r="F15" s="111"/>
      <c r="G15" s="111"/>
      <c r="H15" s="111"/>
      <c r="I15" s="111"/>
      <c r="J15" s="111"/>
      <c r="K15" s="111"/>
      <c r="L15" s="111"/>
      <c r="M15" s="111"/>
      <c r="N15" s="111"/>
      <c r="O15" s="111"/>
      <c r="P15" s="111"/>
      <c r="Q15" s="111"/>
      <c r="R15" s="111"/>
      <c r="S15" s="111"/>
    </row>
    <row r="16">
      <c r="A16" s="153" t="str">
        <v>مجموع الأرصدة</v>
      </c>
      <c r="B16" s="154" t="n">
        <f>SUM(G5:G10)</f>
        <v>0</v>
      </c>
      <c r="C16" s="111"/>
      <c r="D16" s="111"/>
      <c r="E16" s="111"/>
      <c r="F16" s="111"/>
      <c r="G16" s="111"/>
      <c r="H16" s="111"/>
      <c r="I16" s="111"/>
      <c r="J16" s="111"/>
      <c r="K16" s="111"/>
      <c r="L16" s="111"/>
      <c r="M16" s="111"/>
      <c r="N16" s="111"/>
      <c r="O16" s="111"/>
      <c r="P16" s="111"/>
      <c r="Q16" s="111"/>
      <c r="R16" s="111"/>
      <c r="S16" s="111"/>
    </row>
    <row r="17">
      <c r="A17" s="153" t="str">
        <v>مراجعة السجل</v>
      </c>
      <c r="B17" s="168" t="str">
        <f>IF('الإعداد'!A17&lt;&gt;"جاهز: مجموع أرصدة البداية يساوي صفرًا.","عالجوا التنبيهات في أوراق الإعداد والمصاريف والدفعات قبل تسوية المبالغ.",IF(COUNTIFS('المصاريف'!$Z$5:$Z$204,"&lt;&gt;",'المصاريف'!$Z$5:$Z$204,"&lt;&gt;جاهز")+COUNTIFS('الدفعات'!$F$5:$F$204,"&lt;&gt;",'الدفعات'!$F$5:$F$204,"&lt;&gt;جاهز")&gt;0,"عالجوا التنبيهات في أوراق الإعداد والمصاريف والدفعات قبل تسوية المبالغ.",IF(ABS(B16)&gt;0.01,"مجموع الأرصدة الحالية لا يساوي صفرًا. راجع أرصدة البداية وحصص المصاريف.","جاهز: مجموع الأرصدة الحالية يساوي صفرًا.")))</f>
        <v>عالجوا التنبيهات في أوراق الإعداد والمصاريف والدفعات قبل تسوية المبالغ.</v>
      </c>
      <c r="C17" s="142"/>
      <c r="D17" s="142"/>
      <c r="E17" s="142"/>
      <c r="F17" s="142"/>
      <c r="G17" s="142"/>
      <c r="H17" s="142"/>
      <c r="I17" s="111"/>
      <c r="J17" s="111"/>
      <c r="K17" s="111"/>
      <c r="L17" s="111"/>
      <c r="M17" s="111"/>
      <c r="N17" s="111"/>
      <c r="O17" s="111"/>
      <c r="P17" s="111"/>
      <c r="Q17" s="111"/>
      <c r="R17" s="111"/>
      <c r="S17" s="111"/>
    </row>
    <row r="18">
      <c r="A18" s="111"/>
      <c r="B18" s="142"/>
      <c r="C18" s="142"/>
      <c r="D18" s="142"/>
      <c r="E18" s="142"/>
      <c r="F18" s="142"/>
      <c r="G18" s="142"/>
      <c r="H18" s="142"/>
      <c r="I18" s="111"/>
      <c r="J18" s="111"/>
      <c r="K18" s="111"/>
      <c r="L18" s="111"/>
      <c r="M18" s="111"/>
      <c r="N18" s="111"/>
      <c r="O18" s="111"/>
      <c r="P18" s="111"/>
      <c r="Q18" s="111"/>
      <c r="R18" s="111"/>
      <c r="S18" s="111"/>
    </row>
    <row r="19">
      <c r="A19" s="111"/>
      <c r="B19" s="111"/>
      <c r="C19" s="111"/>
      <c r="D19" s="111"/>
      <c r="E19" s="111"/>
      <c r="F19" s="111"/>
      <c r="G19" s="111"/>
      <c r="H19" s="111"/>
      <c r="I19" s="111"/>
      <c r="J19" s="111"/>
      <c r="K19" s="111"/>
      <c r="L19" s="111"/>
      <c r="M19" s="111"/>
      <c r="N19" s="111"/>
      <c r="O19" s="111"/>
      <c r="P19" s="111"/>
      <c r="Q19" s="111"/>
      <c r="R19" s="111"/>
      <c r="S19" s="111"/>
    </row>
    <row r="20" ht="34" customHeight="1">
      <c r="A20" s="112" t="str">
        <v>دفعات مقترحة للتسوية</v>
      </c>
      <c r="B20" s="112" t="str">
        <v>دفعات مقترحة للتسوية</v>
      </c>
      <c r="C20" s="112" t="str">
        <v>دفعات مقترحة للتسوية</v>
      </c>
      <c r="D20" s="112" t="str">
        <v>دفعات مقترحة للتسوية</v>
      </c>
      <c r="E20" s="112" t="str">
        <v>دفعات مقترحة للتسوية</v>
      </c>
      <c r="F20" s="112" t="str">
        <v>دفعات مقترحة للتسوية</v>
      </c>
      <c r="G20" s="112" t="str">
        <v>دفعات مقترحة للتسوية</v>
      </c>
      <c r="H20" s="112" t="str">
        <v>دفعات مقترحة للتسوية</v>
      </c>
      <c r="I20" s="111"/>
      <c r="J20" s="134" t="str">
        <v>الخطوة</v>
      </c>
      <c r="K20" s="134" t="str">
        <v>مِن</v>
      </c>
      <c r="L20" s="134" t="str">
        <v>إلى</v>
      </c>
      <c r="M20" s="134" t="str">
        <v>المبلغ</v>
      </c>
      <c r="N20" s="134" t="str">
        <v>رصيد 1</v>
      </c>
      <c r="O20" s="134" t="str">
        <v>رصيد 2</v>
      </c>
      <c r="P20" s="134" t="str">
        <v>رصيد 3</v>
      </c>
      <c r="Q20" s="134" t="str">
        <v>رصيد 4</v>
      </c>
      <c r="R20" s="134" t="str">
        <v>رصيد 5</v>
      </c>
      <c r="S20" s="134" t="str">
        <v>رصيد 6</v>
      </c>
    </row>
    <row r="21">
      <c r="A21" s="143" t="str">
        <v>هذه الدفعات تسوّي المبالغ المتبقية في السجل. راجعوا التفاصيل التي بُنيت عليها الحسابات قبل إرسال المال.</v>
      </c>
      <c r="B21" s="143" t="str">
        <v>هذه الدفعات تسوّي المبالغ المتبقية في السجل. راجعوا التفاصيل التي بُنيت عليها الحسابات قبل إرسال المال.</v>
      </c>
      <c r="C21" s="143" t="str">
        <v>هذه الدفعات تسوّي المبالغ المتبقية في السجل. راجعوا التفاصيل التي بُنيت عليها الحسابات قبل إرسال المال.</v>
      </c>
      <c r="D21" s="143" t="str">
        <v>هذه الدفعات تسوّي المبالغ المتبقية في السجل. راجعوا التفاصيل التي بُنيت عليها الحسابات قبل إرسال المال.</v>
      </c>
      <c r="E21" s="143" t="str">
        <v>هذه الدفعات تسوّي المبالغ المتبقية في السجل. راجعوا التفاصيل التي بُنيت عليها الحسابات قبل إرسال المال.</v>
      </c>
      <c r="F21" s="143" t="str">
        <v>هذه الدفعات تسوّي المبالغ المتبقية في السجل. راجعوا التفاصيل التي بُنيت عليها الحسابات قبل إرسال المال.</v>
      </c>
      <c r="G21" s="143" t="str">
        <v>هذه الدفعات تسوّي المبالغ المتبقية في السجل. راجعوا التفاصيل التي بُنيت عليها الحسابات قبل إرسال المال.</v>
      </c>
      <c r="H21" s="143" t="str">
        <v>هذه الدفعات تسوّي المبالغ المتبقية في السجل. راجعوا التفاصيل التي بُنيت عليها الحسابات قبل إرسال المال.</v>
      </c>
      <c r="I21" s="111"/>
      <c r="J21" s="135" t="n">
        <v>0</v>
      </c>
      <c r="K21" s="135"/>
      <c r="L21" s="135"/>
      <c r="M21" s="146"/>
      <c r="N21" s="146" t="str">
        <f>IF($B$17="جاهز: مجموع الأرصدة الحالية يساوي صفرًا.",$G5,"")</f>
      </c>
      <c r="O21" s="146" t="str">
        <f>IF($B$17="جاهز: مجموع الأرصدة الحالية يساوي صفرًا.",$G6,"")</f>
      </c>
      <c r="P21" s="146" t="str">
        <f>IF($B$17="جاهز: مجموع الأرصدة الحالية يساوي صفرًا.",$G7,"")</f>
      </c>
      <c r="Q21" s="146" t="str">
        <f>IF($B$17="جاهز: مجموع الأرصدة الحالية يساوي صفرًا.",$G8,"")</f>
      </c>
      <c r="R21" s="146" t="str">
        <f>IF($B$17="جاهز: مجموع الأرصدة الحالية يساوي صفرًا.",$G9,"")</f>
      </c>
      <c r="S21" s="146" t="str">
        <f>IF($B$17="جاهز: مجموع الأرصدة الحالية يساوي صفرًا.",$G10,"")</f>
      </c>
    </row>
    <row r="22" ht="34" customHeight="1">
      <c r="A22" s="134" t="str">
        <v>مِن</v>
      </c>
      <c r="B22" s="134" t="str">
        <v>إلى</v>
      </c>
      <c r="C22" s="134" t="str">
        <v>المبلغ</v>
      </c>
      <c r="D22" s="111"/>
      <c r="E22" s="111"/>
      <c r="F22" s="111"/>
      <c r="G22" s="111"/>
      <c r="H22" s="111"/>
      <c r="I22" s="111"/>
      <c r="J22" s="138" t="n">
        <v>1</v>
      </c>
      <c r="K22" s="167" t="str">
        <f>IF($B$17&lt;&gt;"جاهز: مجموع الأرصدة الحالية يساوي صفرًا.","",IF(N21&lt;-0.01,$A5,IF(O21&lt;-0.01,$A6,IF(P21&lt;-0.01,$A7,IF(Q21&lt;-0.01,$A8,IF(R21&lt;-0.01,$A9,IF(S21&lt;-0.01,$A10,"")))))))</f>
      </c>
      <c r="L22" s="167" t="str">
        <f>IF($B$17&lt;&gt;"جاهز: مجموع الأرصدة الحالية يساوي صفرًا.","",IF(N21&gt;0.01,$A5,IF(O21&gt;0.01,$A6,IF(P21&gt;0.01,$A7,IF(Q21&gt;0.01,$A8,IF(R21&gt;0.01,$A9,IF(S21&gt;0.01,$A10,"")))))))</f>
      </c>
      <c r="M22" s="150" t="str">
        <f>IF(OR(K22="",L22=""),"",MIN(IF($K22=$A5,-N21,IF($K22=$A6,-O21,IF($K22=$A7,-P21,IF($K22=$A8,-Q21,IF($K22=$A9,-R21,IF($K22=$A10,-S21,0)))))),IF($L22=$A5,N21,IF($L22=$A6,O21,IF($L22=$A7,P21,IF($L22=$A8,Q21,IF($L22=$A9,R21,IF($L22=$A10,S21,0))))))))</f>
      </c>
      <c r="N22" s="150" t="str">
        <f>IF(N21="","",N21+IF($A5=$K22,$M22,0)-IF($A5=$L22,$M22,0))</f>
      </c>
      <c r="O22" s="150" t="str">
        <f>IF(O21="","",O21+IF($A6=$K22,$M22,0)-IF($A6=$L22,$M22,0))</f>
      </c>
      <c r="P22" s="150" t="str">
        <f>IF(P21="","",P21+IF($A7=$K22,$M22,0)-IF($A7=$L22,$M22,0))</f>
      </c>
      <c r="Q22" s="150" t="str">
        <f>IF(Q21="","",Q21+IF($A8=$K22,$M22,0)-IF($A8=$L22,$M22,0))</f>
      </c>
      <c r="R22" s="150" t="str">
        <f>IF(R21="","",R21+IF($A9=$K22,$M22,0)-IF($A9=$L22,$M22,0))</f>
      </c>
      <c r="S22" s="150" t="str">
        <f>IF(S21="","",S21+IF($A10=$K22,$M22,0)-IF($A10=$L22,$M22,0))</f>
      </c>
    </row>
    <row r="23">
      <c r="A23" s="166" t="str">
        <f>IF($B$17&lt;&gt;"جاهز: مجموع الأرصدة الحالية يساوي صفرًا.","",K22)</f>
      </c>
      <c r="B23" s="166" t="str">
        <f>IF($B$17&lt;&gt;"جاهز: مجموع الأرصدة الحالية يساوي صفرًا.","",L22)</f>
      </c>
      <c r="C23" s="146" t="str">
        <f>IF($B$17&lt;&gt;"جاهز: مجموع الأرصدة الحالية يساوي صفرًا.","",M22)</f>
      </c>
      <c r="D23" s="111"/>
      <c r="E23" s="111"/>
      <c r="F23" s="111"/>
      <c r="G23" s="111"/>
      <c r="H23" s="111"/>
      <c r="I23" s="111"/>
      <c r="J23" s="138" t="n">
        <v>2</v>
      </c>
      <c r="K23" s="167" t="str">
        <f>IF($B$17&lt;&gt;"جاهز: مجموع الأرصدة الحالية يساوي صفرًا.","",IF(N22&lt;-0.01,$A5,IF(O22&lt;-0.01,$A6,IF(P22&lt;-0.01,$A7,IF(Q22&lt;-0.01,$A8,IF(R22&lt;-0.01,$A9,IF(S22&lt;-0.01,$A10,"")))))))</f>
      </c>
      <c r="L23" s="167" t="str">
        <f>IF($B$17&lt;&gt;"جاهز: مجموع الأرصدة الحالية يساوي صفرًا.","",IF(N22&gt;0.01,$A5,IF(O22&gt;0.01,$A6,IF(P22&gt;0.01,$A7,IF(Q22&gt;0.01,$A8,IF(R22&gt;0.01,$A9,IF(S22&gt;0.01,$A10,"")))))))</f>
      </c>
      <c r="M23" s="150" t="str">
        <f>IF(OR(K23="",L23=""),"",MIN(IF($K23=$A5,-N22,IF($K23=$A6,-O22,IF($K23=$A7,-P22,IF($K23=$A8,-Q22,IF($K23=$A9,-R22,IF($K23=$A10,-S22,0)))))),IF($L23=$A5,N22,IF($L23=$A6,O22,IF($L23=$A7,P22,IF($L23=$A8,Q22,IF($L23=$A9,R22,IF($L23=$A10,S22,0))))))))</f>
      </c>
      <c r="N23" s="150" t="str">
        <f>IF(N22="","",N22+IF($A5=$K23,$M23,0)-IF($A5=$L23,$M23,0))</f>
      </c>
      <c r="O23" s="150" t="str">
        <f>IF(O22="","",O22+IF($A6=$K23,$M23,0)-IF($A6=$L23,$M23,0))</f>
      </c>
      <c r="P23" s="150" t="str">
        <f>IF(P22="","",P22+IF($A7=$K23,$M23,0)-IF($A7=$L23,$M23,0))</f>
      </c>
      <c r="Q23" s="150" t="str">
        <f>IF(Q22="","",Q22+IF($A8=$K23,$M23,0)-IF($A8=$L23,$M23,0))</f>
      </c>
      <c r="R23" s="150" t="str">
        <f>IF(R22="","",R22+IF($A9=$K23,$M23,0)-IF($A9=$L23,$M23,0))</f>
      </c>
      <c r="S23" s="150" t="str">
        <f>IF(S22="","",S22+IF($A10=$K23,$M23,0)-IF($A10=$L23,$M23,0))</f>
      </c>
    </row>
    <row r="24">
      <c r="A24" s="167" t="str">
        <f>IF($B$17&lt;&gt;"جاهز: مجموع الأرصدة الحالية يساوي صفرًا.","",K23)</f>
      </c>
      <c r="B24" s="167" t="str">
        <f>IF($B$17&lt;&gt;"جاهز: مجموع الأرصدة الحالية يساوي صفرًا.","",L23)</f>
      </c>
      <c r="C24" s="150" t="str">
        <f>IF($B$17&lt;&gt;"جاهز: مجموع الأرصدة الحالية يساوي صفرًا.","",M23)</f>
      </c>
      <c r="D24" s="111"/>
      <c r="E24" s="111"/>
      <c r="F24" s="111"/>
      <c r="G24" s="111"/>
      <c r="H24" s="111"/>
      <c r="I24" s="111"/>
      <c r="J24" s="138" t="n">
        <v>3</v>
      </c>
      <c r="K24" s="167" t="str">
        <f>IF($B$17&lt;&gt;"جاهز: مجموع الأرصدة الحالية يساوي صفرًا.","",IF(N23&lt;-0.01,$A5,IF(O23&lt;-0.01,$A6,IF(P23&lt;-0.01,$A7,IF(Q23&lt;-0.01,$A8,IF(R23&lt;-0.01,$A9,IF(S23&lt;-0.01,$A10,"")))))))</f>
      </c>
      <c r="L24" s="167" t="str">
        <f>IF($B$17&lt;&gt;"جاهز: مجموع الأرصدة الحالية يساوي صفرًا.","",IF(N23&gt;0.01,$A5,IF(O23&gt;0.01,$A6,IF(P23&gt;0.01,$A7,IF(Q23&gt;0.01,$A8,IF(R23&gt;0.01,$A9,IF(S23&gt;0.01,$A10,"")))))))</f>
      </c>
      <c r="M24" s="150" t="str">
        <f>IF(OR(K24="",L24=""),"",MIN(IF($K24=$A5,-N23,IF($K24=$A6,-O23,IF($K24=$A7,-P23,IF($K24=$A8,-Q23,IF($K24=$A9,-R23,IF($K24=$A10,-S23,0)))))),IF($L24=$A5,N23,IF($L24=$A6,O23,IF($L24=$A7,P23,IF($L24=$A8,Q23,IF($L24=$A9,R23,IF($L24=$A10,S23,0))))))))</f>
      </c>
      <c r="N24" s="150" t="str">
        <f>IF(N23="","",N23+IF($A5=$K24,$M24,0)-IF($A5=$L24,$M24,0))</f>
      </c>
      <c r="O24" s="150" t="str">
        <f>IF(O23="","",O23+IF($A6=$K24,$M24,0)-IF($A6=$L24,$M24,0))</f>
      </c>
      <c r="P24" s="150" t="str">
        <f>IF(P23="","",P23+IF($A7=$K24,$M24,0)-IF($A7=$L24,$M24,0))</f>
      </c>
      <c r="Q24" s="150" t="str">
        <f>IF(Q23="","",Q23+IF($A8=$K24,$M24,0)-IF($A8=$L24,$M24,0))</f>
      </c>
      <c r="R24" s="150" t="str">
        <f>IF(R23="","",R23+IF($A9=$K24,$M24,0)-IF($A9=$L24,$M24,0))</f>
      </c>
      <c r="S24" s="150" t="str">
        <f>IF(S23="","",S23+IF($A10=$K24,$M24,0)-IF($A10=$L24,$M24,0))</f>
      </c>
    </row>
    <row r="25">
      <c r="A25" s="167" t="str">
        <f>IF($B$17&lt;&gt;"جاهز: مجموع الأرصدة الحالية يساوي صفرًا.","",K24)</f>
      </c>
      <c r="B25" s="167" t="str">
        <f>IF($B$17&lt;&gt;"جاهز: مجموع الأرصدة الحالية يساوي صفرًا.","",L24)</f>
      </c>
      <c r="C25" s="150" t="str">
        <f>IF($B$17&lt;&gt;"جاهز: مجموع الأرصدة الحالية يساوي صفرًا.","",M24)</f>
      </c>
      <c r="D25" s="111"/>
      <c r="E25" s="111"/>
      <c r="F25" s="111"/>
      <c r="G25" s="111"/>
      <c r="H25" s="111"/>
      <c r="I25" s="111"/>
      <c r="J25" s="138" t="n">
        <v>4</v>
      </c>
      <c r="K25" s="167" t="str">
        <f>IF($B$17&lt;&gt;"جاهز: مجموع الأرصدة الحالية يساوي صفرًا.","",IF(N24&lt;-0.01,$A5,IF(O24&lt;-0.01,$A6,IF(P24&lt;-0.01,$A7,IF(Q24&lt;-0.01,$A8,IF(R24&lt;-0.01,$A9,IF(S24&lt;-0.01,$A10,"")))))))</f>
      </c>
      <c r="L25" s="167" t="str">
        <f>IF($B$17&lt;&gt;"جاهز: مجموع الأرصدة الحالية يساوي صفرًا.","",IF(N24&gt;0.01,$A5,IF(O24&gt;0.01,$A6,IF(P24&gt;0.01,$A7,IF(Q24&gt;0.01,$A8,IF(R24&gt;0.01,$A9,IF(S24&gt;0.01,$A10,"")))))))</f>
      </c>
      <c r="M25" s="150" t="str">
        <f>IF(OR(K25="",L25=""),"",MIN(IF($K25=$A5,-N24,IF($K25=$A6,-O24,IF($K25=$A7,-P24,IF($K25=$A8,-Q24,IF($K25=$A9,-R24,IF($K25=$A10,-S24,0)))))),IF($L25=$A5,N24,IF($L25=$A6,O24,IF($L25=$A7,P24,IF($L25=$A8,Q24,IF($L25=$A9,R24,IF($L25=$A10,S24,0))))))))</f>
      </c>
      <c r="N25" s="150" t="str">
        <f>IF(N24="","",N24+IF($A5=$K25,$M25,0)-IF($A5=$L25,$M25,0))</f>
      </c>
      <c r="O25" s="150" t="str">
        <f>IF(O24="","",O24+IF($A6=$K25,$M25,0)-IF($A6=$L25,$M25,0))</f>
      </c>
      <c r="P25" s="150" t="str">
        <f>IF(P24="","",P24+IF($A7=$K25,$M25,0)-IF($A7=$L25,$M25,0))</f>
      </c>
      <c r="Q25" s="150" t="str">
        <f>IF(Q24="","",Q24+IF($A8=$K25,$M25,0)-IF($A8=$L25,$M25,0))</f>
      </c>
      <c r="R25" s="150" t="str">
        <f>IF(R24="","",R24+IF($A9=$K25,$M25,0)-IF($A9=$L25,$M25,0))</f>
      </c>
      <c r="S25" s="150" t="str">
        <f>IF(S24="","",S24+IF($A10=$K25,$M25,0)-IF($A10=$L25,$M25,0))</f>
      </c>
    </row>
    <row r="26">
      <c r="A26" s="167" t="str">
        <f>IF($B$17&lt;&gt;"جاهز: مجموع الأرصدة الحالية يساوي صفرًا.","",K25)</f>
      </c>
      <c r="B26" s="167" t="str">
        <f>IF($B$17&lt;&gt;"جاهز: مجموع الأرصدة الحالية يساوي صفرًا.","",L25)</f>
      </c>
      <c r="C26" s="150" t="str">
        <f>IF($B$17&lt;&gt;"جاهز: مجموع الأرصدة الحالية يساوي صفرًا.","",M25)</f>
      </c>
      <c r="D26" s="111"/>
      <c r="E26" s="111"/>
      <c r="F26" s="111"/>
      <c r="G26" s="111"/>
      <c r="H26" s="111"/>
      <c r="I26" s="111"/>
      <c r="J26" s="138" t="n">
        <v>5</v>
      </c>
      <c r="K26" s="167" t="str">
        <f>IF($B$17&lt;&gt;"جاهز: مجموع الأرصدة الحالية يساوي صفرًا.","",IF(N25&lt;-0.01,$A5,IF(O25&lt;-0.01,$A6,IF(P25&lt;-0.01,$A7,IF(Q25&lt;-0.01,$A8,IF(R25&lt;-0.01,$A9,IF(S25&lt;-0.01,$A10,"")))))))</f>
      </c>
      <c r="L26" s="167" t="str">
        <f>IF($B$17&lt;&gt;"جاهز: مجموع الأرصدة الحالية يساوي صفرًا.","",IF(N25&gt;0.01,$A5,IF(O25&gt;0.01,$A6,IF(P25&gt;0.01,$A7,IF(Q25&gt;0.01,$A8,IF(R25&gt;0.01,$A9,IF(S25&gt;0.01,$A10,"")))))))</f>
      </c>
      <c r="M26" s="150" t="str">
        <f>IF(OR(K26="",L26=""),"",MIN(IF($K26=$A5,-N25,IF($K26=$A6,-O25,IF($K26=$A7,-P25,IF($K26=$A8,-Q25,IF($K26=$A9,-R25,IF($K26=$A10,-S25,0)))))),IF($L26=$A5,N25,IF($L26=$A6,O25,IF($L26=$A7,P25,IF($L26=$A8,Q25,IF($L26=$A9,R25,IF($L26=$A10,S25,0))))))))</f>
      </c>
      <c r="N26" s="150" t="str">
        <f>IF(N25="","",N25+IF($A5=$K26,$M26,0)-IF($A5=$L26,$M26,0))</f>
      </c>
      <c r="O26" s="150" t="str">
        <f>IF(O25="","",O25+IF($A6=$K26,$M26,0)-IF($A6=$L26,$M26,0))</f>
      </c>
      <c r="P26" s="150" t="str">
        <f>IF(P25="","",P25+IF($A7=$K26,$M26,0)-IF($A7=$L26,$M26,0))</f>
      </c>
      <c r="Q26" s="150" t="str">
        <f>IF(Q25="","",Q25+IF($A8=$K26,$M26,0)-IF($A8=$L26,$M26,0))</f>
      </c>
      <c r="R26" s="150" t="str">
        <f>IF(R25="","",R25+IF($A9=$K26,$M26,0)-IF($A9=$L26,$M26,0))</f>
      </c>
      <c r="S26" s="150" t="str">
        <f>IF(S25="","",S25+IF($A10=$K26,$M26,0)-IF($A10=$L26,$M26,0))</f>
      </c>
    </row>
    <row r="27">
      <c r="A27" s="167" t="str">
        <f>IF($B$17&lt;&gt;"جاهز: مجموع الأرصدة الحالية يساوي صفرًا.","",K26)</f>
      </c>
      <c r="B27" s="167" t="str">
        <f>IF($B$17&lt;&gt;"جاهز: مجموع الأرصدة الحالية يساوي صفرًا.","",L26)</f>
      </c>
      <c r="C27" s="150" t="str">
        <f>IF($B$17&lt;&gt;"جاهز: مجموع الأرصدة الحالية يساوي صفرًا.","",M26)</f>
      </c>
      <c r="D27" s="111"/>
      <c r="E27" s="111"/>
      <c r="F27" s="111"/>
      <c r="G27" s="111"/>
      <c r="H27" s="111"/>
      <c r="I27" s="111"/>
      <c r="J27" s="111"/>
      <c r="K27" s="111"/>
      <c r="L27" s="111"/>
      <c r="M27" s="111"/>
      <c r="N27" s="111"/>
      <c r="O27" s="111"/>
      <c r="P27" s="111"/>
      <c r="Q27" s="111"/>
      <c r="R27" s="111"/>
      <c r="S27" s="111"/>
    </row>
    <row r="28">
      <c r="A28" s="111"/>
      <c r="B28" s="111"/>
      <c r="C28" s="111"/>
      <c r="D28" s="111"/>
      <c r="E28" s="111"/>
      <c r="F28" s="111"/>
      <c r="G28" s="111"/>
      <c r="H28" s="111"/>
      <c r="I28" s="111"/>
      <c r="J28" s="111"/>
      <c r="K28" s="111"/>
      <c r="L28" s="111"/>
      <c r="M28" s="111"/>
      <c r="N28" s="111"/>
      <c r="O28" s="111"/>
      <c r="P28" s="111"/>
      <c r="Q28" s="111"/>
      <c r="R28" s="111"/>
      <c r="S28" s="111"/>
    </row>
    <row r="29">
      <c r="A29" s="169" t="str">
        <f>IF($B$17&lt;&gt;"جاهز: مجموع الأرصدة الحالية يساوي صفرًا.","لا تظهر الدفعات المقترحة إلا إذا كان مجموع الأرصدة الحالية صفرًا.",IF(COUNTIF($G$5:$G$10,"&lt;-0.01")=0,"لا توجد دفعات مطلوبة لتسوية المبالغ.",""))</f>
        <v>لا تظهر الدفعات المقترحة إلا إذا كان مجموع الأرصدة الحالية صفرًا.</v>
      </c>
      <c r="B29" s="156"/>
      <c r="C29" s="156"/>
      <c r="D29" s="156"/>
      <c r="E29" s="156"/>
      <c r="F29" s="156"/>
      <c r="G29" s="156"/>
      <c r="H29" s="156"/>
      <c r="I29" s="111"/>
      <c r="J29" s="111"/>
      <c r="K29" s="111"/>
      <c r="L29" s="111"/>
      <c r="M29" s="111"/>
      <c r="N29" s="111"/>
      <c r="O29" s="111"/>
      <c r="P29" s="111"/>
      <c r="Q29" s="111"/>
      <c r="R29" s="111"/>
      <c r="S29" s="111"/>
    </row>
    <row r="30">
      <c r="A30" s="156"/>
      <c r="B30" s="156"/>
      <c r="C30" s="156"/>
      <c r="D30" s="156"/>
      <c r="E30" s="156"/>
      <c r="F30" s="156"/>
      <c r="G30" s="156"/>
      <c r="H30" s="156"/>
      <c r="I30" s="111"/>
      <c r="J30" s="111"/>
      <c r="K30" s="111"/>
      <c r="L30" s="111"/>
      <c r="M30" s="111"/>
      <c r="N30" s="111"/>
      <c r="O30" s="111"/>
      <c r="P30" s="111"/>
      <c r="Q30" s="111"/>
      <c r="R30" s="111"/>
      <c r="S30" s="111"/>
    </row>
  </sheetData>
  <mergeCells>
    <mergeCell ref="A1:S1"/>
    <mergeCell ref="A2:S2"/>
    <mergeCell ref="A12:H12"/>
    <mergeCell ref="B17:H18"/>
    <mergeCell ref="A20:H20"/>
    <mergeCell ref="A21:H21"/>
    <mergeCell ref="A29:H30"/>
  </mergeCells>
  <conditionalFormatting sqref="G5:G10">
    <cfRule type="cellIs" dxfId="6" priority="1" operator="greaterThan">
      <formula>0.01</formula>
    </cfRule>
    <cfRule type="cellIs" dxfId="7" priority="2" operator="lessThan">
      <formula>-0.01</formula>
    </cfRule>
  </conditionalFormatting>
  <conditionalFormatting sqref="B17:H18">
    <cfRule type="containsText" dxfId="8" priority="3" operator="containsText" text="جاهز"/>
    <cfRule type="notContainsText" dxfId="9" priority="4" text="جاهز"/>
  </conditionalFormatting>
  <pageMargins left="0.7" right="0.7" top="0.75" bottom="0.75" header="0.3" footer="0.3"/>
</worksheet>
</file>

<file path=xl/worksheets/sheet6.xml><?xml version="1.0" encoding="utf-8"?>
<worksheet xmlns="http://schemas.openxmlformats.org/spreadsheetml/2006/main">
  <sheetViews>
    <sheetView showGridLines="0" workbookViewId="0" rightToLeft="1">
      <pane ySplit="5" topLeftCell="A6" activePane="bottomLeft" state="frozen"/>
    </sheetView>
  </sheetViews>
  <sheetFormatPr defaultRowHeight="15"/>
  <cols>
    <col min="1" max="1" width="28" hidden="0" customWidth="1"/>
    <col min="2" max="2" width="28" hidden="0" customWidth="1"/>
    <col min="3" max="3" width="22" hidden="0" customWidth="1"/>
    <col min="4" max="4" width="20" hidden="0" customWidth="1"/>
    <col min="5" max="5" width="24" hidden="0" customWidth="1"/>
    <col min="6" max="6" width="24" hidden="0" customWidth="1"/>
    <col min="7" max="7" width="21" hidden="0" customWidth="1"/>
  </cols>
  <sheetData>
    <row r="1" ht="34" customHeight="1">
      <c r="A1" s="109" t="str">
        <v>مثال كامل: سارة وعمر وليلى</v>
      </c>
      <c r="B1" s="109" t="str">
        <v>مثال كامل: سارة وعمر وليلى</v>
      </c>
      <c r="C1" s="109" t="str">
        <v>مثال كامل: سارة وعمر وليلى</v>
      </c>
      <c r="D1" s="109" t="str">
        <v>مثال كامل: سارة وعمر وليلى</v>
      </c>
      <c r="E1" s="109" t="str">
        <v>مثال كامل: سارة وعمر وليلى</v>
      </c>
      <c r="F1" s="109" t="str">
        <v>مثال كامل: سارة وعمر وليلى</v>
      </c>
      <c r="G1" s="109" t="str">
        <v>مثال كامل: سارة وعمر وليلى</v>
      </c>
    </row>
    <row r="2" ht="30" customHeight="1">
      <c r="A2" s="110" t="str">
        <v>ثلاثة مصاريف مقسّمة بالتساوي، ثم دفعة جزئية قبل التسوية. مثال توضيحي بأرقام افتراضية بالريال السعودي.</v>
      </c>
      <c r="B2" s="110" t="str">
        <v>ثلاثة مصاريف مقسّمة بالتساوي، ثم دفعة جزئية قبل التسوية. مثال توضيحي بأرقام افتراضية بالريال السعودي.</v>
      </c>
      <c r="C2" s="110" t="str">
        <v>ثلاثة مصاريف مقسّمة بالتساوي، ثم دفعة جزئية قبل التسوية. مثال توضيحي بأرقام افتراضية بالريال السعودي.</v>
      </c>
      <c r="D2" s="110" t="str">
        <v>ثلاثة مصاريف مقسّمة بالتساوي، ثم دفعة جزئية قبل التسوية. مثال توضيحي بأرقام افتراضية بالريال السعودي.</v>
      </c>
      <c r="E2" s="110" t="str">
        <v>ثلاثة مصاريف مقسّمة بالتساوي، ثم دفعة جزئية قبل التسوية. مثال توضيحي بأرقام افتراضية بالريال السعودي.</v>
      </c>
      <c r="F2" s="110" t="str">
        <v>ثلاثة مصاريف مقسّمة بالتساوي، ثم دفعة جزئية قبل التسوية. مثال توضيحي بأرقام افتراضية بالريال السعودي.</v>
      </c>
      <c r="G2" s="110" t="str">
        <v>ثلاثة مصاريف مقسّمة بالتساوي، ثم دفعة جزئية قبل التسوية. مثال توضيحي بأرقام افتراضية بالريال السعودي.</v>
      </c>
    </row>
    <row r="3">
      <c r="A3" s="111"/>
      <c r="B3" s="111"/>
      <c r="C3" s="111"/>
      <c r="D3" s="111"/>
      <c r="E3" s="111"/>
      <c r="F3" s="111"/>
      <c r="G3" s="111"/>
    </row>
    <row r="4">
      <c r="A4" s="112" t="str">
        <v>المصاريف</v>
      </c>
      <c r="B4" s="112" t="str">
        <v>المصاريف</v>
      </c>
      <c r="C4" s="112" t="str">
        <v>المصاريف</v>
      </c>
      <c r="D4" s="112" t="str">
        <v>المصاريف</v>
      </c>
      <c r="E4" s="112" t="str">
        <v>المصاريف</v>
      </c>
      <c r="F4" s="112" t="str">
        <v>المصاريف</v>
      </c>
      <c r="G4" s="112" t="str">
        <v>المصاريف</v>
      </c>
    </row>
    <row r="5" ht="34" customHeight="1">
      <c r="A5" s="134" t="str">
        <v>التاريخ</v>
      </c>
      <c r="B5" s="134" t="str">
        <v>المصروف</v>
      </c>
      <c r="C5" s="134" t="str">
        <v>التصنيف</v>
      </c>
      <c r="D5" s="134" t="str">
        <v>المبلغ</v>
      </c>
      <c r="E5" s="134" t="str">
        <v>مَن دفع؟</v>
      </c>
      <c r="F5" s="134" t="str">
        <v>الأشخاص المشاركون</v>
      </c>
      <c r="G5" s="134" t="str">
        <v>الحصة المتفق عليها</v>
      </c>
    </row>
    <row r="6">
      <c r="A6" s="145" t="d">
        <v>2026-05-01T00:00:00.000Z</v>
      </c>
      <c r="B6" s="135" t="str">
        <v>الإيجار</v>
      </c>
      <c r="C6" s="135" t="str">
        <v>الإيجار</v>
      </c>
      <c r="D6" s="146" t="n">
        <v>1800</v>
      </c>
      <c r="E6" s="135" t="str">
        <v>سارة</v>
      </c>
      <c r="F6" s="135" t="str">
        <v>سارة، عمر، ليلى</v>
      </c>
      <c r="G6" s="135" t="str">
        <v>600 ريال لكل شخص</v>
      </c>
    </row>
    <row r="7">
      <c r="A7" s="149" t="d">
        <v>2026-05-05T00:00:00.000Z</v>
      </c>
      <c r="B7" s="138" t="str">
        <v>الإنترنت</v>
      </c>
      <c r="C7" s="138" t="str">
        <v>الإنترنت</v>
      </c>
      <c r="D7" s="150" t="n">
        <v>60</v>
      </c>
      <c r="E7" s="138" t="str">
        <v>عمر</v>
      </c>
      <c r="F7" s="138" t="str">
        <v>سارة، عمر، ليلى</v>
      </c>
      <c r="G7" s="138" t="str">
        <v>20 ريالًا لكل شخص</v>
      </c>
    </row>
    <row r="8">
      <c r="A8" s="149" t="d">
        <v>2026-05-12T00:00:00.000Z</v>
      </c>
      <c r="B8" s="138" t="str">
        <v>المشتريات الغذائية</v>
      </c>
      <c r="C8" s="138" t="str">
        <v>المشتريات الغذائية</v>
      </c>
      <c r="D8" s="150" t="n">
        <v>120</v>
      </c>
      <c r="E8" s="138" t="str">
        <v>ليلى</v>
      </c>
      <c r="F8" s="138" t="str">
        <v>سارة، عمر، ليلى</v>
      </c>
      <c r="G8" s="138" t="str">
        <v>40 ريالًا لكل شخص</v>
      </c>
    </row>
    <row r="9">
      <c r="A9" s="111"/>
      <c r="B9" s="111"/>
      <c r="C9" s="111"/>
      <c r="D9" s="111"/>
      <c r="E9" s="111"/>
      <c r="F9" s="111"/>
      <c r="G9" s="111"/>
    </row>
    <row r="10">
      <c r="A10" s="112" t="str">
        <v>دفعة مسجّلة بشكل مستقل</v>
      </c>
      <c r="B10" s="112" t="str">
        <v>دفعة مسجّلة بشكل مستقل</v>
      </c>
      <c r="C10" s="112" t="str">
        <v>دفعة مسجّلة بشكل مستقل</v>
      </c>
      <c r="D10" s="112" t="str">
        <v>دفعة مسجّلة بشكل مستقل</v>
      </c>
      <c r="E10" s="112" t="str">
        <v>دفعة مسجّلة بشكل مستقل</v>
      </c>
      <c r="F10" s="112" t="str">
        <v>دفعة مسجّلة بشكل مستقل</v>
      </c>
      <c r="G10" s="112" t="str">
        <v>دفعة مسجّلة بشكل مستقل</v>
      </c>
    </row>
    <row r="11" ht="34" customHeight="1">
      <c r="A11" s="134" t="str">
        <v>التاريخ</v>
      </c>
      <c r="B11" s="134" t="str">
        <v>مِن</v>
      </c>
      <c r="C11" s="134" t="str">
        <v>إلى</v>
      </c>
      <c r="D11" s="134" t="str">
        <v>المبلغ</v>
      </c>
      <c r="E11" s="134" t="str">
        <v>ملاحظة</v>
      </c>
      <c r="F11" s="111"/>
      <c r="G11" s="111"/>
    </row>
    <row r="12">
      <c r="A12" s="145" t="d">
        <v>2026-05-20T00:00:00.000Z</v>
      </c>
      <c r="B12" s="135" t="str">
        <v>عمر</v>
      </c>
      <c r="C12" s="135" t="str">
        <v>سارة</v>
      </c>
      <c r="D12" s="146" t="n">
        <v>200</v>
      </c>
      <c r="E12" s="135" t="str">
        <v>دفعة جزئية قبل مراجعة حسابات الشهر</v>
      </c>
      <c r="F12" s="111"/>
      <c r="G12" s="111"/>
    </row>
    <row r="13">
      <c r="A13" s="111"/>
      <c r="B13" s="111"/>
      <c r="C13" s="111"/>
      <c r="D13" s="111"/>
      <c r="E13" s="111"/>
      <c r="F13" s="111"/>
      <c r="G13" s="111"/>
    </row>
    <row r="14">
      <c r="A14" s="112" t="str">
        <v>الملخص بعد دفعة 200 ريال</v>
      </c>
      <c r="B14" s="112" t="str">
        <v>الملخص بعد دفعة 200 ريال</v>
      </c>
      <c r="C14" s="112" t="str">
        <v>الملخص بعد دفعة 200 ريال</v>
      </c>
      <c r="D14" s="112" t="str">
        <v>الملخص بعد دفعة 200 ريال</v>
      </c>
      <c r="E14" s="112" t="str">
        <v>الملخص بعد دفعة 200 ريال</v>
      </c>
      <c r="F14" s="112" t="str">
        <v>الملخص بعد دفعة 200 ريال</v>
      </c>
      <c r="G14" s="112" t="str">
        <v>الملخص بعد دفعة 200 ريال</v>
      </c>
    </row>
    <row r="15" ht="34" customHeight="1">
      <c r="A15" s="134" t="str">
        <v>الشخص</v>
      </c>
      <c r="B15" s="134" t="str">
        <v>المصاريف المدفوعة</v>
      </c>
      <c r="C15" s="134" t="str">
        <v>الحصة المخصصة</v>
      </c>
      <c r="D15" s="134" t="str">
        <v>دفعات مرسلة</v>
      </c>
      <c r="E15" s="134" t="str">
        <v>دفعات مستلمة</v>
      </c>
      <c r="F15" s="134" t="str">
        <v>الرصيد الحالي</v>
      </c>
      <c r="G15" s="111"/>
    </row>
    <row r="16">
      <c r="A16" s="135" t="str">
        <v>سارة</v>
      </c>
      <c r="B16" s="146" t="n">
        <f>SUMIF($E$6:$E$8,A16,$D$6:$D$8)</f>
        <v>1800</v>
      </c>
      <c r="C16" s="146" t="n">
        <f>SUM($D$6:$D$8)/3</f>
        <v>660</v>
      </c>
      <c r="D16" s="146" t="n">
        <f>SUMIF($B$12:$B$12,A16,$D$12:$D$12)</f>
        <v>0</v>
      </c>
      <c r="E16" s="146" t="n">
        <f>SUMIF($C$12:$C$12,A16,$D$12:$D$12)</f>
        <v>200</v>
      </c>
      <c r="F16" s="157" t="n">
        <f>B16-C16+D16-E16</f>
        <v>940</v>
      </c>
      <c r="G16" s="111"/>
    </row>
    <row r="17">
      <c r="A17" s="138" t="str">
        <v>عمر</v>
      </c>
      <c r="B17" s="150" t="n">
        <f>SUMIF($E$6:$E$8,A17,$D$6:$D$8)</f>
        <v>60</v>
      </c>
      <c r="C17" s="150" t="n">
        <f>SUM($D$6:$D$8)/3</f>
        <v>660</v>
      </c>
      <c r="D17" s="150" t="n">
        <f>SUMIF($B$12:$B$12,A17,$D$12:$D$12)</f>
        <v>200</v>
      </c>
      <c r="E17" s="150" t="n">
        <f>SUMIF($C$12:$C$12,A17,$D$12:$D$12)</f>
        <v>0</v>
      </c>
      <c r="F17" s="158" t="n">
        <f>B17-C17+D17-E17</f>
        <v>-400</v>
      </c>
      <c r="G17" s="111"/>
    </row>
    <row r="18">
      <c r="A18" s="138" t="str">
        <v>ليلى</v>
      </c>
      <c r="B18" s="150" t="n">
        <f>SUMIF($E$6:$E$8,A18,$D$6:$D$8)</f>
        <v>120</v>
      </c>
      <c r="C18" s="150" t="n">
        <f>SUM($D$6:$D$8)/3</f>
        <v>660</v>
      </c>
      <c r="D18" s="150" t="n">
        <f>SUMIF($B$12:$B$12,A18,$D$12:$D$12)</f>
        <v>0</v>
      </c>
      <c r="E18" s="150" t="n">
        <f>SUMIF($C$12:$C$12,A18,$D$12:$D$12)</f>
        <v>0</v>
      </c>
      <c r="F18" s="158" t="n">
        <f>B18-C18+D18-E18</f>
        <v>-540</v>
      </c>
      <c r="G18" s="111"/>
    </row>
    <row r="19">
      <c r="A19" s="111"/>
      <c r="B19" s="111"/>
      <c r="C19" s="111"/>
      <c r="D19" s="111"/>
      <c r="E19" s="111"/>
      <c r="F19" s="111"/>
      <c r="G19" s="111"/>
    </row>
    <row r="20">
      <c r="A20" s="153" t="str">
        <v>إجمالي المصاريف المشتركة</v>
      </c>
      <c r="B20" s="159" t="n">
        <f>SUM($D$6:$D$8)</f>
        <v>1980</v>
      </c>
      <c r="C20" s="111"/>
      <c r="D20" s="111"/>
      <c r="E20" s="111"/>
      <c r="F20" s="111"/>
      <c r="G20" s="111"/>
    </row>
    <row r="21">
      <c r="A21" s="153" t="str">
        <v>حصة كل شخص</v>
      </c>
      <c r="B21" s="159" t="n">
        <f>B20/3</f>
        <v>660</v>
      </c>
      <c r="C21" s="111"/>
      <c r="D21" s="111"/>
      <c r="E21" s="111"/>
      <c r="F21" s="111"/>
      <c r="G21" s="111"/>
    </row>
    <row r="22">
      <c r="A22" s="111"/>
      <c r="B22" s="111"/>
      <c r="C22" s="111"/>
      <c r="D22" s="111"/>
      <c r="E22" s="111"/>
      <c r="F22" s="111"/>
      <c r="G22" s="111"/>
    </row>
    <row r="23">
      <c r="A23" s="112" t="str">
        <v>دفعات مقترحة للتسوية</v>
      </c>
      <c r="B23" s="112" t="str">
        <v>دفعات مقترحة للتسوية</v>
      </c>
      <c r="C23" s="112" t="str">
        <v>دفعات مقترحة للتسوية</v>
      </c>
      <c r="D23" s="112" t="str">
        <v>دفعات مقترحة للتسوية</v>
      </c>
      <c r="E23" s="112" t="str">
        <v>دفعات مقترحة للتسوية</v>
      </c>
      <c r="F23" s="112" t="str">
        <v>دفعات مقترحة للتسوية</v>
      </c>
      <c r="G23" s="112" t="str">
        <v>دفعات مقترحة للتسوية</v>
      </c>
    </row>
    <row r="24" ht="34" customHeight="1">
      <c r="A24" s="134" t="str">
        <v>مِن</v>
      </c>
      <c r="B24" s="134" t="str">
        <v>إلى</v>
      </c>
      <c r="C24" s="134" t="str">
        <v>المبلغ</v>
      </c>
      <c r="D24" s="111"/>
      <c r="E24" s="160" t="str">
        <v>المجموع النهائي</v>
      </c>
      <c r="F24" s="161" t="n">
        <f>SUM(F16:F18)</f>
        <v>0</v>
      </c>
      <c r="G24" s="111"/>
    </row>
    <row r="25">
      <c r="A25" s="135" t="str">
        <v>عمر</v>
      </c>
      <c r="B25" s="135" t="str">
        <v>سارة</v>
      </c>
      <c r="C25" s="146" t="n">
        <f>-F17</f>
        <v>400</v>
      </c>
      <c r="D25" s="111"/>
      <c r="E25" s="111"/>
      <c r="F25" s="111"/>
      <c r="G25" s="111"/>
    </row>
    <row r="26">
      <c r="A26" s="138" t="str">
        <v>ليلى</v>
      </c>
      <c r="B26" s="138" t="str">
        <v>سارة</v>
      </c>
      <c r="C26" s="150" t="n">
        <f>-F18</f>
        <v>540</v>
      </c>
      <c r="D26" s="111"/>
      <c r="E26" s="111"/>
      <c r="F26" s="111"/>
      <c r="G26" s="111"/>
    </row>
  </sheetData>
  <mergeCells>
    <mergeCell ref="A1:G1"/>
    <mergeCell ref="A2:G2"/>
    <mergeCell ref="A4:G4"/>
    <mergeCell ref="A10:G10"/>
    <mergeCell ref="A14:G14"/>
    <mergeCell ref="A23:G23"/>
  </mergeCells>
  <pageMargins left="0.7" right="0.7" top="0.75" bottom="0.75" header="0.3" footer="0.3"/>
</worksheet>
</file>

<file path=xl/worksheets/sheet7.xml><?xml version="1.0" encoding="utf-8"?>
<worksheet xmlns="http://schemas.openxmlformats.org/spreadsheetml/2006/main">
  <sheetViews>
    <sheetView showGridLines="0" workbookViewId="0" rightToLeft="1">
      <pane ySplit="4" topLeftCell="A5" activePane="bottomLeft" state="frozen"/>
    </sheetView>
  </sheetViews>
  <sheetFormatPr defaultRowHeight="15"/>
  <cols>
    <col min="1" max="1" width="26" hidden="0" customWidth="1"/>
    <col min="2" max="2" width="34" hidden="0" customWidth="1"/>
    <col min="3" max="3" width="16" hidden="0" customWidth="1"/>
    <col min="4" max="4" width="16" hidden="0" customWidth="1"/>
  </cols>
  <sheetData>
    <row r="1" ht="34" customHeight="1">
      <c r="A1" s="109" t="str">
        <v>قوائم القالب</v>
      </c>
      <c r="B1" s="109" t="str">
        <v>قوائم القالب</v>
      </c>
      <c r="C1" s="109" t="str">
        <v>قوائم القالب</v>
      </c>
      <c r="D1" s="109" t="str">
        <v>قوائم القالب</v>
      </c>
    </row>
    <row r="2" ht="30" customHeight="1">
      <c r="A2" s="110" t="str">
        <v>توفّر هذه القوائم خيارات القوائم المنسدلة. لا تعدّلها إلا إذا كنت تعرف كيف ترتبط بقواعد التحقق من البيانات في القالب.</v>
      </c>
      <c r="B2" s="110" t="str">
        <v>توفّر هذه القوائم خيارات القوائم المنسدلة. لا تعدّلها إلا إذا كنت تعرف كيف ترتبط بقواعد التحقق من البيانات في القالب.</v>
      </c>
      <c r="C2" s="110" t="str">
        <v>توفّر هذه القوائم خيارات القوائم المنسدلة. لا تعدّلها إلا إذا كنت تعرف كيف ترتبط بقواعد التحقق من البيانات في القالب.</v>
      </c>
      <c r="D2" s="110" t="str">
        <v>توفّر هذه القوائم خيارات القوائم المنسدلة. لا تعدّلها إلا إذا كنت تعرف كيف ترتبط بقواعد التحقق من البيانات في القالب.</v>
      </c>
    </row>
    <row r="3">
      <c r="A3" s="111"/>
      <c r="B3" s="111"/>
      <c r="C3" s="111"/>
      <c r="D3" s="111"/>
    </row>
    <row r="4" ht="34" customHeight="1">
      <c r="A4" s="134" t="str">
        <v>التصنيفات</v>
      </c>
      <c r="B4" s="134" t="str">
        <v>طرق التقسيم</v>
      </c>
      <c r="C4" s="134" t="str">
        <v>نعم أو لا</v>
      </c>
      <c r="D4" s="134" t="str">
        <v>العملات</v>
      </c>
    </row>
    <row r="5">
      <c r="A5" s="135" t="str">
        <v>الإيجار</v>
      </c>
      <c r="B5" s="135" t="str">
        <v>بالتساوي بين المشاركين</v>
      </c>
      <c r="C5" s="135" t="str">
        <v>نعم</v>
      </c>
      <c r="D5" s="135" t="str">
        <v>USD</v>
      </c>
    </row>
    <row r="6">
      <c r="A6" s="138" t="str">
        <v>فواتير الخدمات</v>
      </c>
      <c r="B6" s="138" t="str">
        <v>مبالغ متفق عليها</v>
      </c>
      <c r="C6" s="138" t="str">
        <v>لا</v>
      </c>
      <c r="D6" s="138" t="str">
        <v>EUR</v>
      </c>
    </row>
    <row r="7">
      <c r="A7" s="138" t="str">
        <v>الإنترنت</v>
      </c>
      <c r="B7" s="138"/>
      <c r="C7" s="138"/>
      <c r="D7" s="138" t="str">
        <v>GBP</v>
      </c>
    </row>
    <row r="8">
      <c r="A8" s="138" t="str">
        <v>المشتريات الغذائية</v>
      </c>
      <c r="B8" s="138"/>
      <c r="C8" s="138"/>
      <c r="D8" s="138" t="str">
        <v>CAD</v>
      </c>
    </row>
    <row r="9">
      <c r="A9" s="138" t="str">
        <v>لوازم المنزل</v>
      </c>
      <c r="B9" s="138"/>
      <c r="C9" s="138"/>
      <c r="D9" s="138" t="str">
        <v>AUD</v>
      </c>
    </row>
    <row r="10">
      <c r="A10" s="138" t="str">
        <v>اشتراك</v>
      </c>
      <c r="B10" s="138"/>
      <c r="C10" s="138"/>
      <c r="D10" s="138" t="str">
        <v>NZD</v>
      </c>
    </row>
    <row r="11">
      <c r="A11" s="138" t="str">
        <v>إصلاح أو صيانة</v>
      </c>
      <c r="B11" s="138"/>
      <c r="C11" s="138"/>
      <c r="D11" s="138" t="str">
        <v>JPY</v>
      </c>
    </row>
    <row r="12">
      <c r="A12" s="138" t="str">
        <v>متفرقات</v>
      </c>
      <c r="B12" s="138"/>
      <c r="C12" s="138"/>
      <c r="D12" s="138" t="str">
        <v>CHF</v>
      </c>
    </row>
    <row r="13">
      <c r="A13" s="138"/>
      <c r="B13" s="138"/>
      <c r="C13" s="138"/>
      <c r="D13" s="138" t="str">
        <v>SGD</v>
      </c>
    </row>
    <row r="14">
      <c r="A14" s="138"/>
      <c r="B14" s="138"/>
      <c r="C14" s="138"/>
      <c r="D14" s="138" t="str">
        <v>THB</v>
      </c>
    </row>
    <row r="15">
      <c r="A15" s="138"/>
      <c r="B15" s="138"/>
      <c r="C15" s="138"/>
      <c r="D15" s="138" t="str">
        <v>SAR</v>
      </c>
    </row>
    <row r="16">
      <c r="A16" s="138"/>
      <c r="B16" s="138"/>
      <c r="C16" s="138"/>
      <c r="D16" s="138" t="str">
        <v>أخرى</v>
      </c>
    </row>
  </sheetData>
  <mergeCells>
    <mergeCell ref="A1:D1"/>
    <mergeCell ref="A2:D2"/>
  </mergeCells>
  <pageMargins left="0.7" right="0.7" top="0.75" bottom="0.75" header="0.3" footer="0.3"/>
</worksheet>
</file>