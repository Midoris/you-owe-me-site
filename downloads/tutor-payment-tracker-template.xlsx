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b00e7b80b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5c136b72cc74488d"/>
    <x:sheet xmlns:r="http://schemas.openxmlformats.org/officeDocument/2006/relationships" name="Entries" sheetId="2" r:id="R4f1c0450775e458e"/>
    <x:sheet xmlns:r="http://schemas.openxmlformats.org/officeDocument/2006/relationships" name="Example" sheetId="3" r:id="R4cab887d2dc7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5">
    <x:font>
      <x:sz val="11"/>
      <x:name val="Carlito"/>
    </x:font>
    <x:font>
      <x:sz val="11"/>
      <x:color rgb="FF212931"/>
      <x:name val="Arial"/>
    </x:font>
    <x:font>
      <x:b/>
      <x:sz val="17"/>
      <x:color rgb="FF182B43"/>
      <x:name val="Arial"/>
    </x:font>
    <x:font>
      <x:b/>
      <x:sz val="11"/>
      <x:color rgb="FF182B43"/>
      <x:name val="Arial"/>
    </x:font>
    <x:font>
      <x:sz val="11"/>
      <x:color rgb="FF205D9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7F2DC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EAF4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3" fillId="2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7">
    <x:dxf>
      <x:font>
        <x:b/>
        <x:color rgb="FF9C2630"/>
      </x:font>
      <x:fill>
        <x:patternFill patternType="solid">
          <x:bgColor rgb="FFFCE8E8"/>
        </x:patternFill>
      </x:fill>
    </x:dxf>
    <x:dxf>
      <x:font>
        <x:color rgb="FF74551C"/>
      </x:font>
      <x:fill>
        <x:patternFill patternType="solid">
          <x:bgColor rgb="FFFFF3D9"/>
        </x:patternFill>
      </x:fill>
    </x:dxf>
    <x:dxf>
      <x:font>
        <x:color rgb="FF346345"/>
      </x:font>
      <x:fill>
        <x:patternFill patternType="solid">
          <x:bgColor rgb="FFE7F2E7"/>
        </x:patternFill>
      </x:fill>
    </x:dxf>
    <x:dxf>
      <x:font>
        <x:b/>
        <x:color rgb="FF9C2630"/>
      </x:font>
      <x:fill>
        <x:patternFill patternType="solid">
          <x:bgColor rgb="FFFCE8E8"/>
        </x:patternFill>
      </x:fill>
    </x:dxf>
    <x:dxf>
      <x:font>
        <x:b/>
        <x:color rgb="FF9C2630"/>
      </x:font>
      <x:fill>
        <x:patternFill patternType="solid">
          <x:bgColor rgb="FFFCE8E8"/>
        </x:patternFill>
      </x:fill>
    </x:dxf>
    <x:dxf>
      <x:font>
        <x:b/>
        <x:color rgb="FF9C2630"/>
      </x:font>
      <x:fill>
        <x:patternFill patternType="solid">
          <x:bgColor rgb="FFFCE8E8"/>
        </x:patternFill>
      </x:fill>
    </x:dxf>
    <x:dxf>
      <x:font>
        <x:b/>
        <x:color rgb="FF9C2630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91d51d83f49ad" /><Relationship Type="http://schemas.openxmlformats.org/officeDocument/2006/relationships/theme" Target="/xl/theme/theme1.xml" Id="Rba2121c1041d45f5" /><Relationship Type="http://schemas.openxmlformats.org/officeDocument/2006/relationships/sharedStrings" Target="/xl/sharedStrings.xml" Id="Rbb0f4062db5043c0" /><Relationship Type="http://schemas.openxmlformats.org/officeDocument/2006/relationships/worksheet" Target="/xl/worksheets/sheet1.xml" Id="R5c136b72cc74488d" /><Relationship Type="http://schemas.openxmlformats.org/officeDocument/2006/relationships/worksheet" Target="/xl/worksheets/sheet2.xml" Id="R4f1c0450775e458e" /><Relationship Type="http://schemas.openxmlformats.org/officeDocument/2006/relationships/worksheet" Target="/xl/worksheets/sheet3.xml" Id="R4cab887d2dc74ab8" /></Relationships>
</file>

<file path=xl/tables/table1.xml><?xml version="1.0" encoding="utf-8"?>
<x:table xmlns:x="http://schemas.openxmlformats.org/spreadsheetml/2006/main" id="1" name="TutorAccounts" displayName="TutorAccounts" ref="A9:H39" headerRowCount="1" totalsRowCount="0" totalsRowShown="0">
  <x:autoFilter ref="A9:H39"/>
  <x:tableColumns count="8">
    <x:tableColumn id="1" name="Account ID"/>
    <x:tableColumn id="2" name="Payer / household"/>
    <x:tableColumn id="3" name="Opening balance"/>
    <x:tableColumn id="4" name="Charges"/>
    <x:tableColumn id="5" name="Payments"/>
    <x:tableColumn id="6" name="Remaining"/>
    <x:tableColumn id="7" name="Status"/>
    <x:tableColumn id="8" name="Check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utorEntries" displayName="TutorEntries" ref="A9:H209" headerRowCount="1" totalsRowCount="0" totalsRowShown="0">
  <x:autoFilter ref="A9:H209"/>
  <x:tableColumns count="8">
    <x:tableColumn id="1" name="Date"/>
    <x:tableColumn id="2" name="Account ID"/>
    <x:tableColumn id="3" name="Student / context"/>
    <x:tableColumn id="4" name="Description"/>
    <x:tableColumn id="5" name="Type"/>
    <x:tableColumn id="6" name="Amount"/>
    <x:tableColumn id="7" name="Reference / note"/>
    <x:tableColumn id="8" name="Check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7c7b515bd642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659e11d8734d3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17" hidden="0" customWidth="1"/>
    <x:col min="5" max="5" width="17" hidden="0" customWidth="1"/>
    <x:col min="6" max="6" width="18" hidden="0" customWidth="1"/>
    <x:col min="7" max="7" width="22" hidden="0" customWidth="1"/>
    <x:col min="8" max="8" width="27" hidden="0" customWidth="1"/>
  </x:cols>
  <x:sheetData>
    <x:row r="1" ht="42" customHeight="1">
      <x:c r="A1" s="4" t="str">
        <x:v>Tutor payment tracker</x:v>
      </x:c>
      <x:c r="B1" s="4"/>
      <x:c r="C1" s="4"/>
      <x:c r="D1" s="4"/>
      <x:c r="E1" s="4"/>
      <x:c r="F1" s="4"/>
      <x:c r="G1" s="4"/>
      <x:c r="H1" s="4"/>
    </x:row>
    <x:row r="2" ht="30" customHeight="1">
      <x:c r="A2" s="3" t="str">
        <x:v>Record each charge and received payment once. Keep one account for each payer or household.</x:v>
      </x:c>
      <x:c r="B2" s="3"/>
      <x:c r="C2" s="3"/>
      <x:c r="D2" s="3"/>
      <x:c r="E2" s="3"/>
      <x:c r="F2" s="3"/>
      <x:c r="G2" s="3"/>
      <x:c r="H2" s="3"/>
    </x:row>
    <x:row r="3" ht="34" customHeight="1">
      <x:c r="A3" s="3" t="str">
        <x:v>Currency</x:v>
      </x:c>
      <x:c r="B3" s="20" t="str">
        <x:v>USD</x:v>
      </x:c>
      <x:c r="C3" s="3"/>
      <x:c r="D3" s="3" t="str">
        <x:v>Period (label only)</x:v>
      </x:c>
      <x:c r="E3" s="20"/>
      <x:c r="F3" s="20"/>
      <x:c r="G3" s="20"/>
      <x:c r="H3" s="20"/>
    </x:row>
    <x:row r="4" ht="30" customHeight="1">
      <x:c r="A4" s="3" t="str">
        <x:v>All Entries rows are included. The period label does not filter dates. Use one currency per file.</x:v>
      </x:c>
      <x:c r="B4" s="3"/>
      <x:c r="C4" s="3"/>
      <x:c r="D4" s="3"/>
      <x:c r="E4" s="3"/>
      <x:c r="F4" s="3"/>
      <x:c r="G4" s="3"/>
      <x:c r="H4" s="3"/>
    </x:row>
    <x:row r="5" ht="30" customHeight="1">
      <x:c r="A5" s="3" t="str">
        <x:v>Keep Account IDs unchanged. Opening balance means an earlier amount still owed; do not enter the same history again.</x:v>
      </x:c>
      <x:c r="B5" s="3"/>
      <x:c r="C5" s="3"/>
      <x:c r="D5" s="3"/>
      <x:c r="E5" s="3"/>
      <x:c r="F5" s="3"/>
      <x:c r="G5" s="3"/>
      <x:c r="H5" s="3"/>
    </x:row>
    <x:row r="6" ht="30" customHeight="1">
      <x:c r="A6" s="3" t="str">
        <x:v>Prepared capacity: 30 accounts and 200 entries. Rows outside those ranges are not included automatically.</x:v>
      </x:c>
      <x:c r="B6" s="3"/>
      <x:c r="C6" s="3"/>
      <x:c r="D6" s="3"/>
      <x:c r="E6" s="3"/>
      <x:c r="F6" s="3"/>
      <x:c r="G6" s="3"/>
      <x:c r="H6" s="3"/>
    </x:row>
    <x:row r="7" ht="34" customHeight="1">
      <x:c r="A7" s="5" t="str">
        <x:f>IF(ISERROR(B3),"Review input checks before using balances.",IF(OR(LEN(TRIM(SUBSTITUTE(CLEAN(B3),CHAR(160)," ")))=0,COUNTIF(H10:H39,"OK")+COUNTBLANK(H10:H39)&lt;&gt;30,COUNTIF('Entries'!H10:H209,"OK")+COUNTBLANK('Entries'!H10:H209)&lt;&gt;200),"Review input checks before using balances.","Ready — review the records before sharing or following up."))</x:f>
        <x:v>Ready — review the records before sharing or following up.</x:v>
      </x:c>
      <x:c r="B7" s="5"/>
      <x:c r="C7" s="5"/>
      <x:c r="D7" s="5"/>
      <x:c r="E7" s="5"/>
      <x:c r="F7" s="5"/>
      <x:c r="G7" s="5"/>
      <x:c r="H7" s="5"/>
    </x:row>
    <x:row r="8" ht="30" customHeight="1">
      <x:c r="A8" s="3" t="str">
        <x:v>Edit the input columns; shaded calculation columns update automatically.</x:v>
      </x:c>
      <x:c r="B8" s="3"/>
      <x:c r="C8" s="3"/>
      <x:c r="D8" s="3"/>
      <x:c r="E8" s="3"/>
      <x:c r="F8" s="3"/>
      <x:c r="G8" s="3"/>
      <x:c r="H8" s="3"/>
    </x:row>
    <x:row r="9" ht="42" customHeight="1">
      <x:c r="A9" s="8" t="str">
        <x:v>Account ID</x:v>
      </x:c>
      <x:c r="B9" s="8" t="str">
        <x:v>Payer / household</x:v>
      </x:c>
      <x:c r="C9" s="8" t="str">
        <x:v>Opening balance</x:v>
      </x:c>
      <x:c r="D9" s="8" t="str">
        <x:v>Charges</x:v>
      </x:c>
      <x:c r="E9" s="8" t="str">
        <x:v>Payments</x:v>
      </x:c>
      <x:c r="F9" s="8" t="str">
        <x:v>Remaining</x:v>
      </x:c>
      <x:c r="G9" s="8" t="str">
        <x:v>Status</x:v>
      </x:c>
      <x:c r="H9" s="8" t="str">
        <x:v>Check</x:v>
      </x:c>
    </x:row>
    <x:row r="10" ht="34" customHeight="1">
      <x:c r="A10" s="15" t="str">
        <x:v>A001</x:v>
      </x:c>
      <x:c r="B10" s="15"/>
      <x:c r="C10" s="16"/>
      <x:c r="D10" s="14" t="str">
        <x:f>IF(OR(IF(ISERROR(B10),TRUE,LEN(TRIM(SUBSTITUTE(CLEAN(B10),CHAR(160)," ")))=0),$A$7&lt;&gt;"Ready — review the records before sharing or following up."),"",SUMIFS('Entries'!$F$10:$F$209,'Entries'!$B$10:$B$209,$A10,'Entries'!$E$10:$E$209,"Charge",'Entries'!$H$10:$H$209,"OK"))</x:f>
      </x:c>
      <x:c r="E10" s="14" t="str">
        <x:f>IF(OR(IF(ISERROR(B10),TRUE,LEN(TRIM(SUBSTITUTE(CLEAN(B10),CHAR(160)," ")))=0),$A$7&lt;&gt;"Ready — review the records before sharing or following up."),"",SUMIFS('Entries'!$F$10:$F$209,'Entries'!$B$10:$B$209,$A10,'Entries'!$E$10:$E$209,"Payment",'Entries'!$H$10:$H$209,"OK"))</x:f>
      </x:c>
      <x:c r="F10" s="14" t="str">
        <x:f>IF(OR(IF(ISERROR(B10),TRUE,LEN(TRIM(SUBSTITUTE(CLEAN(B10),CHAR(160)," ")))=0),$A$7&lt;&gt;"Ready — review the records before sharing or following up."),"",ROUND(SUM(C10,D10)-E10,2))</x:f>
      </x:c>
      <x:c r="G10" s="10" t="str">
        <x:f>IF(AND(IF(ISERROR(B10),TRUE,LEN(TRIM(SUBSTITUTE(CLEAN(B10),CHAR(160)," ")))=0),H10=""),"",IF($A$7&lt;&gt;"Ready — review the records before sharing or following up.","Review inputs",IF(F10&gt;0,"Outstanding",IF(F10=0,"Settled","Review credit"))))</x:f>
      </x:c>
      <x:c r="H10" s="10" t="str">
        <x:f>IF(ISERROR(B10),"Check payer name",IF(LEN(TRIM(SUBSTITUTE(CLEAN(B10),CHAR(160)," ")))=0,IF(ISERROR(C10),"Check payer name",IF(C10="","",IF(ISNUMBER(C10),IF(C10=0,"","Check payer name"),"Check payer name"))),IF(ISERROR(A10),"Check account ID",IF(OR(NOT(EXACT(A10,UPPER(A10))),NOT(OR(A10="A001",A10="A002",A10="A003",A10="A004",A10="A005",A10="A006",A10="A007",A10="A008",A10="A009",A10="A010",A10="A011",A10="A012",A10="A013",A10="A014",A10="A015",A10="A016",A10="A017",A10="A018",A10="A019",A10="A020",A10="A021",A10="A022",A10="A023",A10="A024",A10="A025",A10="A026",A10="A027",A10="A028",A10="A029",A10="A030"))),"Check account ID",IF(COUNTIF($A$10:$A$39,A10)&lt;&gt;1,"Check duplicate ID",IF(ISERROR(C10),"Check opening balance",IF(C10="","OK",IF(NOT(ISNUMBER(C10)),"Check opening balance",IF(OR(C10&lt;0,ROUND(C10,2)&lt;&gt;C10),"Check opening balance","OK")))))))))</x:f>
      </x:c>
    </x:row>
    <x:row r="11" ht="34" customHeight="1">
      <x:c r="A11" s="17" t="str">
        <x:v>A002</x:v>
      </x:c>
      <x:c r="B11" s="17"/>
      <x:c r="C11" s="18"/>
      <x:c r="D11" s="14" t="str">
        <x:f>IF(OR(IF(ISERROR(B11),TRUE,LEN(TRIM(SUBSTITUTE(CLEAN(B11),CHAR(160)," ")))=0),$A$7&lt;&gt;"Ready — review the records before sharing or following up."),"",SUMIFS('Entries'!$F$10:$F$209,'Entries'!$B$10:$B$209,$A11,'Entries'!$E$10:$E$209,"Charge",'Entries'!$H$10:$H$209,"OK"))</x:f>
      </x:c>
      <x:c r="E11" s="14" t="str">
        <x:f>IF(OR(IF(ISERROR(B11),TRUE,LEN(TRIM(SUBSTITUTE(CLEAN(B11),CHAR(160)," ")))=0),$A$7&lt;&gt;"Ready — review the records before sharing or following up."),"",SUMIFS('Entries'!$F$10:$F$209,'Entries'!$B$10:$B$209,$A11,'Entries'!$E$10:$E$209,"Payment",'Entries'!$H$10:$H$209,"OK"))</x:f>
      </x:c>
      <x:c r="F11" s="14" t="str">
        <x:f>IF(OR(IF(ISERROR(B11),TRUE,LEN(TRIM(SUBSTITUTE(CLEAN(B11),CHAR(160)," ")))=0),$A$7&lt;&gt;"Ready — review the records before sharing or following up."),"",ROUND(SUM(C11,D11)-E11,2))</x:f>
      </x:c>
      <x:c r="G11" s="10" t="str">
        <x:f>IF(AND(IF(ISERROR(B11),TRUE,LEN(TRIM(SUBSTITUTE(CLEAN(B11),CHAR(160)," ")))=0),H11=""),"",IF($A$7&lt;&gt;"Ready — review the records before sharing or following up.","Review inputs",IF(F11&gt;0,"Outstanding",IF(F11=0,"Settled","Review credit"))))</x:f>
      </x:c>
      <x:c r="H11" s="10" t="str">
        <x:f>IF(ISERROR(B11),"Check payer name",IF(LEN(TRIM(SUBSTITUTE(CLEAN(B11),CHAR(160)," ")))=0,IF(ISERROR(C11),"Check payer name",IF(C11="","",IF(ISNUMBER(C11),IF(C11=0,"","Check payer name"),"Check payer name"))),IF(ISERROR(A11),"Check account ID",IF(OR(NOT(EXACT(A11,UPPER(A11))),NOT(OR(A11="A001",A11="A002",A11="A003",A11="A004",A11="A005",A11="A006",A11="A007",A11="A008",A11="A009",A11="A010",A11="A011",A11="A012",A11="A013",A11="A014",A11="A015",A11="A016",A11="A017",A11="A018",A11="A019",A11="A020",A11="A021",A11="A022",A11="A023",A11="A024",A11="A025",A11="A026",A11="A027",A11="A028",A11="A029",A11="A030"))),"Check account ID",IF(COUNTIF($A$10:$A$39,A11)&lt;&gt;1,"Check duplicate ID",IF(ISERROR(C11),"Check opening balance",IF(C11="","OK",IF(NOT(ISNUMBER(C11)),"Check opening balance",IF(OR(C11&lt;0,ROUND(C11,2)&lt;&gt;C11),"Check opening balance","OK")))))))))</x:f>
      </x:c>
    </x:row>
    <x:row r="12" ht="34" customHeight="1">
      <x:c r="A12" s="15" t="str">
        <x:v>A003</x:v>
      </x:c>
      <x:c r="B12" s="15"/>
      <x:c r="C12" s="16"/>
      <x:c r="D12" s="14" t="str">
        <x:f>IF(OR(IF(ISERROR(B12),TRUE,LEN(TRIM(SUBSTITUTE(CLEAN(B12),CHAR(160)," ")))=0),$A$7&lt;&gt;"Ready — review the records before sharing or following up."),"",SUMIFS('Entries'!$F$10:$F$209,'Entries'!$B$10:$B$209,$A12,'Entries'!$E$10:$E$209,"Charge",'Entries'!$H$10:$H$209,"OK"))</x:f>
      </x:c>
      <x:c r="E12" s="14" t="str">
        <x:f>IF(OR(IF(ISERROR(B12),TRUE,LEN(TRIM(SUBSTITUTE(CLEAN(B12),CHAR(160)," ")))=0),$A$7&lt;&gt;"Ready — review the records before sharing or following up."),"",SUMIFS('Entries'!$F$10:$F$209,'Entries'!$B$10:$B$209,$A12,'Entries'!$E$10:$E$209,"Payment",'Entries'!$H$10:$H$209,"OK"))</x:f>
      </x:c>
      <x:c r="F12" s="14" t="str">
        <x:f>IF(OR(IF(ISERROR(B12),TRUE,LEN(TRIM(SUBSTITUTE(CLEAN(B12),CHAR(160)," ")))=0),$A$7&lt;&gt;"Ready — review the records before sharing or following up."),"",ROUND(SUM(C12,D12)-E12,2))</x:f>
      </x:c>
      <x:c r="G12" s="10" t="str">
        <x:f>IF(AND(IF(ISERROR(B12),TRUE,LEN(TRIM(SUBSTITUTE(CLEAN(B12),CHAR(160)," ")))=0),H12=""),"",IF($A$7&lt;&gt;"Ready — review the records before sharing or following up.","Review inputs",IF(F12&gt;0,"Outstanding",IF(F12=0,"Settled","Review credit"))))</x:f>
      </x:c>
      <x:c r="H12" s="10" t="str">
        <x:f>IF(ISERROR(B12),"Check payer name",IF(LEN(TRIM(SUBSTITUTE(CLEAN(B12),CHAR(160)," ")))=0,IF(ISERROR(C12),"Check payer name",IF(C12="","",IF(ISNUMBER(C12),IF(C12=0,"","Check payer name"),"Check payer name"))),IF(ISERROR(A12),"Check account ID",IF(OR(NOT(EXACT(A12,UPPER(A12))),NOT(OR(A12="A001",A12="A002",A12="A003",A12="A004",A12="A005",A12="A006",A12="A007",A12="A008",A12="A009",A12="A010",A12="A011",A12="A012",A12="A013",A12="A014",A12="A015",A12="A016",A12="A017",A12="A018",A12="A019",A12="A020",A12="A021",A12="A022",A12="A023",A12="A024",A12="A025",A12="A026",A12="A027",A12="A028",A12="A029",A12="A030"))),"Check account ID",IF(COUNTIF($A$10:$A$39,A12)&lt;&gt;1,"Check duplicate ID",IF(ISERROR(C12),"Check opening balance",IF(C12="","OK",IF(NOT(ISNUMBER(C12)),"Check opening balance",IF(OR(C12&lt;0,ROUND(C12,2)&lt;&gt;C12),"Check opening balance","OK")))))))))</x:f>
      </x:c>
    </x:row>
    <x:row r="13" ht="34" customHeight="1">
      <x:c r="A13" s="17" t="str">
        <x:v>A004</x:v>
      </x:c>
      <x:c r="B13" s="17"/>
      <x:c r="C13" s="18"/>
      <x:c r="D13" s="14" t="str">
        <x:f>IF(OR(IF(ISERROR(B13),TRUE,LEN(TRIM(SUBSTITUTE(CLEAN(B13),CHAR(160)," ")))=0),$A$7&lt;&gt;"Ready — review the records before sharing or following up."),"",SUMIFS('Entries'!$F$10:$F$209,'Entries'!$B$10:$B$209,$A13,'Entries'!$E$10:$E$209,"Charge",'Entries'!$H$10:$H$209,"OK"))</x:f>
      </x:c>
      <x:c r="E13" s="14" t="str">
        <x:f>IF(OR(IF(ISERROR(B13),TRUE,LEN(TRIM(SUBSTITUTE(CLEAN(B13),CHAR(160)," ")))=0),$A$7&lt;&gt;"Ready — review the records before sharing or following up."),"",SUMIFS('Entries'!$F$10:$F$209,'Entries'!$B$10:$B$209,$A13,'Entries'!$E$10:$E$209,"Payment",'Entries'!$H$10:$H$209,"OK"))</x:f>
      </x:c>
      <x:c r="F13" s="14" t="str">
        <x:f>IF(OR(IF(ISERROR(B13),TRUE,LEN(TRIM(SUBSTITUTE(CLEAN(B13),CHAR(160)," ")))=0),$A$7&lt;&gt;"Ready — review the records before sharing or following up."),"",ROUND(SUM(C13,D13)-E13,2))</x:f>
      </x:c>
      <x:c r="G13" s="10" t="str">
        <x:f>IF(AND(IF(ISERROR(B13),TRUE,LEN(TRIM(SUBSTITUTE(CLEAN(B13),CHAR(160)," ")))=0),H13=""),"",IF($A$7&lt;&gt;"Ready — review the records before sharing or following up.","Review inputs",IF(F13&gt;0,"Outstanding",IF(F13=0,"Settled","Review credit"))))</x:f>
      </x:c>
      <x:c r="H13" s="10" t="str">
        <x:f>IF(ISERROR(B13),"Check payer name",IF(LEN(TRIM(SUBSTITUTE(CLEAN(B13),CHAR(160)," ")))=0,IF(ISERROR(C13),"Check payer name",IF(C13="","",IF(ISNUMBER(C13),IF(C13=0,"","Check payer name"),"Check payer name"))),IF(ISERROR(A13),"Check account ID",IF(OR(NOT(EXACT(A13,UPPER(A13))),NOT(OR(A13="A001",A13="A002",A13="A003",A13="A004",A13="A005",A13="A006",A13="A007",A13="A008",A13="A009",A13="A010",A13="A011",A13="A012",A13="A013",A13="A014",A13="A015",A13="A016",A13="A017",A13="A018",A13="A019",A13="A020",A13="A021",A13="A022",A13="A023",A13="A024",A13="A025",A13="A026",A13="A027",A13="A028",A13="A029",A13="A030"))),"Check account ID",IF(COUNTIF($A$10:$A$39,A13)&lt;&gt;1,"Check duplicate ID",IF(ISERROR(C13),"Check opening balance",IF(C13="","OK",IF(NOT(ISNUMBER(C13)),"Check opening balance",IF(OR(C13&lt;0,ROUND(C13,2)&lt;&gt;C13),"Check opening balance","OK")))))))))</x:f>
      </x:c>
    </x:row>
    <x:row r="14" ht="34" customHeight="1">
      <x:c r="A14" s="15" t="str">
        <x:v>A005</x:v>
      </x:c>
      <x:c r="B14" s="15"/>
      <x:c r="C14" s="16"/>
      <x:c r="D14" s="14" t="str">
        <x:f>IF(OR(IF(ISERROR(B14),TRUE,LEN(TRIM(SUBSTITUTE(CLEAN(B14),CHAR(160)," ")))=0),$A$7&lt;&gt;"Ready — review the records before sharing or following up."),"",SUMIFS('Entries'!$F$10:$F$209,'Entries'!$B$10:$B$209,$A14,'Entries'!$E$10:$E$209,"Charge",'Entries'!$H$10:$H$209,"OK"))</x:f>
      </x:c>
      <x:c r="E14" s="14" t="str">
        <x:f>IF(OR(IF(ISERROR(B14),TRUE,LEN(TRIM(SUBSTITUTE(CLEAN(B14),CHAR(160)," ")))=0),$A$7&lt;&gt;"Ready — review the records before sharing or following up."),"",SUMIFS('Entries'!$F$10:$F$209,'Entries'!$B$10:$B$209,$A14,'Entries'!$E$10:$E$209,"Payment",'Entries'!$H$10:$H$209,"OK"))</x:f>
      </x:c>
      <x:c r="F14" s="14" t="str">
        <x:f>IF(OR(IF(ISERROR(B14),TRUE,LEN(TRIM(SUBSTITUTE(CLEAN(B14),CHAR(160)," ")))=0),$A$7&lt;&gt;"Ready — review the records before sharing or following up."),"",ROUND(SUM(C14,D14)-E14,2))</x:f>
      </x:c>
      <x:c r="G14" s="10" t="str">
        <x:f>IF(AND(IF(ISERROR(B14),TRUE,LEN(TRIM(SUBSTITUTE(CLEAN(B14),CHAR(160)," ")))=0),H14=""),"",IF($A$7&lt;&gt;"Ready — review the records before sharing or following up.","Review inputs",IF(F14&gt;0,"Outstanding",IF(F14=0,"Settled","Review credit"))))</x:f>
      </x:c>
      <x:c r="H14" s="10" t="str">
        <x:f>IF(ISERROR(B14),"Check payer name",IF(LEN(TRIM(SUBSTITUTE(CLEAN(B14),CHAR(160)," ")))=0,IF(ISERROR(C14),"Check payer name",IF(C14="","",IF(ISNUMBER(C14),IF(C14=0,"","Check payer name"),"Check payer name"))),IF(ISERROR(A14),"Check account ID",IF(OR(NOT(EXACT(A14,UPPER(A14))),NOT(OR(A14="A001",A14="A002",A14="A003",A14="A004",A14="A005",A14="A006",A14="A007",A14="A008",A14="A009",A14="A010",A14="A011",A14="A012",A14="A013",A14="A014",A14="A015",A14="A016",A14="A017",A14="A018",A14="A019",A14="A020",A14="A021",A14="A022",A14="A023",A14="A024",A14="A025",A14="A026",A14="A027",A14="A028",A14="A029",A14="A030"))),"Check account ID",IF(COUNTIF($A$10:$A$39,A14)&lt;&gt;1,"Check duplicate ID",IF(ISERROR(C14),"Check opening balance",IF(C14="","OK",IF(NOT(ISNUMBER(C14)),"Check opening balance",IF(OR(C14&lt;0,ROUND(C14,2)&lt;&gt;C14),"Check opening balance","OK")))))))))</x:f>
      </x:c>
    </x:row>
    <x:row r="15" ht="34" customHeight="1">
      <x:c r="A15" s="17" t="str">
        <x:v>A006</x:v>
      </x:c>
      <x:c r="B15" s="17"/>
      <x:c r="C15" s="18"/>
      <x:c r="D15" s="14" t="str">
        <x:f>IF(OR(IF(ISERROR(B15),TRUE,LEN(TRIM(SUBSTITUTE(CLEAN(B15),CHAR(160)," ")))=0),$A$7&lt;&gt;"Ready — review the records before sharing or following up."),"",SUMIFS('Entries'!$F$10:$F$209,'Entries'!$B$10:$B$209,$A15,'Entries'!$E$10:$E$209,"Charge",'Entries'!$H$10:$H$209,"OK"))</x:f>
      </x:c>
      <x:c r="E15" s="14" t="str">
        <x:f>IF(OR(IF(ISERROR(B15),TRUE,LEN(TRIM(SUBSTITUTE(CLEAN(B15),CHAR(160)," ")))=0),$A$7&lt;&gt;"Ready — review the records before sharing or following up."),"",SUMIFS('Entries'!$F$10:$F$209,'Entries'!$B$10:$B$209,$A15,'Entries'!$E$10:$E$209,"Payment",'Entries'!$H$10:$H$209,"OK"))</x:f>
      </x:c>
      <x:c r="F15" s="14" t="str">
        <x:f>IF(OR(IF(ISERROR(B15),TRUE,LEN(TRIM(SUBSTITUTE(CLEAN(B15),CHAR(160)," ")))=0),$A$7&lt;&gt;"Ready — review the records before sharing or following up."),"",ROUND(SUM(C15,D15)-E15,2))</x:f>
      </x:c>
      <x:c r="G15" s="10" t="str">
        <x:f>IF(AND(IF(ISERROR(B15),TRUE,LEN(TRIM(SUBSTITUTE(CLEAN(B15),CHAR(160)," ")))=0),H15=""),"",IF($A$7&lt;&gt;"Ready — review the records before sharing or following up.","Review inputs",IF(F15&gt;0,"Outstanding",IF(F15=0,"Settled","Review credit"))))</x:f>
      </x:c>
      <x:c r="H15" s="10" t="str">
        <x:f>IF(ISERROR(B15),"Check payer name",IF(LEN(TRIM(SUBSTITUTE(CLEAN(B15),CHAR(160)," ")))=0,IF(ISERROR(C15),"Check payer name",IF(C15="","",IF(ISNUMBER(C15),IF(C15=0,"","Check payer name"),"Check payer name"))),IF(ISERROR(A15),"Check account ID",IF(OR(NOT(EXACT(A15,UPPER(A15))),NOT(OR(A15="A001",A15="A002",A15="A003",A15="A004",A15="A005",A15="A006",A15="A007",A15="A008",A15="A009",A15="A010",A15="A011",A15="A012",A15="A013",A15="A014",A15="A015",A15="A016",A15="A017",A15="A018",A15="A019",A15="A020",A15="A021",A15="A022",A15="A023",A15="A024",A15="A025",A15="A026",A15="A027",A15="A028",A15="A029",A15="A030"))),"Check account ID",IF(COUNTIF($A$10:$A$39,A15)&lt;&gt;1,"Check duplicate ID",IF(ISERROR(C15),"Check opening balance",IF(C15="","OK",IF(NOT(ISNUMBER(C15)),"Check opening balance",IF(OR(C15&lt;0,ROUND(C15,2)&lt;&gt;C15),"Check opening balance","OK")))))))))</x:f>
      </x:c>
    </x:row>
    <x:row r="16" ht="34" customHeight="1">
      <x:c r="A16" s="15" t="str">
        <x:v>A007</x:v>
      </x:c>
      <x:c r="B16" s="15"/>
      <x:c r="C16" s="16"/>
      <x:c r="D16" s="14" t="str">
        <x:f>IF(OR(IF(ISERROR(B16),TRUE,LEN(TRIM(SUBSTITUTE(CLEAN(B16),CHAR(160)," ")))=0),$A$7&lt;&gt;"Ready — review the records before sharing or following up."),"",SUMIFS('Entries'!$F$10:$F$209,'Entries'!$B$10:$B$209,$A16,'Entries'!$E$10:$E$209,"Charge",'Entries'!$H$10:$H$209,"OK"))</x:f>
      </x:c>
      <x:c r="E16" s="14" t="str">
        <x:f>IF(OR(IF(ISERROR(B16),TRUE,LEN(TRIM(SUBSTITUTE(CLEAN(B16),CHAR(160)," ")))=0),$A$7&lt;&gt;"Ready — review the records before sharing or following up."),"",SUMIFS('Entries'!$F$10:$F$209,'Entries'!$B$10:$B$209,$A16,'Entries'!$E$10:$E$209,"Payment",'Entries'!$H$10:$H$209,"OK"))</x:f>
      </x:c>
      <x:c r="F16" s="14" t="str">
        <x:f>IF(OR(IF(ISERROR(B16),TRUE,LEN(TRIM(SUBSTITUTE(CLEAN(B16),CHAR(160)," ")))=0),$A$7&lt;&gt;"Ready — review the records before sharing or following up."),"",ROUND(SUM(C16,D16)-E16,2))</x:f>
      </x:c>
      <x:c r="G16" s="10" t="str">
        <x:f>IF(AND(IF(ISERROR(B16),TRUE,LEN(TRIM(SUBSTITUTE(CLEAN(B16),CHAR(160)," ")))=0),H16=""),"",IF($A$7&lt;&gt;"Ready — review the records before sharing or following up.","Review inputs",IF(F16&gt;0,"Outstanding",IF(F16=0,"Settled","Review credit"))))</x:f>
      </x:c>
      <x:c r="H16" s="10" t="str">
        <x:f>IF(ISERROR(B16),"Check payer name",IF(LEN(TRIM(SUBSTITUTE(CLEAN(B16),CHAR(160)," ")))=0,IF(ISERROR(C16),"Check payer name",IF(C16="","",IF(ISNUMBER(C16),IF(C16=0,"","Check payer name"),"Check payer name"))),IF(ISERROR(A16),"Check account ID",IF(OR(NOT(EXACT(A16,UPPER(A16))),NOT(OR(A16="A001",A16="A002",A16="A003",A16="A004",A16="A005",A16="A006",A16="A007",A16="A008",A16="A009",A16="A010",A16="A011",A16="A012",A16="A013",A16="A014",A16="A015",A16="A016",A16="A017",A16="A018",A16="A019",A16="A020",A16="A021",A16="A022",A16="A023",A16="A024",A16="A025",A16="A026",A16="A027",A16="A028",A16="A029",A16="A030"))),"Check account ID",IF(COUNTIF($A$10:$A$39,A16)&lt;&gt;1,"Check duplicate ID",IF(ISERROR(C16),"Check opening balance",IF(C16="","OK",IF(NOT(ISNUMBER(C16)),"Check opening balance",IF(OR(C16&lt;0,ROUND(C16,2)&lt;&gt;C16),"Check opening balance","OK")))))))))</x:f>
      </x:c>
    </x:row>
    <x:row r="17" ht="34" customHeight="1">
      <x:c r="A17" s="17" t="str">
        <x:v>A008</x:v>
      </x:c>
      <x:c r="B17" s="17"/>
      <x:c r="C17" s="18"/>
      <x:c r="D17" s="14" t="str">
        <x:f>IF(OR(IF(ISERROR(B17),TRUE,LEN(TRIM(SUBSTITUTE(CLEAN(B17),CHAR(160)," ")))=0),$A$7&lt;&gt;"Ready — review the records before sharing or following up."),"",SUMIFS('Entries'!$F$10:$F$209,'Entries'!$B$10:$B$209,$A17,'Entries'!$E$10:$E$209,"Charge",'Entries'!$H$10:$H$209,"OK"))</x:f>
      </x:c>
      <x:c r="E17" s="14" t="str">
        <x:f>IF(OR(IF(ISERROR(B17),TRUE,LEN(TRIM(SUBSTITUTE(CLEAN(B17),CHAR(160)," ")))=0),$A$7&lt;&gt;"Ready — review the records before sharing or following up."),"",SUMIFS('Entries'!$F$10:$F$209,'Entries'!$B$10:$B$209,$A17,'Entries'!$E$10:$E$209,"Payment",'Entries'!$H$10:$H$209,"OK"))</x:f>
      </x:c>
      <x:c r="F17" s="14" t="str">
        <x:f>IF(OR(IF(ISERROR(B17),TRUE,LEN(TRIM(SUBSTITUTE(CLEAN(B17),CHAR(160)," ")))=0),$A$7&lt;&gt;"Ready — review the records before sharing or following up."),"",ROUND(SUM(C17,D17)-E17,2))</x:f>
      </x:c>
      <x:c r="G17" s="10" t="str">
        <x:f>IF(AND(IF(ISERROR(B17),TRUE,LEN(TRIM(SUBSTITUTE(CLEAN(B17),CHAR(160)," ")))=0),H17=""),"",IF($A$7&lt;&gt;"Ready — review the records before sharing or following up.","Review inputs",IF(F17&gt;0,"Outstanding",IF(F17=0,"Settled","Review credit"))))</x:f>
      </x:c>
      <x:c r="H17" s="10" t="str">
        <x:f>IF(ISERROR(B17),"Check payer name",IF(LEN(TRIM(SUBSTITUTE(CLEAN(B17),CHAR(160)," ")))=0,IF(ISERROR(C17),"Check payer name",IF(C17="","",IF(ISNUMBER(C17),IF(C17=0,"","Check payer name"),"Check payer name"))),IF(ISERROR(A17),"Check account ID",IF(OR(NOT(EXACT(A17,UPPER(A17))),NOT(OR(A17="A001",A17="A002",A17="A003",A17="A004",A17="A005",A17="A006",A17="A007",A17="A008",A17="A009",A17="A010",A17="A011",A17="A012",A17="A013",A17="A014",A17="A015",A17="A016",A17="A017",A17="A018",A17="A019",A17="A020",A17="A021",A17="A022",A17="A023",A17="A024",A17="A025",A17="A026",A17="A027",A17="A028",A17="A029",A17="A030"))),"Check account ID",IF(COUNTIF($A$10:$A$39,A17)&lt;&gt;1,"Check duplicate ID",IF(ISERROR(C17),"Check opening balance",IF(C17="","OK",IF(NOT(ISNUMBER(C17)),"Check opening balance",IF(OR(C17&lt;0,ROUND(C17,2)&lt;&gt;C17),"Check opening balance","OK")))))))))</x:f>
      </x:c>
    </x:row>
    <x:row r="18" ht="34" customHeight="1">
      <x:c r="A18" s="15" t="str">
        <x:v>A009</x:v>
      </x:c>
      <x:c r="B18" s="15"/>
      <x:c r="C18" s="16"/>
      <x:c r="D18" s="14" t="str">
        <x:f>IF(OR(IF(ISERROR(B18),TRUE,LEN(TRIM(SUBSTITUTE(CLEAN(B18),CHAR(160)," ")))=0),$A$7&lt;&gt;"Ready — review the records before sharing or following up."),"",SUMIFS('Entries'!$F$10:$F$209,'Entries'!$B$10:$B$209,$A18,'Entries'!$E$10:$E$209,"Charge",'Entries'!$H$10:$H$209,"OK"))</x:f>
      </x:c>
      <x:c r="E18" s="14" t="str">
        <x:f>IF(OR(IF(ISERROR(B18),TRUE,LEN(TRIM(SUBSTITUTE(CLEAN(B18),CHAR(160)," ")))=0),$A$7&lt;&gt;"Ready — review the records before sharing or following up."),"",SUMIFS('Entries'!$F$10:$F$209,'Entries'!$B$10:$B$209,$A18,'Entries'!$E$10:$E$209,"Payment",'Entries'!$H$10:$H$209,"OK"))</x:f>
      </x:c>
      <x:c r="F18" s="14" t="str">
        <x:f>IF(OR(IF(ISERROR(B18),TRUE,LEN(TRIM(SUBSTITUTE(CLEAN(B18),CHAR(160)," ")))=0),$A$7&lt;&gt;"Ready — review the records before sharing or following up."),"",ROUND(SUM(C18,D18)-E18,2))</x:f>
      </x:c>
      <x:c r="G18" s="10" t="str">
        <x:f>IF(AND(IF(ISERROR(B18),TRUE,LEN(TRIM(SUBSTITUTE(CLEAN(B18),CHAR(160)," ")))=0),H18=""),"",IF($A$7&lt;&gt;"Ready — review the records before sharing or following up.","Review inputs",IF(F18&gt;0,"Outstanding",IF(F18=0,"Settled","Review credit"))))</x:f>
      </x:c>
      <x:c r="H18" s="10" t="str">
        <x:f>IF(ISERROR(B18),"Check payer name",IF(LEN(TRIM(SUBSTITUTE(CLEAN(B18),CHAR(160)," ")))=0,IF(ISERROR(C18),"Check payer name",IF(C18="","",IF(ISNUMBER(C18),IF(C18=0,"","Check payer name"),"Check payer name"))),IF(ISERROR(A18),"Check account ID",IF(OR(NOT(EXACT(A18,UPPER(A18))),NOT(OR(A18="A001",A18="A002",A18="A003",A18="A004",A18="A005",A18="A006",A18="A007",A18="A008",A18="A009",A18="A010",A18="A011",A18="A012",A18="A013",A18="A014",A18="A015",A18="A016",A18="A017",A18="A018",A18="A019",A18="A020",A18="A021",A18="A022",A18="A023",A18="A024",A18="A025",A18="A026",A18="A027",A18="A028",A18="A029",A18="A030"))),"Check account ID",IF(COUNTIF($A$10:$A$39,A18)&lt;&gt;1,"Check duplicate ID",IF(ISERROR(C18),"Check opening balance",IF(C18="","OK",IF(NOT(ISNUMBER(C18)),"Check opening balance",IF(OR(C18&lt;0,ROUND(C18,2)&lt;&gt;C18),"Check opening balance","OK")))))))))</x:f>
      </x:c>
    </x:row>
    <x:row r="19" ht="34" customHeight="1">
      <x:c r="A19" s="17" t="str">
        <x:v>A010</x:v>
      </x:c>
      <x:c r="B19" s="17"/>
      <x:c r="C19" s="18"/>
      <x:c r="D19" s="14" t="str">
        <x:f>IF(OR(IF(ISERROR(B19),TRUE,LEN(TRIM(SUBSTITUTE(CLEAN(B19),CHAR(160)," ")))=0),$A$7&lt;&gt;"Ready — review the records before sharing or following up."),"",SUMIFS('Entries'!$F$10:$F$209,'Entries'!$B$10:$B$209,$A19,'Entries'!$E$10:$E$209,"Charge",'Entries'!$H$10:$H$209,"OK"))</x:f>
      </x:c>
      <x:c r="E19" s="14" t="str">
        <x:f>IF(OR(IF(ISERROR(B19),TRUE,LEN(TRIM(SUBSTITUTE(CLEAN(B19),CHAR(160)," ")))=0),$A$7&lt;&gt;"Ready — review the records before sharing or following up."),"",SUMIFS('Entries'!$F$10:$F$209,'Entries'!$B$10:$B$209,$A19,'Entries'!$E$10:$E$209,"Payment",'Entries'!$H$10:$H$209,"OK"))</x:f>
      </x:c>
      <x:c r="F19" s="14" t="str">
        <x:f>IF(OR(IF(ISERROR(B19),TRUE,LEN(TRIM(SUBSTITUTE(CLEAN(B19),CHAR(160)," ")))=0),$A$7&lt;&gt;"Ready — review the records before sharing or following up."),"",ROUND(SUM(C19,D19)-E19,2))</x:f>
      </x:c>
      <x:c r="G19" s="10" t="str">
        <x:f>IF(AND(IF(ISERROR(B19),TRUE,LEN(TRIM(SUBSTITUTE(CLEAN(B19),CHAR(160)," ")))=0),H19=""),"",IF($A$7&lt;&gt;"Ready — review the records before sharing or following up.","Review inputs",IF(F19&gt;0,"Outstanding",IF(F19=0,"Settled","Review credit"))))</x:f>
      </x:c>
      <x:c r="H19" s="10" t="str">
        <x:f>IF(ISERROR(B19),"Check payer name",IF(LEN(TRIM(SUBSTITUTE(CLEAN(B19),CHAR(160)," ")))=0,IF(ISERROR(C19),"Check payer name",IF(C19="","",IF(ISNUMBER(C19),IF(C19=0,"","Check payer name"),"Check payer name"))),IF(ISERROR(A19),"Check account ID",IF(OR(NOT(EXACT(A19,UPPER(A19))),NOT(OR(A19="A001",A19="A002",A19="A003",A19="A004",A19="A005",A19="A006",A19="A007",A19="A008",A19="A009",A19="A010",A19="A011",A19="A012",A19="A013",A19="A014",A19="A015",A19="A016",A19="A017",A19="A018",A19="A019",A19="A020",A19="A021",A19="A022",A19="A023",A19="A024",A19="A025",A19="A026",A19="A027",A19="A028",A19="A029",A19="A030"))),"Check account ID",IF(COUNTIF($A$10:$A$39,A19)&lt;&gt;1,"Check duplicate ID",IF(ISERROR(C19),"Check opening balance",IF(C19="","OK",IF(NOT(ISNUMBER(C19)),"Check opening balance",IF(OR(C19&lt;0,ROUND(C19,2)&lt;&gt;C19),"Check opening balance","OK")))))))))</x:f>
      </x:c>
    </x:row>
    <x:row r="20" ht="34" customHeight="1">
      <x:c r="A20" s="15" t="str">
        <x:v>A011</x:v>
      </x:c>
      <x:c r="B20" s="15"/>
      <x:c r="C20" s="16"/>
      <x:c r="D20" s="14" t="str">
        <x:f>IF(OR(IF(ISERROR(B20),TRUE,LEN(TRIM(SUBSTITUTE(CLEAN(B20),CHAR(160)," ")))=0),$A$7&lt;&gt;"Ready — review the records before sharing or following up."),"",SUMIFS('Entries'!$F$10:$F$209,'Entries'!$B$10:$B$209,$A20,'Entries'!$E$10:$E$209,"Charge",'Entries'!$H$10:$H$209,"OK"))</x:f>
      </x:c>
      <x:c r="E20" s="14" t="str">
        <x:f>IF(OR(IF(ISERROR(B20),TRUE,LEN(TRIM(SUBSTITUTE(CLEAN(B20),CHAR(160)," ")))=0),$A$7&lt;&gt;"Ready — review the records before sharing or following up."),"",SUMIFS('Entries'!$F$10:$F$209,'Entries'!$B$10:$B$209,$A20,'Entries'!$E$10:$E$209,"Payment",'Entries'!$H$10:$H$209,"OK"))</x:f>
      </x:c>
      <x:c r="F20" s="14" t="str">
        <x:f>IF(OR(IF(ISERROR(B20),TRUE,LEN(TRIM(SUBSTITUTE(CLEAN(B20),CHAR(160)," ")))=0),$A$7&lt;&gt;"Ready — review the records before sharing or following up."),"",ROUND(SUM(C20,D20)-E20,2))</x:f>
      </x:c>
      <x:c r="G20" s="10" t="str">
        <x:f>IF(AND(IF(ISERROR(B20),TRUE,LEN(TRIM(SUBSTITUTE(CLEAN(B20),CHAR(160)," ")))=0),H20=""),"",IF($A$7&lt;&gt;"Ready — review the records before sharing or following up.","Review inputs",IF(F20&gt;0,"Outstanding",IF(F20=0,"Settled","Review credit"))))</x:f>
      </x:c>
      <x:c r="H20" s="10" t="str">
        <x:f>IF(ISERROR(B20),"Check payer name",IF(LEN(TRIM(SUBSTITUTE(CLEAN(B20),CHAR(160)," ")))=0,IF(ISERROR(C20),"Check payer name",IF(C20="","",IF(ISNUMBER(C20),IF(C20=0,"","Check payer name"),"Check payer name"))),IF(ISERROR(A20),"Check account ID",IF(OR(NOT(EXACT(A20,UPPER(A20))),NOT(OR(A20="A001",A20="A002",A20="A003",A20="A004",A20="A005",A20="A006",A20="A007",A20="A008",A20="A009",A20="A010",A20="A011",A20="A012",A20="A013",A20="A014",A20="A015",A20="A016",A20="A017",A20="A018",A20="A019",A20="A020",A20="A021",A20="A022",A20="A023",A20="A024",A20="A025",A20="A026",A20="A027",A20="A028",A20="A029",A20="A030"))),"Check account ID",IF(COUNTIF($A$10:$A$39,A20)&lt;&gt;1,"Check duplicate ID",IF(ISERROR(C20),"Check opening balance",IF(C20="","OK",IF(NOT(ISNUMBER(C20)),"Check opening balance",IF(OR(C20&lt;0,ROUND(C20,2)&lt;&gt;C20),"Check opening balance","OK")))))))))</x:f>
      </x:c>
    </x:row>
    <x:row r="21" ht="34" customHeight="1">
      <x:c r="A21" s="17" t="str">
        <x:v>A012</x:v>
      </x:c>
      <x:c r="B21" s="17"/>
      <x:c r="C21" s="18"/>
      <x:c r="D21" s="14" t="str">
        <x:f>IF(OR(IF(ISERROR(B21),TRUE,LEN(TRIM(SUBSTITUTE(CLEAN(B21),CHAR(160)," ")))=0),$A$7&lt;&gt;"Ready — review the records before sharing or following up."),"",SUMIFS('Entries'!$F$10:$F$209,'Entries'!$B$10:$B$209,$A21,'Entries'!$E$10:$E$209,"Charge",'Entries'!$H$10:$H$209,"OK"))</x:f>
      </x:c>
      <x:c r="E21" s="14" t="str">
        <x:f>IF(OR(IF(ISERROR(B21),TRUE,LEN(TRIM(SUBSTITUTE(CLEAN(B21),CHAR(160)," ")))=0),$A$7&lt;&gt;"Ready — review the records before sharing or following up."),"",SUMIFS('Entries'!$F$10:$F$209,'Entries'!$B$10:$B$209,$A21,'Entries'!$E$10:$E$209,"Payment",'Entries'!$H$10:$H$209,"OK"))</x:f>
      </x:c>
      <x:c r="F21" s="14" t="str">
        <x:f>IF(OR(IF(ISERROR(B21),TRUE,LEN(TRIM(SUBSTITUTE(CLEAN(B21),CHAR(160)," ")))=0),$A$7&lt;&gt;"Ready — review the records before sharing or following up."),"",ROUND(SUM(C21,D21)-E21,2))</x:f>
      </x:c>
      <x:c r="G21" s="10" t="str">
        <x:f>IF(AND(IF(ISERROR(B21),TRUE,LEN(TRIM(SUBSTITUTE(CLEAN(B21),CHAR(160)," ")))=0),H21=""),"",IF($A$7&lt;&gt;"Ready — review the records before sharing or following up.","Review inputs",IF(F21&gt;0,"Outstanding",IF(F21=0,"Settled","Review credit"))))</x:f>
      </x:c>
      <x:c r="H21" s="10" t="str">
        <x:f>IF(ISERROR(B21),"Check payer name",IF(LEN(TRIM(SUBSTITUTE(CLEAN(B21),CHAR(160)," ")))=0,IF(ISERROR(C21),"Check payer name",IF(C21="","",IF(ISNUMBER(C21),IF(C21=0,"","Check payer name"),"Check payer name"))),IF(ISERROR(A21),"Check account ID",IF(OR(NOT(EXACT(A21,UPPER(A21))),NOT(OR(A21="A001",A21="A002",A21="A003",A21="A004",A21="A005",A21="A006",A21="A007",A21="A008",A21="A009",A21="A010",A21="A011",A21="A012",A21="A013",A21="A014",A21="A015",A21="A016",A21="A017",A21="A018",A21="A019",A21="A020",A21="A021",A21="A022",A21="A023",A21="A024",A21="A025",A21="A026",A21="A027",A21="A028",A21="A029",A21="A030"))),"Check account ID",IF(COUNTIF($A$10:$A$39,A21)&lt;&gt;1,"Check duplicate ID",IF(ISERROR(C21),"Check opening balance",IF(C21="","OK",IF(NOT(ISNUMBER(C21)),"Check opening balance",IF(OR(C21&lt;0,ROUND(C21,2)&lt;&gt;C21),"Check opening balance","OK")))))))))</x:f>
      </x:c>
    </x:row>
    <x:row r="22" ht="34" customHeight="1">
      <x:c r="A22" s="15" t="str">
        <x:v>A013</x:v>
      </x:c>
      <x:c r="B22" s="15"/>
      <x:c r="C22" s="16"/>
      <x:c r="D22" s="14" t="str">
        <x:f>IF(OR(IF(ISERROR(B22),TRUE,LEN(TRIM(SUBSTITUTE(CLEAN(B22),CHAR(160)," ")))=0),$A$7&lt;&gt;"Ready — review the records before sharing or following up."),"",SUMIFS('Entries'!$F$10:$F$209,'Entries'!$B$10:$B$209,$A22,'Entries'!$E$10:$E$209,"Charge",'Entries'!$H$10:$H$209,"OK"))</x:f>
      </x:c>
      <x:c r="E22" s="14" t="str">
        <x:f>IF(OR(IF(ISERROR(B22),TRUE,LEN(TRIM(SUBSTITUTE(CLEAN(B22),CHAR(160)," ")))=0),$A$7&lt;&gt;"Ready — review the records before sharing or following up."),"",SUMIFS('Entries'!$F$10:$F$209,'Entries'!$B$10:$B$209,$A22,'Entries'!$E$10:$E$209,"Payment",'Entries'!$H$10:$H$209,"OK"))</x:f>
      </x:c>
      <x:c r="F22" s="14" t="str">
        <x:f>IF(OR(IF(ISERROR(B22),TRUE,LEN(TRIM(SUBSTITUTE(CLEAN(B22),CHAR(160)," ")))=0),$A$7&lt;&gt;"Ready — review the records before sharing or following up."),"",ROUND(SUM(C22,D22)-E22,2))</x:f>
      </x:c>
      <x:c r="G22" s="10" t="str">
        <x:f>IF(AND(IF(ISERROR(B22),TRUE,LEN(TRIM(SUBSTITUTE(CLEAN(B22),CHAR(160)," ")))=0),H22=""),"",IF($A$7&lt;&gt;"Ready — review the records before sharing or following up.","Review inputs",IF(F22&gt;0,"Outstanding",IF(F22=0,"Settled","Review credit"))))</x:f>
      </x:c>
      <x:c r="H22" s="10" t="str">
        <x:f>IF(ISERROR(B22),"Check payer name",IF(LEN(TRIM(SUBSTITUTE(CLEAN(B22),CHAR(160)," ")))=0,IF(ISERROR(C22),"Check payer name",IF(C22="","",IF(ISNUMBER(C22),IF(C22=0,"","Check payer name"),"Check payer name"))),IF(ISERROR(A22),"Check account ID",IF(OR(NOT(EXACT(A22,UPPER(A22))),NOT(OR(A22="A001",A22="A002",A22="A003",A22="A004",A22="A005",A22="A006",A22="A007",A22="A008",A22="A009",A22="A010",A22="A011",A22="A012",A22="A013",A22="A014",A22="A015",A22="A016",A22="A017",A22="A018",A22="A019",A22="A020",A22="A021",A22="A022",A22="A023",A22="A024",A22="A025",A22="A026",A22="A027",A22="A028",A22="A029",A22="A030"))),"Check account ID",IF(COUNTIF($A$10:$A$39,A22)&lt;&gt;1,"Check duplicate ID",IF(ISERROR(C22),"Check opening balance",IF(C22="","OK",IF(NOT(ISNUMBER(C22)),"Check opening balance",IF(OR(C22&lt;0,ROUND(C22,2)&lt;&gt;C22),"Check opening balance","OK")))))))))</x:f>
      </x:c>
    </x:row>
    <x:row r="23" ht="34" customHeight="1">
      <x:c r="A23" s="17" t="str">
        <x:v>A014</x:v>
      </x:c>
      <x:c r="B23" s="17"/>
      <x:c r="C23" s="18"/>
      <x:c r="D23" s="14" t="str">
        <x:f>IF(OR(IF(ISERROR(B23),TRUE,LEN(TRIM(SUBSTITUTE(CLEAN(B23),CHAR(160)," ")))=0),$A$7&lt;&gt;"Ready — review the records before sharing or following up."),"",SUMIFS('Entries'!$F$10:$F$209,'Entries'!$B$10:$B$209,$A23,'Entries'!$E$10:$E$209,"Charge",'Entries'!$H$10:$H$209,"OK"))</x:f>
      </x:c>
      <x:c r="E23" s="14" t="str">
        <x:f>IF(OR(IF(ISERROR(B23),TRUE,LEN(TRIM(SUBSTITUTE(CLEAN(B23),CHAR(160)," ")))=0),$A$7&lt;&gt;"Ready — review the records before sharing or following up."),"",SUMIFS('Entries'!$F$10:$F$209,'Entries'!$B$10:$B$209,$A23,'Entries'!$E$10:$E$209,"Payment",'Entries'!$H$10:$H$209,"OK"))</x:f>
      </x:c>
      <x:c r="F23" s="14" t="str">
        <x:f>IF(OR(IF(ISERROR(B23),TRUE,LEN(TRIM(SUBSTITUTE(CLEAN(B23),CHAR(160)," ")))=0),$A$7&lt;&gt;"Ready — review the records before sharing or following up."),"",ROUND(SUM(C23,D23)-E23,2))</x:f>
      </x:c>
      <x:c r="G23" s="10" t="str">
        <x:f>IF(AND(IF(ISERROR(B23),TRUE,LEN(TRIM(SUBSTITUTE(CLEAN(B23),CHAR(160)," ")))=0),H23=""),"",IF($A$7&lt;&gt;"Ready — review the records before sharing or following up.","Review inputs",IF(F23&gt;0,"Outstanding",IF(F23=0,"Settled","Review credit"))))</x:f>
      </x:c>
      <x:c r="H23" s="10" t="str">
        <x:f>IF(ISERROR(B23),"Check payer name",IF(LEN(TRIM(SUBSTITUTE(CLEAN(B23),CHAR(160)," ")))=0,IF(ISERROR(C23),"Check payer name",IF(C23="","",IF(ISNUMBER(C23),IF(C23=0,"","Check payer name"),"Check payer name"))),IF(ISERROR(A23),"Check account ID",IF(OR(NOT(EXACT(A23,UPPER(A23))),NOT(OR(A23="A001",A23="A002",A23="A003",A23="A004",A23="A005",A23="A006",A23="A007",A23="A008",A23="A009",A23="A010",A23="A011",A23="A012",A23="A013",A23="A014",A23="A015",A23="A016",A23="A017",A23="A018",A23="A019",A23="A020",A23="A021",A23="A022",A23="A023",A23="A024",A23="A025",A23="A026",A23="A027",A23="A028",A23="A029",A23="A030"))),"Check account ID",IF(COUNTIF($A$10:$A$39,A23)&lt;&gt;1,"Check duplicate ID",IF(ISERROR(C23),"Check opening balance",IF(C23="","OK",IF(NOT(ISNUMBER(C23)),"Check opening balance",IF(OR(C23&lt;0,ROUND(C23,2)&lt;&gt;C23),"Check opening balance","OK")))))))))</x:f>
      </x:c>
    </x:row>
    <x:row r="24" ht="34" customHeight="1">
      <x:c r="A24" s="15" t="str">
        <x:v>A015</x:v>
      </x:c>
      <x:c r="B24" s="15"/>
      <x:c r="C24" s="16"/>
      <x:c r="D24" s="14" t="str">
        <x:f>IF(OR(IF(ISERROR(B24),TRUE,LEN(TRIM(SUBSTITUTE(CLEAN(B24),CHAR(160)," ")))=0),$A$7&lt;&gt;"Ready — review the records before sharing or following up."),"",SUMIFS('Entries'!$F$10:$F$209,'Entries'!$B$10:$B$209,$A24,'Entries'!$E$10:$E$209,"Charge",'Entries'!$H$10:$H$209,"OK"))</x:f>
      </x:c>
      <x:c r="E24" s="14" t="str">
        <x:f>IF(OR(IF(ISERROR(B24),TRUE,LEN(TRIM(SUBSTITUTE(CLEAN(B24),CHAR(160)," ")))=0),$A$7&lt;&gt;"Ready — review the records before sharing or following up."),"",SUMIFS('Entries'!$F$10:$F$209,'Entries'!$B$10:$B$209,$A24,'Entries'!$E$10:$E$209,"Payment",'Entries'!$H$10:$H$209,"OK"))</x:f>
      </x:c>
      <x:c r="F24" s="14" t="str">
        <x:f>IF(OR(IF(ISERROR(B24),TRUE,LEN(TRIM(SUBSTITUTE(CLEAN(B24),CHAR(160)," ")))=0),$A$7&lt;&gt;"Ready — review the records before sharing or following up."),"",ROUND(SUM(C24,D24)-E24,2))</x:f>
      </x:c>
      <x:c r="G24" s="10" t="str">
        <x:f>IF(AND(IF(ISERROR(B24),TRUE,LEN(TRIM(SUBSTITUTE(CLEAN(B24),CHAR(160)," ")))=0),H24=""),"",IF($A$7&lt;&gt;"Ready — review the records before sharing or following up.","Review inputs",IF(F24&gt;0,"Outstanding",IF(F24=0,"Settled","Review credit"))))</x:f>
      </x:c>
      <x:c r="H24" s="10" t="str">
        <x:f>IF(ISERROR(B24),"Check payer name",IF(LEN(TRIM(SUBSTITUTE(CLEAN(B24),CHAR(160)," ")))=0,IF(ISERROR(C24),"Check payer name",IF(C24="","",IF(ISNUMBER(C24),IF(C24=0,"","Check payer name"),"Check payer name"))),IF(ISERROR(A24),"Check account ID",IF(OR(NOT(EXACT(A24,UPPER(A24))),NOT(OR(A24="A001",A24="A002",A24="A003",A24="A004",A24="A005",A24="A006",A24="A007",A24="A008",A24="A009",A24="A010",A24="A011",A24="A012",A24="A013",A24="A014",A24="A015",A24="A016",A24="A017",A24="A018",A24="A019",A24="A020",A24="A021",A24="A022",A24="A023",A24="A024",A24="A025",A24="A026",A24="A027",A24="A028",A24="A029",A24="A030"))),"Check account ID",IF(COUNTIF($A$10:$A$39,A24)&lt;&gt;1,"Check duplicate ID",IF(ISERROR(C24),"Check opening balance",IF(C24="","OK",IF(NOT(ISNUMBER(C24)),"Check opening balance",IF(OR(C24&lt;0,ROUND(C24,2)&lt;&gt;C24),"Check opening balance","OK")))))))))</x:f>
      </x:c>
    </x:row>
    <x:row r="25" ht="34" customHeight="1">
      <x:c r="A25" s="17" t="str">
        <x:v>A016</x:v>
      </x:c>
      <x:c r="B25" s="17"/>
      <x:c r="C25" s="18"/>
      <x:c r="D25" s="14" t="str">
        <x:f>IF(OR(IF(ISERROR(B25),TRUE,LEN(TRIM(SUBSTITUTE(CLEAN(B25),CHAR(160)," ")))=0),$A$7&lt;&gt;"Ready — review the records before sharing or following up."),"",SUMIFS('Entries'!$F$10:$F$209,'Entries'!$B$10:$B$209,$A25,'Entries'!$E$10:$E$209,"Charge",'Entries'!$H$10:$H$209,"OK"))</x:f>
      </x:c>
      <x:c r="E25" s="14" t="str">
        <x:f>IF(OR(IF(ISERROR(B25),TRUE,LEN(TRIM(SUBSTITUTE(CLEAN(B25),CHAR(160)," ")))=0),$A$7&lt;&gt;"Ready — review the records before sharing or following up."),"",SUMIFS('Entries'!$F$10:$F$209,'Entries'!$B$10:$B$209,$A25,'Entries'!$E$10:$E$209,"Payment",'Entries'!$H$10:$H$209,"OK"))</x:f>
      </x:c>
      <x:c r="F25" s="14" t="str">
        <x:f>IF(OR(IF(ISERROR(B25),TRUE,LEN(TRIM(SUBSTITUTE(CLEAN(B25),CHAR(160)," ")))=0),$A$7&lt;&gt;"Ready — review the records before sharing or following up."),"",ROUND(SUM(C25,D25)-E25,2))</x:f>
      </x:c>
      <x:c r="G25" s="10" t="str">
        <x:f>IF(AND(IF(ISERROR(B25),TRUE,LEN(TRIM(SUBSTITUTE(CLEAN(B25),CHAR(160)," ")))=0),H25=""),"",IF($A$7&lt;&gt;"Ready — review the records before sharing or following up.","Review inputs",IF(F25&gt;0,"Outstanding",IF(F25=0,"Settled","Review credit"))))</x:f>
      </x:c>
      <x:c r="H25" s="10" t="str">
        <x:f>IF(ISERROR(B25),"Check payer name",IF(LEN(TRIM(SUBSTITUTE(CLEAN(B25),CHAR(160)," ")))=0,IF(ISERROR(C25),"Check payer name",IF(C25="","",IF(ISNUMBER(C25),IF(C25=0,"","Check payer name"),"Check payer name"))),IF(ISERROR(A25),"Check account ID",IF(OR(NOT(EXACT(A25,UPPER(A25))),NOT(OR(A25="A001",A25="A002",A25="A003",A25="A004",A25="A005",A25="A006",A25="A007",A25="A008",A25="A009",A25="A010",A25="A011",A25="A012",A25="A013",A25="A014",A25="A015",A25="A016",A25="A017",A25="A018",A25="A019",A25="A020",A25="A021",A25="A022",A25="A023",A25="A024",A25="A025",A25="A026",A25="A027",A25="A028",A25="A029",A25="A030"))),"Check account ID",IF(COUNTIF($A$10:$A$39,A25)&lt;&gt;1,"Check duplicate ID",IF(ISERROR(C25),"Check opening balance",IF(C25="","OK",IF(NOT(ISNUMBER(C25)),"Check opening balance",IF(OR(C25&lt;0,ROUND(C25,2)&lt;&gt;C25),"Check opening balance","OK")))))))))</x:f>
      </x:c>
    </x:row>
    <x:row r="26" ht="34" customHeight="1">
      <x:c r="A26" s="15" t="str">
        <x:v>A017</x:v>
      </x:c>
      <x:c r="B26" s="15"/>
      <x:c r="C26" s="16"/>
      <x:c r="D26" s="14" t="str">
        <x:f>IF(OR(IF(ISERROR(B26),TRUE,LEN(TRIM(SUBSTITUTE(CLEAN(B26),CHAR(160)," ")))=0),$A$7&lt;&gt;"Ready — review the records before sharing or following up."),"",SUMIFS('Entries'!$F$10:$F$209,'Entries'!$B$10:$B$209,$A26,'Entries'!$E$10:$E$209,"Charge",'Entries'!$H$10:$H$209,"OK"))</x:f>
      </x:c>
      <x:c r="E26" s="14" t="str">
        <x:f>IF(OR(IF(ISERROR(B26),TRUE,LEN(TRIM(SUBSTITUTE(CLEAN(B26),CHAR(160)," ")))=0),$A$7&lt;&gt;"Ready — review the records before sharing or following up."),"",SUMIFS('Entries'!$F$10:$F$209,'Entries'!$B$10:$B$209,$A26,'Entries'!$E$10:$E$209,"Payment",'Entries'!$H$10:$H$209,"OK"))</x:f>
      </x:c>
      <x:c r="F26" s="14" t="str">
        <x:f>IF(OR(IF(ISERROR(B26),TRUE,LEN(TRIM(SUBSTITUTE(CLEAN(B26),CHAR(160)," ")))=0),$A$7&lt;&gt;"Ready — review the records before sharing or following up."),"",ROUND(SUM(C26,D26)-E26,2))</x:f>
      </x:c>
      <x:c r="G26" s="10" t="str">
        <x:f>IF(AND(IF(ISERROR(B26),TRUE,LEN(TRIM(SUBSTITUTE(CLEAN(B26),CHAR(160)," ")))=0),H26=""),"",IF($A$7&lt;&gt;"Ready — review the records before sharing or following up.","Review inputs",IF(F26&gt;0,"Outstanding",IF(F26=0,"Settled","Review credit"))))</x:f>
      </x:c>
      <x:c r="H26" s="10" t="str">
        <x:f>IF(ISERROR(B26),"Check payer name",IF(LEN(TRIM(SUBSTITUTE(CLEAN(B26),CHAR(160)," ")))=0,IF(ISERROR(C26),"Check payer name",IF(C26="","",IF(ISNUMBER(C26),IF(C26=0,"","Check payer name"),"Check payer name"))),IF(ISERROR(A26),"Check account ID",IF(OR(NOT(EXACT(A26,UPPER(A26))),NOT(OR(A26="A001",A26="A002",A26="A003",A26="A004",A26="A005",A26="A006",A26="A007",A26="A008",A26="A009",A26="A010",A26="A011",A26="A012",A26="A013",A26="A014",A26="A015",A26="A016",A26="A017",A26="A018",A26="A019",A26="A020",A26="A021",A26="A022",A26="A023",A26="A024",A26="A025",A26="A026",A26="A027",A26="A028",A26="A029",A26="A030"))),"Check account ID",IF(COUNTIF($A$10:$A$39,A26)&lt;&gt;1,"Check duplicate ID",IF(ISERROR(C26),"Check opening balance",IF(C26="","OK",IF(NOT(ISNUMBER(C26)),"Check opening balance",IF(OR(C26&lt;0,ROUND(C26,2)&lt;&gt;C26),"Check opening balance","OK")))))))))</x:f>
      </x:c>
    </x:row>
    <x:row r="27" ht="34" customHeight="1">
      <x:c r="A27" s="17" t="str">
        <x:v>A018</x:v>
      </x:c>
      <x:c r="B27" s="17"/>
      <x:c r="C27" s="18"/>
      <x:c r="D27" s="14" t="str">
        <x:f>IF(OR(IF(ISERROR(B27),TRUE,LEN(TRIM(SUBSTITUTE(CLEAN(B27),CHAR(160)," ")))=0),$A$7&lt;&gt;"Ready — review the records before sharing or following up."),"",SUMIFS('Entries'!$F$10:$F$209,'Entries'!$B$10:$B$209,$A27,'Entries'!$E$10:$E$209,"Charge",'Entries'!$H$10:$H$209,"OK"))</x:f>
      </x:c>
      <x:c r="E27" s="14" t="str">
        <x:f>IF(OR(IF(ISERROR(B27),TRUE,LEN(TRIM(SUBSTITUTE(CLEAN(B27),CHAR(160)," ")))=0),$A$7&lt;&gt;"Ready — review the records before sharing or following up."),"",SUMIFS('Entries'!$F$10:$F$209,'Entries'!$B$10:$B$209,$A27,'Entries'!$E$10:$E$209,"Payment",'Entries'!$H$10:$H$209,"OK"))</x:f>
      </x:c>
      <x:c r="F27" s="14" t="str">
        <x:f>IF(OR(IF(ISERROR(B27),TRUE,LEN(TRIM(SUBSTITUTE(CLEAN(B27),CHAR(160)," ")))=0),$A$7&lt;&gt;"Ready — review the records before sharing or following up."),"",ROUND(SUM(C27,D27)-E27,2))</x:f>
      </x:c>
      <x:c r="G27" s="10" t="str">
        <x:f>IF(AND(IF(ISERROR(B27),TRUE,LEN(TRIM(SUBSTITUTE(CLEAN(B27),CHAR(160)," ")))=0),H27=""),"",IF($A$7&lt;&gt;"Ready — review the records before sharing or following up.","Review inputs",IF(F27&gt;0,"Outstanding",IF(F27=0,"Settled","Review credit"))))</x:f>
      </x:c>
      <x:c r="H27" s="10" t="str">
        <x:f>IF(ISERROR(B27),"Check payer name",IF(LEN(TRIM(SUBSTITUTE(CLEAN(B27),CHAR(160)," ")))=0,IF(ISERROR(C27),"Check payer name",IF(C27="","",IF(ISNUMBER(C27),IF(C27=0,"","Check payer name"),"Check payer name"))),IF(ISERROR(A27),"Check account ID",IF(OR(NOT(EXACT(A27,UPPER(A27))),NOT(OR(A27="A001",A27="A002",A27="A003",A27="A004",A27="A005",A27="A006",A27="A007",A27="A008",A27="A009",A27="A010",A27="A011",A27="A012",A27="A013",A27="A014",A27="A015",A27="A016",A27="A017",A27="A018",A27="A019",A27="A020",A27="A021",A27="A022",A27="A023",A27="A024",A27="A025",A27="A026",A27="A027",A27="A028",A27="A029",A27="A030"))),"Check account ID",IF(COUNTIF($A$10:$A$39,A27)&lt;&gt;1,"Check duplicate ID",IF(ISERROR(C27),"Check opening balance",IF(C27="","OK",IF(NOT(ISNUMBER(C27)),"Check opening balance",IF(OR(C27&lt;0,ROUND(C27,2)&lt;&gt;C27),"Check opening balance","OK")))))))))</x:f>
      </x:c>
    </x:row>
    <x:row r="28" ht="34" customHeight="1">
      <x:c r="A28" s="15" t="str">
        <x:v>A019</x:v>
      </x:c>
      <x:c r="B28" s="15"/>
      <x:c r="C28" s="16"/>
      <x:c r="D28" s="14" t="str">
        <x:f>IF(OR(IF(ISERROR(B28),TRUE,LEN(TRIM(SUBSTITUTE(CLEAN(B28),CHAR(160)," ")))=0),$A$7&lt;&gt;"Ready — review the records before sharing or following up."),"",SUMIFS('Entries'!$F$10:$F$209,'Entries'!$B$10:$B$209,$A28,'Entries'!$E$10:$E$209,"Charge",'Entries'!$H$10:$H$209,"OK"))</x:f>
      </x:c>
      <x:c r="E28" s="14" t="str">
        <x:f>IF(OR(IF(ISERROR(B28),TRUE,LEN(TRIM(SUBSTITUTE(CLEAN(B28),CHAR(160)," ")))=0),$A$7&lt;&gt;"Ready — review the records before sharing or following up."),"",SUMIFS('Entries'!$F$10:$F$209,'Entries'!$B$10:$B$209,$A28,'Entries'!$E$10:$E$209,"Payment",'Entries'!$H$10:$H$209,"OK"))</x:f>
      </x:c>
      <x:c r="F28" s="14" t="str">
        <x:f>IF(OR(IF(ISERROR(B28),TRUE,LEN(TRIM(SUBSTITUTE(CLEAN(B28),CHAR(160)," ")))=0),$A$7&lt;&gt;"Ready — review the records before sharing or following up."),"",ROUND(SUM(C28,D28)-E28,2))</x:f>
      </x:c>
      <x:c r="G28" s="10" t="str">
        <x:f>IF(AND(IF(ISERROR(B28),TRUE,LEN(TRIM(SUBSTITUTE(CLEAN(B28),CHAR(160)," ")))=0),H28=""),"",IF($A$7&lt;&gt;"Ready — review the records before sharing or following up.","Review inputs",IF(F28&gt;0,"Outstanding",IF(F28=0,"Settled","Review credit"))))</x:f>
      </x:c>
      <x:c r="H28" s="10" t="str">
        <x:f>IF(ISERROR(B28),"Check payer name",IF(LEN(TRIM(SUBSTITUTE(CLEAN(B28),CHAR(160)," ")))=0,IF(ISERROR(C28),"Check payer name",IF(C28="","",IF(ISNUMBER(C28),IF(C28=0,"","Check payer name"),"Check payer name"))),IF(ISERROR(A28),"Check account ID",IF(OR(NOT(EXACT(A28,UPPER(A28))),NOT(OR(A28="A001",A28="A002",A28="A003",A28="A004",A28="A005",A28="A006",A28="A007",A28="A008",A28="A009",A28="A010",A28="A011",A28="A012",A28="A013",A28="A014",A28="A015",A28="A016",A28="A017",A28="A018",A28="A019",A28="A020",A28="A021",A28="A022",A28="A023",A28="A024",A28="A025",A28="A026",A28="A027",A28="A028",A28="A029",A28="A030"))),"Check account ID",IF(COUNTIF($A$10:$A$39,A28)&lt;&gt;1,"Check duplicate ID",IF(ISERROR(C28),"Check opening balance",IF(C28="","OK",IF(NOT(ISNUMBER(C28)),"Check opening balance",IF(OR(C28&lt;0,ROUND(C28,2)&lt;&gt;C28),"Check opening balance","OK")))))))))</x:f>
      </x:c>
    </x:row>
    <x:row r="29" ht="34" customHeight="1">
      <x:c r="A29" s="17" t="str">
        <x:v>A020</x:v>
      </x:c>
      <x:c r="B29" s="17"/>
      <x:c r="C29" s="18"/>
      <x:c r="D29" s="14" t="str">
        <x:f>IF(OR(IF(ISERROR(B29),TRUE,LEN(TRIM(SUBSTITUTE(CLEAN(B29),CHAR(160)," ")))=0),$A$7&lt;&gt;"Ready — review the records before sharing or following up."),"",SUMIFS('Entries'!$F$10:$F$209,'Entries'!$B$10:$B$209,$A29,'Entries'!$E$10:$E$209,"Charge",'Entries'!$H$10:$H$209,"OK"))</x:f>
      </x:c>
      <x:c r="E29" s="14" t="str">
        <x:f>IF(OR(IF(ISERROR(B29),TRUE,LEN(TRIM(SUBSTITUTE(CLEAN(B29),CHAR(160)," ")))=0),$A$7&lt;&gt;"Ready — review the records before sharing or following up."),"",SUMIFS('Entries'!$F$10:$F$209,'Entries'!$B$10:$B$209,$A29,'Entries'!$E$10:$E$209,"Payment",'Entries'!$H$10:$H$209,"OK"))</x:f>
      </x:c>
      <x:c r="F29" s="14" t="str">
        <x:f>IF(OR(IF(ISERROR(B29),TRUE,LEN(TRIM(SUBSTITUTE(CLEAN(B29),CHAR(160)," ")))=0),$A$7&lt;&gt;"Ready — review the records before sharing or following up."),"",ROUND(SUM(C29,D29)-E29,2))</x:f>
      </x:c>
      <x:c r="G29" s="10" t="str">
        <x:f>IF(AND(IF(ISERROR(B29),TRUE,LEN(TRIM(SUBSTITUTE(CLEAN(B29),CHAR(160)," ")))=0),H29=""),"",IF($A$7&lt;&gt;"Ready — review the records before sharing or following up.","Review inputs",IF(F29&gt;0,"Outstanding",IF(F29=0,"Settled","Review credit"))))</x:f>
      </x:c>
      <x:c r="H29" s="10" t="str">
        <x:f>IF(ISERROR(B29),"Check payer name",IF(LEN(TRIM(SUBSTITUTE(CLEAN(B29),CHAR(160)," ")))=0,IF(ISERROR(C29),"Check payer name",IF(C29="","",IF(ISNUMBER(C29),IF(C29=0,"","Check payer name"),"Check payer name"))),IF(ISERROR(A29),"Check account ID",IF(OR(NOT(EXACT(A29,UPPER(A29))),NOT(OR(A29="A001",A29="A002",A29="A003",A29="A004",A29="A005",A29="A006",A29="A007",A29="A008",A29="A009",A29="A010",A29="A011",A29="A012",A29="A013",A29="A014",A29="A015",A29="A016",A29="A017",A29="A018",A29="A019",A29="A020",A29="A021",A29="A022",A29="A023",A29="A024",A29="A025",A29="A026",A29="A027",A29="A028",A29="A029",A29="A030"))),"Check account ID",IF(COUNTIF($A$10:$A$39,A29)&lt;&gt;1,"Check duplicate ID",IF(ISERROR(C29),"Check opening balance",IF(C29="","OK",IF(NOT(ISNUMBER(C29)),"Check opening balance",IF(OR(C29&lt;0,ROUND(C29,2)&lt;&gt;C29),"Check opening balance","OK")))))))))</x:f>
      </x:c>
    </x:row>
    <x:row r="30" ht="34" customHeight="1">
      <x:c r="A30" s="15" t="str">
        <x:v>A021</x:v>
      </x:c>
      <x:c r="B30" s="15"/>
      <x:c r="C30" s="16"/>
      <x:c r="D30" s="14" t="str">
        <x:f>IF(OR(IF(ISERROR(B30),TRUE,LEN(TRIM(SUBSTITUTE(CLEAN(B30),CHAR(160)," ")))=0),$A$7&lt;&gt;"Ready — review the records before sharing or following up."),"",SUMIFS('Entries'!$F$10:$F$209,'Entries'!$B$10:$B$209,$A30,'Entries'!$E$10:$E$209,"Charge",'Entries'!$H$10:$H$209,"OK"))</x:f>
      </x:c>
      <x:c r="E30" s="14" t="str">
        <x:f>IF(OR(IF(ISERROR(B30),TRUE,LEN(TRIM(SUBSTITUTE(CLEAN(B30),CHAR(160)," ")))=0),$A$7&lt;&gt;"Ready — review the records before sharing or following up."),"",SUMIFS('Entries'!$F$10:$F$209,'Entries'!$B$10:$B$209,$A30,'Entries'!$E$10:$E$209,"Payment",'Entries'!$H$10:$H$209,"OK"))</x:f>
      </x:c>
      <x:c r="F30" s="14" t="str">
        <x:f>IF(OR(IF(ISERROR(B30),TRUE,LEN(TRIM(SUBSTITUTE(CLEAN(B30),CHAR(160)," ")))=0),$A$7&lt;&gt;"Ready — review the records before sharing or following up."),"",ROUND(SUM(C30,D30)-E30,2))</x:f>
      </x:c>
      <x:c r="G30" s="10" t="str">
        <x:f>IF(AND(IF(ISERROR(B30),TRUE,LEN(TRIM(SUBSTITUTE(CLEAN(B30),CHAR(160)," ")))=0),H30=""),"",IF($A$7&lt;&gt;"Ready — review the records before sharing or following up.","Review inputs",IF(F30&gt;0,"Outstanding",IF(F30=0,"Settled","Review credit"))))</x:f>
      </x:c>
      <x:c r="H30" s="10" t="str">
        <x:f>IF(ISERROR(B30),"Check payer name",IF(LEN(TRIM(SUBSTITUTE(CLEAN(B30),CHAR(160)," ")))=0,IF(ISERROR(C30),"Check payer name",IF(C30="","",IF(ISNUMBER(C30),IF(C30=0,"","Check payer name"),"Check payer name"))),IF(ISERROR(A30),"Check account ID",IF(OR(NOT(EXACT(A30,UPPER(A30))),NOT(OR(A30="A001",A30="A002",A30="A003",A30="A004",A30="A005",A30="A006",A30="A007",A30="A008",A30="A009",A30="A010",A30="A011",A30="A012",A30="A013",A30="A014",A30="A015",A30="A016",A30="A017",A30="A018",A30="A019",A30="A020",A30="A021",A30="A022",A30="A023",A30="A024",A30="A025",A30="A026",A30="A027",A30="A028",A30="A029",A30="A030"))),"Check account ID",IF(COUNTIF($A$10:$A$39,A30)&lt;&gt;1,"Check duplicate ID",IF(ISERROR(C30),"Check opening balance",IF(C30="","OK",IF(NOT(ISNUMBER(C30)),"Check opening balance",IF(OR(C30&lt;0,ROUND(C30,2)&lt;&gt;C30),"Check opening balance","OK")))))))))</x:f>
      </x:c>
    </x:row>
    <x:row r="31" ht="34" customHeight="1">
      <x:c r="A31" s="17" t="str">
        <x:v>A022</x:v>
      </x:c>
      <x:c r="B31" s="17"/>
      <x:c r="C31" s="18"/>
      <x:c r="D31" s="14" t="str">
        <x:f>IF(OR(IF(ISERROR(B31),TRUE,LEN(TRIM(SUBSTITUTE(CLEAN(B31),CHAR(160)," ")))=0),$A$7&lt;&gt;"Ready — review the records before sharing or following up."),"",SUMIFS('Entries'!$F$10:$F$209,'Entries'!$B$10:$B$209,$A31,'Entries'!$E$10:$E$209,"Charge",'Entries'!$H$10:$H$209,"OK"))</x:f>
      </x:c>
      <x:c r="E31" s="14" t="str">
        <x:f>IF(OR(IF(ISERROR(B31),TRUE,LEN(TRIM(SUBSTITUTE(CLEAN(B31),CHAR(160)," ")))=0),$A$7&lt;&gt;"Ready — review the records before sharing or following up."),"",SUMIFS('Entries'!$F$10:$F$209,'Entries'!$B$10:$B$209,$A31,'Entries'!$E$10:$E$209,"Payment",'Entries'!$H$10:$H$209,"OK"))</x:f>
      </x:c>
      <x:c r="F31" s="14" t="str">
        <x:f>IF(OR(IF(ISERROR(B31),TRUE,LEN(TRIM(SUBSTITUTE(CLEAN(B31),CHAR(160)," ")))=0),$A$7&lt;&gt;"Ready — review the records before sharing or following up."),"",ROUND(SUM(C31,D31)-E31,2))</x:f>
      </x:c>
      <x:c r="G31" s="10" t="str">
        <x:f>IF(AND(IF(ISERROR(B31),TRUE,LEN(TRIM(SUBSTITUTE(CLEAN(B31),CHAR(160)," ")))=0),H31=""),"",IF($A$7&lt;&gt;"Ready — review the records before sharing or following up.","Review inputs",IF(F31&gt;0,"Outstanding",IF(F31=0,"Settled","Review credit"))))</x:f>
      </x:c>
      <x:c r="H31" s="10" t="str">
        <x:f>IF(ISERROR(B31),"Check payer name",IF(LEN(TRIM(SUBSTITUTE(CLEAN(B31),CHAR(160)," ")))=0,IF(ISERROR(C31),"Check payer name",IF(C31="","",IF(ISNUMBER(C31),IF(C31=0,"","Check payer name"),"Check payer name"))),IF(ISERROR(A31),"Check account ID",IF(OR(NOT(EXACT(A31,UPPER(A31))),NOT(OR(A31="A001",A31="A002",A31="A003",A31="A004",A31="A005",A31="A006",A31="A007",A31="A008",A31="A009",A31="A010",A31="A011",A31="A012",A31="A013",A31="A014",A31="A015",A31="A016",A31="A017",A31="A018",A31="A019",A31="A020",A31="A021",A31="A022",A31="A023",A31="A024",A31="A025",A31="A026",A31="A027",A31="A028",A31="A029",A31="A030"))),"Check account ID",IF(COUNTIF($A$10:$A$39,A31)&lt;&gt;1,"Check duplicate ID",IF(ISERROR(C31),"Check opening balance",IF(C31="","OK",IF(NOT(ISNUMBER(C31)),"Check opening balance",IF(OR(C31&lt;0,ROUND(C31,2)&lt;&gt;C31),"Check opening balance","OK")))))))))</x:f>
      </x:c>
    </x:row>
    <x:row r="32" ht="34" customHeight="1">
      <x:c r="A32" s="15" t="str">
        <x:v>A023</x:v>
      </x:c>
      <x:c r="B32" s="15"/>
      <x:c r="C32" s="16"/>
      <x:c r="D32" s="14" t="str">
        <x:f>IF(OR(IF(ISERROR(B32),TRUE,LEN(TRIM(SUBSTITUTE(CLEAN(B32),CHAR(160)," ")))=0),$A$7&lt;&gt;"Ready — review the records before sharing or following up."),"",SUMIFS('Entries'!$F$10:$F$209,'Entries'!$B$10:$B$209,$A32,'Entries'!$E$10:$E$209,"Charge",'Entries'!$H$10:$H$209,"OK"))</x:f>
      </x:c>
      <x:c r="E32" s="14" t="str">
        <x:f>IF(OR(IF(ISERROR(B32),TRUE,LEN(TRIM(SUBSTITUTE(CLEAN(B32),CHAR(160)," ")))=0),$A$7&lt;&gt;"Ready — review the records before sharing or following up."),"",SUMIFS('Entries'!$F$10:$F$209,'Entries'!$B$10:$B$209,$A32,'Entries'!$E$10:$E$209,"Payment",'Entries'!$H$10:$H$209,"OK"))</x:f>
      </x:c>
      <x:c r="F32" s="14" t="str">
        <x:f>IF(OR(IF(ISERROR(B32),TRUE,LEN(TRIM(SUBSTITUTE(CLEAN(B32),CHAR(160)," ")))=0),$A$7&lt;&gt;"Ready — review the records before sharing or following up."),"",ROUND(SUM(C32,D32)-E32,2))</x:f>
      </x:c>
      <x:c r="G32" s="10" t="str">
        <x:f>IF(AND(IF(ISERROR(B32),TRUE,LEN(TRIM(SUBSTITUTE(CLEAN(B32),CHAR(160)," ")))=0),H32=""),"",IF($A$7&lt;&gt;"Ready — review the records before sharing or following up.","Review inputs",IF(F32&gt;0,"Outstanding",IF(F32=0,"Settled","Review credit"))))</x:f>
      </x:c>
      <x:c r="H32" s="10" t="str">
        <x:f>IF(ISERROR(B32),"Check payer name",IF(LEN(TRIM(SUBSTITUTE(CLEAN(B32),CHAR(160)," ")))=0,IF(ISERROR(C32),"Check payer name",IF(C32="","",IF(ISNUMBER(C32),IF(C32=0,"","Check payer name"),"Check payer name"))),IF(ISERROR(A32),"Check account ID",IF(OR(NOT(EXACT(A32,UPPER(A32))),NOT(OR(A32="A001",A32="A002",A32="A003",A32="A004",A32="A005",A32="A006",A32="A007",A32="A008",A32="A009",A32="A010",A32="A011",A32="A012",A32="A013",A32="A014",A32="A015",A32="A016",A32="A017",A32="A018",A32="A019",A32="A020",A32="A021",A32="A022",A32="A023",A32="A024",A32="A025",A32="A026",A32="A027",A32="A028",A32="A029",A32="A030"))),"Check account ID",IF(COUNTIF($A$10:$A$39,A32)&lt;&gt;1,"Check duplicate ID",IF(ISERROR(C32),"Check opening balance",IF(C32="","OK",IF(NOT(ISNUMBER(C32)),"Check opening balance",IF(OR(C32&lt;0,ROUND(C32,2)&lt;&gt;C32),"Check opening balance","OK")))))))))</x:f>
      </x:c>
    </x:row>
    <x:row r="33" ht="34" customHeight="1">
      <x:c r="A33" s="17" t="str">
        <x:v>A024</x:v>
      </x:c>
      <x:c r="B33" s="17"/>
      <x:c r="C33" s="18"/>
      <x:c r="D33" s="14" t="str">
        <x:f>IF(OR(IF(ISERROR(B33),TRUE,LEN(TRIM(SUBSTITUTE(CLEAN(B33),CHAR(160)," ")))=0),$A$7&lt;&gt;"Ready — review the records before sharing or following up."),"",SUMIFS('Entries'!$F$10:$F$209,'Entries'!$B$10:$B$209,$A33,'Entries'!$E$10:$E$209,"Charge",'Entries'!$H$10:$H$209,"OK"))</x:f>
      </x:c>
      <x:c r="E33" s="14" t="str">
        <x:f>IF(OR(IF(ISERROR(B33),TRUE,LEN(TRIM(SUBSTITUTE(CLEAN(B33),CHAR(160)," ")))=0),$A$7&lt;&gt;"Ready — review the records before sharing or following up."),"",SUMIFS('Entries'!$F$10:$F$209,'Entries'!$B$10:$B$209,$A33,'Entries'!$E$10:$E$209,"Payment",'Entries'!$H$10:$H$209,"OK"))</x:f>
      </x:c>
      <x:c r="F33" s="14" t="str">
        <x:f>IF(OR(IF(ISERROR(B33),TRUE,LEN(TRIM(SUBSTITUTE(CLEAN(B33),CHAR(160)," ")))=0),$A$7&lt;&gt;"Ready — review the records before sharing or following up."),"",ROUND(SUM(C33,D33)-E33,2))</x:f>
      </x:c>
      <x:c r="G33" s="10" t="str">
        <x:f>IF(AND(IF(ISERROR(B33),TRUE,LEN(TRIM(SUBSTITUTE(CLEAN(B33),CHAR(160)," ")))=0),H33=""),"",IF($A$7&lt;&gt;"Ready — review the records before sharing or following up.","Review inputs",IF(F33&gt;0,"Outstanding",IF(F33=0,"Settled","Review credit"))))</x:f>
      </x:c>
      <x:c r="H33" s="10" t="str">
        <x:f>IF(ISERROR(B33),"Check payer name",IF(LEN(TRIM(SUBSTITUTE(CLEAN(B33),CHAR(160)," ")))=0,IF(ISERROR(C33),"Check payer name",IF(C33="","",IF(ISNUMBER(C33),IF(C33=0,"","Check payer name"),"Check payer name"))),IF(ISERROR(A33),"Check account ID",IF(OR(NOT(EXACT(A33,UPPER(A33))),NOT(OR(A33="A001",A33="A002",A33="A003",A33="A004",A33="A005",A33="A006",A33="A007",A33="A008",A33="A009",A33="A010",A33="A011",A33="A012",A33="A013",A33="A014",A33="A015",A33="A016",A33="A017",A33="A018",A33="A019",A33="A020",A33="A021",A33="A022",A33="A023",A33="A024",A33="A025",A33="A026",A33="A027",A33="A028",A33="A029",A33="A030"))),"Check account ID",IF(COUNTIF($A$10:$A$39,A33)&lt;&gt;1,"Check duplicate ID",IF(ISERROR(C33),"Check opening balance",IF(C33="","OK",IF(NOT(ISNUMBER(C33)),"Check opening balance",IF(OR(C33&lt;0,ROUND(C33,2)&lt;&gt;C33),"Check opening balance","OK")))))))))</x:f>
      </x:c>
    </x:row>
    <x:row r="34" ht="34" customHeight="1">
      <x:c r="A34" s="15" t="str">
        <x:v>A025</x:v>
      </x:c>
      <x:c r="B34" s="15"/>
      <x:c r="C34" s="16"/>
      <x:c r="D34" s="14" t="str">
        <x:f>IF(OR(IF(ISERROR(B34),TRUE,LEN(TRIM(SUBSTITUTE(CLEAN(B34),CHAR(160)," ")))=0),$A$7&lt;&gt;"Ready — review the records before sharing or following up."),"",SUMIFS('Entries'!$F$10:$F$209,'Entries'!$B$10:$B$209,$A34,'Entries'!$E$10:$E$209,"Charge",'Entries'!$H$10:$H$209,"OK"))</x:f>
      </x:c>
      <x:c r="E34" s="14" t="str">
        <x:f>IF(OR(IF(ISERROR(B34),TRUE,LEN(TRIM(SUBSTITUTE(CLEAN(B34),CHAR(160)," ")))=0),$A$7&lt;&gt;"Ready — review the records before sharing or following up."),"",SUMIFS('Entries'!$F$10:$F$209,'Entries'!$B$10:$B$209,$A34,'Entries'!$E$10:$E$209,"Payment",'Entries'!$H$10:$H$209,"OK"))</x:f>
      </x:c>
      <x:c r="F34" s="14" t="str">
        <x:f>IF(OR(IF(ISERROR(B34),TRUE,LEN(TRIM(SUBSTITUTE(CLEAN(B34),CHAR(160)," ")))=0),$A$7&lt;&gt;"Ready — review the records before sharing or following up."),"",ROUND(SUM(C34,D34)-E34,2))</x:f>
      </x:c>
      <x:c r="G34" s="10" t="str">
        <x:f>IF(AND(IF(ISERROR(B34),TRUE,LEN(TRIM(SUBSTITUTE(CLEAN(B34),CHAR(160)," ")))=0),H34=""),"",IF($A$7&lt;&gt;"Ready — review the records before sharing or following up.","Review inputs",IF(F34&gt;0,"Outstanding",IF(F34=0,"Settled","Review credit"))))</x:f>
      </x:c>
      <x:c r="H34" s="10" t="str">
        <x:f>IF(ISERROR(B34),"Check payer name",IF(LEN(TRIM(SUBSTITUTE(CLEAN(B34),CHAR(160)," ")))=0,IF(ISERROR(C34),"Check payer name",IF(C34="","",IF(ISNUMBER(C34),IF(C34=0,"","Check payer name"),"Check payer name"))),IF(ISERROR(A34),"Check account ID",IF(OR(NOT(EXACT(A34,UPPER(A34))),NOT(OR(A34="A001",A34="A002",A34="A003",A34="A004",A34="A005",A34="A006",A34="A007",A34="A008",A34="A009",A34="A010",A34="A011",A34="A012",A34="A013",A34="A014",A34="A015",A34="A016",A34="A017",A34="A018",A34="A019",A34="A020",A34="A021",A34="A022",A34="A023",A34="A024",A34="A025",A34="A026",A34="A027",A34="A028",A34="A029",A34="A030"))),"Check account ID",IF(COUNTIF($A$10:$A$39,A34)&lt;&gt;1,"Check duplicate ID",IF(ISERROR(C34),"Check opening balance",IF(C34="","OK",IF(NOT(ISNUMBER(C34)),"Check opening balance",IF(OR(C34&lt;0,ROUND(C34,2)&lt;&gt;C34),"Check opening balance","OK")))))))))</x:f>
      </x:c>
    </x:row>
    <x:row r="35" ht="34" customHeight="1">
      <x:c r="A35" s="17" t="str">
        <x:v>A026</x:v>
      </x:c>
      <x:c r="B35" s="17"/>
      <x:c r="C35" s="18"/>
      <x:c r="D35" s="14" t="str">
        <x:f>IF(OR(IF(ISERROR(B35),TRUE,LEN(TRIM(SUBSTITUTE(CLEAN(B35),CHAR(160)," ")))=0),$A$7&lt;&gt;"Ready — review the records before sharing or following up."),"",SUMIFS('Entries'!$F$10:$F$209,'Entries'!$B$10:$B$209,$A35,'Entries'!$E$10:$E$209,"Charge",'Entries'!$H$10:$H$209,"OK"))</x:f>
      </x:c>
      <x:c r="E35" s="14" t="str">
        <x:f>IF(OR(IF(ISERROR(B35),TRUE,LEN(TRIM(SUBSTITUTE(CLEAN(B35),CHAR(160)," ")))=0),$A$7&lt;&gt;"Ready — review the records before sharing or following up."),"",SUMIFS('Entries'!$F$10:$F$209,'Entries'!$B$10:$B$209,$A35,'Entries'!$E$10:$E$209,"Payment",'Entries'!$H$10:$H$209,"OK"))</x:f>
      </x:c>
      <x:c r="F35" s="14" t="str">
        <x:f>IF(OR(IF(ISERROR(B35),TRUE,LEN(TRIM(SUBSTITUTE(CLEAN(B35),CHAR(160)," ")))=0),$A$7&lt;&gt;"Ready — review the records before sharing or following up."),"",ROUND(SUM(C35,D35)-E35,2))</x:f>
      </x:c>
      <x:c r="G35" s="10" t="str">
        <x:f>IF(AND(IF(ISERROR(B35),TRUE,LEN(TRIM(SUBSTITUTE(CLEAN(B35),CHAR(160)," ")))=0),H35=""),"",IF($A$7&lt;&gt;"Ready — review the records before sharing or following up.","Review inputs",IF(F35&gt;0,"Outstanding",IF(F35=0,"Settled","Review credit"))))</x:f>
      </x:c>
      <x:c r="H35" s="10" t="str">
        <x:f>IF(ISERROR(B35),"Check payer name",IF(LEN(TRIM(SUBSTITUTE(CLEAN(B35),CHAR(160)," ")))=0,IF(ISERROR(C35),"Check payer name",IF(C35="","",IF(ISNUMBER(C35),IF(C35=0,"","Check payer name"),"Check payer name"))),IF(ISERROR(A35),"Check account ID",IF(OR(NOT(EXACT(A35,UPPER(A35))),NOT(OR(A35="A001",A35="A002",A35="A003",A35="A004",A35="A005",A35="A006",A35="A007",A35="A008",A35="A009",A35="A010",A35="A011",A35="A012",A35="A013",A35="A014",A35="A015",A35="A016",A35="A017",A35="A018",A35="A019",A35="A020",A35="A021",A35="A022",A35="A023",A35="A024",A35="A025",A35="A026",A35="A027",A35="A028",A35="A029",A35="A030"))),"Check account ID",IF(COUNTIF($A$10:$A$39,A35)&lt;&gt;1,"Check duplicate ID",IF(ISERROR(C35),"Check opening balance",IF(C35="","OK",IF(NOT(ISNUMBER(C35)),"Check opening balance",IF(OR(C35&lt;0,ROUND(C35,2)&lt;&gt;C35),"Check opening balance","OK")))))))))</x:f>
      </x:c>
    </x:row>
    <x:row r="36" ht="34" customHeight="1">
      <x:c r="A36" s="15" t="str">
        <x:v>A027</x:v>
      </x:c>
      <x:c r="B36" s="15"/>
      <x:c r="C36" s="16"/>
      <x:c r="D36" s="14" t="str">
        <x:f>IF(OR(IF(ISERROR(B36),TRUE,LEN(TRIM(SUBSTITUTE(CLEAN(B36),CHAR(160)," ")))=0),$A$7&lt;&gt;"Ready — review the records before sharing or following up."),"",SUMIFS('Entries'!$F$10:$F$209,'Entries'!$B$10:$B$209,$A36,'Entries'!$E$10:$E$209,"Charge",'Entries'!$H$10:$H$209,"OK"))</x:f>
      </x:c>
      <x:c r="E36" s="14" t="str">
        <x:f>IF(OR(IF(ISERROR(B36),TRUE,LEN(TRIM(SUBSTITUTE(CLEAN(B36),CHAR(160)," ")))=0),$A$7&lt;&gt;"Ready — review the records before sharing or following up."),"",SUMIFS('Entries'!$F$10:$F$209,'Entries'!$B$10:$B$209,$A36,'Entries'!$E$10:$E$209,"Payment",'Entries'!$H$10:$H$209,"OK"))</x:f>
      </x:c>
      <x:c r="F36" s="14" t="str">
        <x:f>IF(OR(IF(ISERROR(B36),TRUE,LEN(TRIM(SUBSTITUTE(CLEAN(B36),CHAR(160)," ")))=0),$A$7&lt;&gt;"Ready — review the records before sharing or following up."),"",ROUND(SUM(C36,D36)-E36,2))</x:f>
      </x:c>
      <x:c r="G36" s="10" t="str">
        <x:f>IF(AND(IF(ISERROR(B36),TRUE,LEN(TRIM(SUBSTITUTE(CLEAN(B36),CHAR(160)," ")))=0),H36=""),"",IF($A$7&lt;&gt;"Ready — review the records before sharing or following up.","Review inputs",IF(F36&gt;0,"Outstanding",IF(F36=0,"Settled","Review credit"))))</x:f>
      </x:c>
      <x:c r="H36" s="10" t="str">
        <x:f>IF(ISERROR(B36),"Check payer name",IF(LEN(TRIM(SUBSTITUTE(CLEAN(B36),CHAR(160)," ")))=0,IF(ISERROR(C36),"Check payer name",IF(C36="","",IF(ISNUMBER(C36),IF(C36=0,"","Check payer name"),"Check payer name"))),IF(ISERROR(A36),"Check account ID",IF(OR(NOT(EXACT(A36,UPPER(A36))),NOT(OR(A36="A001",A36="A002",A36="A003",A36="A004",A36="A005",A36="A006",A36="A007",A36="A008",A36="A009",A36="A010",A36="A011",A36="A012",A36="A013",A36="A014",A36="A015",A36="A016",A36="A017",A36="A018",A36="A019",A36="A020",A36="A021",A36="A022",A36="A023",A36="A024",A36="A025",A36="A026",A36="A027",A36="A028",A36="A029",A36="A030"))),"Check account ID",IF(COUNTIF($A$10:$A$39,A36)&lt;&gt;1,"Check duplicate ID",IF(ISERROR(C36),"Check opening balance",IF(C36="","OK",IF(NOT(ISNUMBER(C36)),"Check opening balance",IF(OR(C36&lt;0,ROUND(C36,2)&lt;&gt;C36),"Check opening balance","OK")))))))))</x:f>
      </x:c>
    </x:row>
    <x:row r="37" ht="34" customHeight="1">
      <x:c r="A37" s="17" t="str">
        <x:v>A028</x:v>
      </x:c>
      <x:c r="B37" s="17"/>
      <x:c r="C37" s="18"/>
      <x:c r="D37" s="14" t="str">
        <x:f>IF(OR(IF(ISERROR(B37),TRUE,LEN(TRIM(SUBSTITUTE(CLEAN(B37),CHAR(160)," ")))=0),$A$7&lt;&gt;"Ready — review the records before sharing or following up."),"",SUMIFS('Entries'!$F$10:$F$209,'Entries'!$B$10:$B$209,$A37,'Entries'!$E$10:$E$209,"Charge",'Entries'!$H$10:$H$209,"OK"))</x:f>
      </x:c>
      <x:c r="E37" s="14" t="str">
        <x:f>IF(OR(IF(ISERROR(B37),TRUE,LEN(TRIM(SUBSTITUTE(CLEAN(B37),CHAR(160)," ")))=0),$A$7&lt;&gt;"Ready — review the records before sharing or following up."),"",SUMIFS('Entries'!$F$10:$F$209,'Entries'!$B$10:$B$209,$A37,'Entries'!$E$10:$E$209,"Payment",'Entries'!$H$10:$H$209,"OK"))</x:f>
      </x:c>
      <x:c r="F37" s="14" t="str">
        <x:f>IF(OR(IF(ISERROR(B37),TRUE,LEN(TRIM(SUBSTITUTE(CLEAN(B37),CHAR(160)," ")))=0),$A$7&lt;&gt;"Ready — review the records before sharing or following up."),"",ROUND(SUM(C37,D37)-E37,2))</x:f>
      </x:c>
      <x:c r="G37" s="10" t="str">
        <x:f>IF(AND(IF(ISERROR(B37),TRUE,LEN(TRIM(SUBSTITUTE(CLEAN(B37),CHAR(160)," ")))=0),H37=""),"",IF($A$7&lt;&gt;"Ready — review the records before sharing or following up.","Review inputs",IF(F37&gt;0,"Outstanding",IF(F37=0,"Settled","Review credit"))))</x:f>
      </x:c>
      <x:c r="H37" s="10" t="str">
        <x:f>IF(ISERROR(B37),"Check payer name",IF(LEN(TRIM(SUBSTITUTE(CLEAN(B37),CHAR(160)," ")))=0,IF(ISERROR(C37),"Check payer name",IF(C37="","",IF(ISNUMBER(C37),IF(C37=0,"","Check payer name"),"Check payer name"))),IF(ISERROR(A37),"Check account ID",IF(OR(NOT(EXACT(A37,UPPER(A37))),NOT(OR(A37="A001",A37="A002",A37="A003",A37="A004",A37="A005",A37="A006",A37="A007",A37="A008",A37="A009",A37="A010",A37="A011",A37="A012",A37="A013",A37="A014",A37="A015",A37="A016",A37="A017",A37="A018",A37="A019",A37="A020",A37="A021",A37="A022",A37="A023",A37="A024",A37="A025",A37="A026",A37="A027",A37="A028",A37="A029",A37="A030"))),"Check account ID",IF(COUNTIF($A$10:$A$39,A37)&lt;&gt;1,"Check duplicate ID",IF(ISERROR(C37),"Check opening balance",IF(C37="","OK",IF(NOT(ISNUMBER(C37)),"Check opening balance",IF(OR(C37&lt;0,ROUND(C37,2)&lt;&gt;C37),"Check opening balance","OK")))))))))</x:f>
      </x:c>
    </x:row>
    <x:row r="38" ht="34" customHeight="1">
      <x:c r="A38" s="15" t="str">
        <x:v>A029</x:v>
      </x:c>
      <x:c r="B38" s="15"/>
      <x:c r="C38" s="16"/>
      <x:c r="D38" s="14" t="str">
        <x:f>IF(OR(IF(ISERROR(B38),TRUE,LEN(TRIM(SUBSTITUTE(CLEAN(B38),CHAR(160)," ")))=0),$A$7&lt;&gt;"Ready — review the records before sharing or following up."),"",SUMIFS('Entries'!$F$10:$F$209,'Entries'!$B$10:$B$209,$A38,'Entries'!$E$10:$E$209,"Charge",'Entries'!$H$10:$H$209,"OK"))</x:f>
      </x:c>
      <x:c r="E38" s="14" t="str">
        <x:f>IF(OR(IF(ISERROR(B38),TRUE,LEN(TRIM(SUBSTITUTE(CLEAN(B38),CHAR(160)," ")))=0),$A$7&lt;&gt;"Ready — review the records before sharing or following up."),"",SUMIFS('Entries'!$F$10:$F$209,'Entries'!$B$10:$B$209,$A38,'Entries'!$E$10:$E$209,"Payment",'Entries'!$H$10:$H$209,"OK"))</x:f>
      </x:c>
      <x:c r="F38" s="14" t="str">
        <x:f>IF(OR(IF(ISERROR(B38),TRUE,LEN(TRIM(SUBSTITUTE(CLEAN(B38),CHAR(160)," ")))=0),$A$7&lt;&gt;"Ready — review the records before sharing or following up."),"",ROUND(SUM(C38,D38)-E38,2))</x:f>
      </x:c>
      <x:c r="G38" s="10" t="str">
        <x:f>IF(AND(IF(ISERROR(B38),TRUE,LEN(TRIM(SUBSTITUTE(CLEAN(B38),CHAR(160)," ")))=0),H38=""),"",IF($A$7&lt;&gt;"Ready — review the records before sharing or following up.","Review inputs",IF(F38&gt;0,"Outstanding",IF(F38=0,"Settled","Review credit"))))</x:f>
      </x:c>
      <x:c r="H38" s="10" t="str">
        <x:f>IF(ISERROR(B38),"Check payer name",IF(LEN(TRIM(SUBSTITUTE(CLEAN(B38),CHAR(160)," ")))=0,IF(ISERROR(C38),"Check payer name",IF(C38="","",IF(ISNUMBER(C38),IF(C38=0,"","Check payer name"),"Check payer name"))),IF(ISERROR(A38),"Check account ID",IF(OR(NOT(EXACT(A38,UPPER(A38))),NOT(OR(A38="A001",A38="A002",A38="A003",A38="A004",A38="A005",A38="A006",A38="A007",A38="A008",A38="A009",A38="A010",A38="A011",A38="A012",A38="A013",A38="A014",A38="A015",A38="A016",A38="A017",A38="A018",A38="A019",A38="A020",A38="A021",A38="A022",A38="A023",A38="A024",A38="A025",A38="A026",A38="A027",A38="A028",A38="A029",A38="A030"))),"Check account ID",IF(COUNTIF($A$10:$A$39,A38)&lt;&gt;1,"Check duplicate ID",IF(ISERROR(C38),"Check opening balance",IF(C38="","OK",IF(NOT(ISNUMBER(C38)),"Check opening balance",IF(OR(C38&lt;0,ROUND(C38,2)&lt;&gt;C38),"Check opening balance","OK")))))))))</x:f>
      </x:c>
    </x:row>
    <x:row r="39" ht="34" customHeight="1">
      <x:c r="A39" s="17" t="str">
        <x:v>A030</x:v>
      </x:c>
      <x:c r="B39" s="17"/>
      <x:c r="C39" s="18"/>
      <x:c r="D39" s="14" t="str">
        <x:f>IF(OR(IF(ISERROR(B39),TRUE,LEN(TRIM(SUBSTITUTE(CLEAN(B39),CHAR(160)," ")))=0),$A$7&lt;&gt;"Ready — review the records before sharing or following up."),"",SUMIFS('Entries'!$F$10:$F$209,'Entries'!$B$10:$B$209,$A39,'Entries'!$E$10:$E$209,"Charge",'Entries'!$H$10:$H$209,"OK"))</x:f>
      </x:c>
      <x:c r="E39" s="14" t="str">
        <x:f>IF(OR(IF(ISERROR(B39),TRUE,LEN(TRIM(SUBSTITUTE(CLEAN(B39),CHAR(160)," ")))=0),$A$7&lt;&gt;"Ready — review the records before sharing or following up."),"",SUMIFS('Entries'!$F$10:$F$209,'Entries'!$B$10:$B$209,$A39,'Entries'!$E$10:$E$209,"Payment",'Entries'!$H$10:$H$209,"OK"))</x:f>
      </x:c>
      <x:c r="F39" s="14" t="str">
        <x:f>IF(OR(IF(ISERROR(B39),TRUE,LEN(TRIM(SUBSTITUTE(CLEAN(B39),CHAR(160)," ")))=0),$A$7&lt;&gt;"Ready — review the records before sharing or following up."),"",ROUND(SUM(C39,D39)-E39,2))</x:f>
      </x:c>
      <x:c r="G39" s="10" t="str">
        <x:f>IF(AND(IF(ISERROR(B39),TRUE,LEN(TRIM(SUBSTITUTE(CLEAN(B39),CHAR(160)," ")))=0),H39=""),"",IF($A$7&lt;&gt;"Ready — review the records before sharing or following up.","Review inputs",IF(F39&gt;0,"Outstanding",IF(F39=0,"Settled","Review credit"))))</x:f>
      </x:c>
      <x:c r="H39" s="10" t="str">
        <x:f>IF(ISERROR(B39),"Check payer name",IF(LEN(TRIM(SUBSTITUTE(CLEAN(B39),CHAR(160)," ")))=0,IF(ISERROR(C39),"Check payer name",IF(C39="","",IF(ISNUMBER(C39),IF(C39=0,"","Check payer name"),"Check payer name"))),IF(ISERROR(A39),"Check account ID",IF(OR(NOT(EXACT(A39,UPPER(A39))),NOT(OR(A39="A001",A39="A002",A39="A003",A39="A004",A39="A005",A39="A006",A39="A007",A39="A008",A39="A009",A39="A010",A39="A011",A39="A012",A39="A013",A39="A014",A39="A015",A39="A016",A39="A017",A39="A018",A39="A019",A39="A020",A39="A021",A39="A022",A39="A023",A39="A024",A39="A025",A39="A026",A39="A027",A39="A028",A39="A029",A39="A030"))),"Check account ID",IF(COUNTIF($A$10:$A$39,A39)&lt;&gt;1,"Check duplicate ID",IF(ISERROR(C39),"Check opening balance",IF(C39="","OK",IF(NOT(ISNUMBER(C39)),"Check opening balance",IF(OR(C39&lt;0,ROUND(C39,2)&lt;&gt;C39),"Check opening balance","OK")))))))))</x:f>
      </x:c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 ht="30" customHeight="1">
      <x:c r="A42" s="3" t="str">
        <x:v>A negative balance is a money-record exception to review. It does not calculate prepaid lessons or authorize a refund.</x:v>
      </x:c>
      <x:c r="B42" s="3"/>
      <x:c r="C42" s="3"/>
      <x:c r="D42" s="3"/>
      <x:c r="E42" s="3"/>
      <x:c r="F42" s="3"/>
      <x:c r="G42" s="3"/>
      <x:c r="H42" s="3"/>
    </x:row>
    <x:row r="43" ht="30" customHeight="1">
      <x:c r="A43" s="3" t="str">
        <x:v>To start a new period, copy a checked closing amount owed once into Opening balance. Keep the old file for its history.</x:v>
      </x:c>
      <x:c r="B43" s="3"/>
      <x:c r="C43" s="3"/>
      <x:c r="D43" s="3"/>
      <x:c r="E43" s="3"/>
      <x:c r="F43" s="3"/>
      <x:c r="G43" s="3"/>
      <x:c r="H43" s="3"/>
    </x:row>
    <x:row r="44" ht="30" customHeight="1">
      <x:c r="A44" s="3" t="str">
        <x:v>Share only the relevant payer's details. This workbook may contain several families' information.</x:v>
      </x:c>
      <x:c r="B44" s="3"/>
      <x:c r="C44" s="3"/>
      <x:c r="D44" s="3"/>
      <x:c r="E44" s="3"/>
      <x:c r="F44" s="3"/>
      <x:c r="G44" s="3"/>
      <x:c r="H44" s="3"/>
    </x:row>
    <x:row r="45" ht="30" customHeight="1">
      <x:c r="A45" s="3" t="str">
        <x:v>Guide: https://you-owe-me.com/tools/tutor-payment-tracker-template/</x:v>
      </x:c>
      <x:c r="B45" s="3"/>
      <x:c r="C45" s="3"/>
      <x:c r="D45" s="3"/>
      <x:c r="E45" s="3"/>
      <x:c r="F45" s="3"/>
      <x:c r="G45" s="3"/>
      <x:c r="H45" s="3"/>
    </x:row>
  </x:sheetData>
  <x:mergeCells>
    <x:mergeCell ref="A1:H1"/>
    <x:mergeCell ref="A2:H2"/>
    <x:mergeCell ref="E3:H3"/>
    <x:mergeCell ref="A4:H4"/>
    <x:mergeCell ref="A5:H5"/>
    <x:mergeCell ref="A6:H6"/>
    <x:mergeCell ref="A8:H8"/>
    <x:mergeCell ref="A42:H42"/>
    <x:mergeCell ref="A43:H43"/>
    <x:mergeCell ref="A44:H44"/>
    <x:mergeCell ref="A45:H45"/>
    <x:mergeCell ref="A7:H7"/>
  </x:mergeCells>
  <x:conditionalFormatting sqref="H10:H39">
    <x:cfRule type="expression" dxfId="0" priority="1">
      <x:formula>LEFT(H10,5)="Check"</x:formula>
    </x:cfRule>
  </x:conditionalFormatting>
  <x:conditionalFormatting sqref="G10:G39">
    <x:cfRule type="expression" dxfId="1" priority="2">
      <x:formula>$G10="Outstanding"</x:formula>
    </x:cfRule>
    <x:cfRule type="expression" dxfId="2" priority="3">
      <x:formula>$G10="Settled"</x:formula>
    </x:cfRule>
    <x:cfRule type="expression" dxfId="3" priority="4">
      <x:formula>$G10="Review credit"</x:formula>
    </x:cfRule>
    <x:cfRule type="expression" dxfId="4" priority="5">
      <x:formula>$G10="Review inputs"</x:formula>
    </x:cfRule>
  </x:conditionalFormatting>
  <x:conditionalFormatting sqref="A7:H7">
    <x:cfRule type="expression" dxfId="5" priority="6">
      <x:formula>$A$7="Review input checks before using balances."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7c7b515bd642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38" hidden="0" customWidth="1"/>
    <x:col min="5" max="5" width="18" hidden="0" customWidth="1"/>
    <x:col min="6" max="6" width="18" hidden="0" customWidth="1"/>
    <x:col min="7" max="7" width="38" hidden="0" customWidth="1"/>
    <x:col min="8" max="8" width="27" hidden="0" customWidth="1"/>
  </x:cols>
  <x:sheetData>
    <x:row r="1" ht="42" customHeight="1">
      <x:c r="A1" s="4" t="str">
        <x:v>Charges and payments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3" t="str">
        <x:v>One row per charge or actual payment. Use a positive amount and choose Charge or Payment.</x:v>
      </x:c>
      <x:c r="B2" s="3"/>
      <x:c r="C2" s="3"/>
      <x:c r="D2" s="3"/>
      <x:c r="E2" s="3"/>
      <x:c r="F2" s="3"/>
      <x:c r="G2" s="3"/>
      <x:c r="H2" s="3"/>
    </x:row>
    <x:row r="3" ht="30" customHeight="1">
      <x:c r="A3" s="3" t="str">
        <x:v>Record one received payment once, even when it covers several lessons. Add the context in Description or Reference / note.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 t="str">
        <x:v>Dates do not filter the summary. Add only the records that belong in this file, and do not duplicate an opening balance.</x:v>
      </x:c>
      <x:c r="B4" s="3"/>
      <x:c r="C4" s="3"/>
      <x:c r="D4" s="3"/>
      <x:c r="E4" s="3"/>
      <x:c r="F4" s="3"/>
      <x:c r="G4" s="3"/>
      <x:c r="H4" s="3"/>
    </x:row>
    <x:row r="5" ht="30" customHeight="1">
      <x:c r="A5" s="3" t="str">
        <x:v>Fix Check messages before using the Accounts balances. Blank rows are allowed.</x:v>
      </x:c>
      <x:c r="B5" s="3"/>
      <x:c r="C5" s="3"/>
      <x:c r="D5" s="3"/>
      <x:c r="E5" s="3"/>
      <x:c r="F5" s="3"/>
      <x:c r="G5" s="3"/>
      <x:c r="H5" s="3"/>
    </x:row>
    <x:row r="6" ht="30" customHeight="1">
      <x:c r="A6" s="3" t="str">
        <x:v>Keep each payer's records private. This file does not process payments, issue invoices or sync with the app.</x:v>
      </x:c>
      <x:c r="B6" s="3"/>
      <x:c r="C6" s="3"/>
      <x:c r="D6" s="3"/>
      <x:c r="E6" s="3"/>
      <x:c r="F6" s="3"/>
      <x:c r="G6" s="3"/>
      <x:c r="H6" s="3"/>
    </x:row>
    <x:row r="7">
      <x:c r="A7" s="3"/>
      <x:c r="B7" s="3"/>
      <x:c r="C7" s="3"/>
      <x:c r="D7" s="3"/>
      <x:c r="E7" s="3"/>
      <x:c r="F7" s="3"/>
      <x:c r="G7" s="3"/>
      <x:c r="H7" s="3"/>
    </x:row>
    <x:row r="8" ht="30" customHeight="1">
      <x:c r="A8" s="3" t="str">
        <x:v>Edit Date through Reference / note; Check updates automatically.</x:v>
      </x:c>
      <x:c r="B8" s="3"/>
      <x:c r="C8" s="3"/>
      <x:c r="D8" s="3"/>
      <x:c r="E8" s="3"/>
      <x:c r="F8" s="3"/>
      <x:c r="G8" s="3"/>
      <x:c r="H8" s="3"/>
    </x:row>
    <x:row r="9" ht="42" customHeight="1">
      <x:c r="A9" s="8" t="str">
        <x:v>Date</x:v>
      </x:c>
      <x:c r="B9" s="8" t="str">
        <x:v>Account ID</x:v>
      </x:c>
      <x:c r="C9" s="8" t="str">
        <x:v>Student / context</x:v>
      </x:c>
      <x:c r="D9" s="8" t="str">
        <x:v>Description</x:v>
      </x:c>
      <x:c r="E9" s="8" t="str">
        <x:v>Type</x:v>
      </x:c>
      <x:c r="F9" s="8" t="str">
        <x:v>Amount</x:v>
      </x:c>
      <x:c r="G9" s="8" t="str">
        <x:v>Reference / note</x:v>
      </x:c>
      <x:c r="H9" s="8" t="str">
        <x:v>Check</x:v>
      </x:c>
    </x:row>
    <x:row r="10" ht="34" customHeight="1">
      <x:c r="A10" s="23"/>
      <x:c r="B10" s="15"/>
      <x:c r="C10" s="15"/>
      <x:c r="D10" s="15"/>
      <x:c r="E10" s="15"/>
      <x:c r="F10" s="16"/>
      <x:c r="G10" s="15"/>
      <x:c r="H10" s="10" t="str">
        <x:f>IF(COUNTA(A10:G10)=0,"",IF(ISERROR(A10),"Check date",IF(NOT(ISNUMBER(A10)),"Check date",IF(OR(A10&lt;1,A10&gt;=2958466,INT(A10)=60),"Check date",IF(ISERROR(B10),"Check account ID",IF(OR(NOT(EXACT(B10,UPPER(B10))),COUNTIFS('Accounts'!$A$10:$A$39,B10,'Accounts'!$H$10:$H$39,"OK")&lt;&gt;1),"Check account ID",IF(ISERROR(D10),"Check description",IF(LEN(TRIM(SUBSTITUTE(CLEAN(D10),CHAR(160)," ")))=0,"Check description",IF(ISERROR(E10),"Check type",IF(NOT(OR(EXACT(E10,"Charge"),EXACT(E10,"Payment"))),"Check type",IF(ISERROR(F10),"Check amount",IF(NOT(ISNUMBER(F10)),"Check amount",IF(OR(F10&lt;=0,ROUND(F10,2)&lt;&gt;F10),"Check amount","OK")))))))))))))</x:f>
      </x:c>
    </x:row>
    <x:row r="11" ht="34" customHeight="1">
      <x:c r="A11" s="25"/>
      <x:c r="B11" s="17"/>
      <x:c r="C11" s="17"/>
      <x:c r="D11" s="17"/>
      <x:c r="E11" s="17"/>
      <x:c r="F11" s="18"/>
      <x:c r="G11" s="17"/>
      <x:c r="H11" s="10" t="str">
        <x:f>IF(COUNTA(A11:G11)=0,"",IF(ISERROR(A11),"Check date",IF(NOT(ISNUMBER(A11)),"Check date",IF(OR(A11&lt;1,A11&gt;=2958466,INT(A11)=60),"Check date",IF(ISERROR(B11),"Check account ID",IF(OR(NOT(EXACT(B11,UPPER(B11))),COUNTIFS('Accounts'!$A$10:$A$39,B11,'Accounts'!$H$10:$H$39,"OK")&lt;&gt;1),"Check account ID",IF(ISERROR(D11),"Check description",IF(LEN(TRIM(SUBSTITUTE(CLEAN(D11),CHAR(160)," ")))=0,"Check description",IF(ISERROR(E11),"Check type",IF(NOT(OR(EXACT(E11,"Charge"),EXACT(E11,"Payment"))),"Check type",IF(ISERROR(F11),"Check amount",IF(NOT(ISNUMBER(F11)),"Check amount",IF(OR(F11&lt;=0,ROUND(F11,2)&lt;&gt;F11),"Check amount","OK")))))))))))))</x:f>
      </x:c>
    </x:row>
    <x:row r="12" ht="34" customHeight="1">
      <x:c r="A12" s="23"/>
      <x:c r="B12" s="15"/>
      <x:c r="C12" s="15"/>
      <x:c r="D12" s="15"/>
      <x:c r="E12" s="15"/>
      <x:c r="F12" s="16"/>
      <x:c r="G12" s="15"/>
      <x:c r="H12" s="10" t="str">
        <x:f>IF(COUNTA(A12:G12)=0,"",IF(ISERROR(A12),"Check date",IF(NOT(ISNUMBER(A12)),"Check date",IF(OR(A12&lt;1,A12&gt;=2958466,INT(A12)=60),"Check date",IF(ISERROR(B12),"Check account ID",IF(OR(NOT(EXACT(B12,UPPER(B12))),COUNTIFS('Accounts'!$A$10:$A$39,B12,'Accounts'!$H$10:$H$39,"OK")&lt;&gt;1),"Check account ID",IF(ISERROR(D12),"Check description",IF(LEN(TRIM(SUBSTITUTE(CLEAN(D12),CHAR(160)," ")))=0,"Check description",IF(ISERROR(E12),"Check type",IF(NOT(OR(EXACT(E12,"Charge"),EXACT(E12,"Payment"))),"Check type",IF(ISERROR(F12),"Check amount",IF(NOT(ISNUMBER(F12)),"Check amount",IF(OR(F12&lt;=0,ROUND(F12,2)&lt;&gt;F12),"Check amount","OK")))))))))))))</x:f>
      </x:c>
    </x:row>
    <x:row r="13" ht="34" customHeight="1">
      <x:c r="A13" s="25"/>
      <x:c r="B13" s="17"/>
      <x:c r="C13" s="17"/>
      <x:c r="D13" s="17"/>
      <x:c r="E13" s="17"/>
      <x:c r="F13" s="18"/>
      <x:c r="G13" s="17"/>
      <x:c r="H13" s="10" t="str">
        <x:f>IF(COUNTA(A13:G13)=0,"",IF(ISERROR(A13),"Check date",IF(NOT(ISNUMBER(A13)),"Check date",IF(OR(A13&lt;1,A13&gt;=2958466,INT(A13)=60),"Check date",IF(ISERROR(B13),"Check account ID",IF(OR(NOT(EXACT(B13,UPPER(B13))),COUNTIFS('Accounts'!$A$10:$A$39,B13,'Accounts'!$H$10:$H$39,"OK")&lt;&gt;1),"Check account ID",IF(ISERROR(D13),"Check description",IF(LEN(TRIM(SUBSTITUTE(CLEAN(D13),CHAR(160)," ")))=0,"Check description",IF(ISERROR(E13),"Check type",IF(NOT(OR(EXACT(E13,"Charge"),EXACT(E13,"Payment"))),"Check type",IF(ISERROR(F13),"Check amount",IF(NOT(ISNUMBER(F13)),"Check amount",IF(OR(F13&lt;=0,ROUND(F13,2)&lt;&gt;F13),"Check amount","OK")))))))))))))</x:f>
      </x:c>
    </x:row>
    <x:row r="14" ht="34" customHeight="1">
      <x:c r="A14" s="23"/>
      <x:c r="B14" s="15"/>
      <x:c r="C14" s="15"/>
      <x:c r="D14" s="15"/>
      <x:c r="E14" s="15"/>
      <x:c r="F14" s="16"/>
      <x:c r="G14" s="15"/>
      <x:c r="H14" s="10" t="str">
        <x:f>IF(COUNTA(A14:G14)=0,"",IF(ISERROR(A14),"Check date",IF(NOT(ISNUMBER(A14)),"Check date",IF(OR(A14&lt;1,A14&gt;=2958466,INT(A14)=60),"Check date",IF(ISERROR(B14),"Check account ID",IF(OR(NOT(EXACT(B14,UPPER(B14))),COUNTIFS('Accounts'!$A$10:$A$39,B14,'Accounts'!$H$10:$H$39,"OK")&lt;&gt;1),"Check account ID",IF(ISERROR(D14),"Check description",IF(LEN(TRIM(SUBSTITUTE(CLEAN(D14),CHAR(160)," ")))=0,"Check description",IF(ISERROR(E14),"Check type",IF(NOT(OR(EXACT(E14,"Charge"),EXACT(E14,"Payment"))),"Check type",IF(ISERROR(F14),"Check amount",IF(NOT(ISNUMBER(F14)),"Check amount",IF(OR(F14&lt;=0,ROUND(F14,2)&lt;&gt;F14),"Check amount","OK")))))))))))))</x:f>
      </x:c>
    </x:row>
    <x:row r="15" ht="34" customHeight="1">
      <x:c r="A15" s="25"/>
      <x:c r="B15" s="17"/>
      <x:c r="C15" s="17"/>
      <x:c r="D15" s="17"/>
      <x:c r="E15" s="17"/>
      <x:c r="F15" s="18"/>
      <x:c r="G15" s="17"/>
      <x:c r="H15" s="10" t="str">
        <x:f>IF(COUNTA(A15:G15)=0,"",IF(ISERROR(A15),"Check date",IF(NOT(ISNUMBER(A15)),"Check date",IF(OR(A15&lt;1,A15&gt;=2958466,INT(A15)=60),"Check date",IF(ISERROR(B15),"Check account ID",IF(OR(NOT(EXACT(B15,UPPER(B15))),COUNTIFS('Accounts'!$A$10:$A$39,B15,'Accounts'!$H$10:$H$39,"OK")&lt;&gt;1),"Check account ID",IF(ISERROR(D15),"Check description",IF(LEN(TRIM(SUBSTITUTE(CLEAN(D15),CHAR(160)," ")))=0,"Check description",IF(ISERROR(E15),"Check type",IF(NOT(OR(EXACT(E15,"Charge"),EXACT(E15,"Payment"))),"Check type",IF(ISERROR(F15),"Check amount",IF(NOT(ISNUMBER(F15)),"Check amount",IF(OR(F15&lt;=0,ROUND(F15,2)&lt;&gt;F15),"Check amount","OK")))))))))))))</x:f>
      </x:c>
    </x:row>
    <x:row r="16" ht="34" customHeight="1">
      <x:c r="A16" s="23"/>
      <x:c r="B16" s="15"/>
      <x:c r="C16" s="15"/>
      <x:c r="D16" s="15"/>
      <x:c r="E16" s="15"/>
      <x:c r="F16" s="16"/>
      <x:c r="G16" s="15"/>
      <x:c r="H16" s="10" t="str">
        <x:f>IF(COUNTA(A16:G16)=0,"",IF(ISERROR(A16),"Check date",IF(NOT(ISNUMBER(A16)),"Check date",IF(OR(A16&lt;1,A16&gt;=2958466,INT(A16)=60),"Check date",IF(ISERROR(B16),"Check account ID",IF(OR(NOT(EXACT(B16,UPPER(B16))),COUNTIFS('Accounts'!$A$10:$A$39,B16,'Accounts'!$H$10:$H$39,"OK")&lt;&gt;1),"Check account ID",IF(ISERROR(D16),"Check description",IF(LEN(TRIM(SUBSTITUTE(CLEAN(D16),CHAR(160)," ")))=0,"Check description",IF(ISERROR(E16),"Check type",IF(NOT(OR(EXACT(E16,"Charge"),EXACT(E16,"Payment"))),"Check type",IF(ISERROR(F16),"Check amount",IF(NOT(ISNUMBER(F16)),"Check amount",IF(OR(F16&lt;=0,ROUND(F16,2)&lt;&gt;F16),"Check amount","OK")))))))))))))</x:f>
      </x:c>
    </x:row>
    <x:row r="17" ht="34" customHeight="1">
      <x:c r="A17" s="25"/>
      <x:c r="B17" s="17"/>
      <x:c r="C17" s="17"/>
      <x:c r="D17" s="17"/>
      <x:c r="E17" s="17"/>
      <x:c r="F17" s="18"/>
      <x:c r="G17" s="17"/>
      <x:c r="H17" s="10" t="str">
        <x:f>IF(COUNTA(A17:G17)=0,"",IF(ISERROR(A17),"Check date",IF(NOT(ISNUMBER(A17)),"Check date",IF(OR(A17&lt;1,A17&gt;=2958466,INT(A17)=60),"Check date",IF(ISERROR(B17),"Check account ID",IF(OR(NOT(EXACT(B17,UPPER(B17))),COUNTIFS('Accounts'!$A$10:$A$39,B17,'Accounts'!$H$10:$H$39,"OK")&lt;&gt;1),"Check account ID",IF(ISERROR(D17),"Check description",IF(LEN(TRIM(SUBSTITUTE(CLEAN(D17),CHAR(160)," ")))=0,"Check description",IF(ISERROR(E17),"Check type",IF(NOT(OR(EXACT(E17,"Charge"),EXACT(E17,"Payment"))),"Check type",IF(ISERROR(F17),"Check amount",IF(NOT(ISNUMBER(F17)),"Check amount",IF(OR(F17&lt;=0,ROUND(F17,2)&lt;&gt;F17),"Check amount","OK")))))))))))))</x:f>
      </x:c>
    </x:row>
    <x:row r="18" ht="34" customHeight="1">
      <x:c r="A18" s="23"/>
      <x:c r="B18" s="15"/>
      <x:c r="C18" s="15"/>
      <x:c r="D18" s="15"/>
      <x:c r="E18" s="15"/>
      <x:c r="F18" s="16"/>
      <x:c r="G18" s="15"/>
      <x:c r="H18" s="10" t="str">
        <x:f>IF(COUNTA(A18:G18)=0,"",IF(ISERROR(A18),"Check date",IF(NOT(ISNUMBER(A18)),"Check date",IF(OR(A18&lt;1,A18&gt;=2958466,INT(A18)=60),"Check date",IF(ISERROR(B18),"Check account ID",IF(OR(NOT(EXACT(B18,UPPER(B18))),COUNTIFS('Accounts'!$A$10:$A$39,B18,'Accounts'!$H$10:$H$39,"OK")&lt;&gt;1),"Check account ID",IF(ISERROR(D18),"Check description",IF(LEN(TRIM(SUBSTITUTE(CLEAN(D18),CHAR(160)," ")))=0,"Check description",IF(ISERROR(E18),"Check type",IF(NOT(OR(EXACT(E18,"Charge"),EXACT(E18,"Payment"))),"Check type",IF(ISERROR(F18),"Check amount",IF(NOT(ISNUMBER(F18)),"Check amount",IF(OR(F18&lt;=0,ROUND(F18,2)&lt;&gt;F18),"Check amount","OK")))))))))))))</x:f>
      </x:c>
    </x:row>
    <x:row r="19" ht="34" customHeight="1">
      <x:c r="A19" s="25"/>
      <x:c r="B19" s="17"/>
      <x:c r="C19" s="17"/>
      <x:c r="D19" s="17"/>
      <x:c r="E19" s="17"/>
      <x:c r="F19" s="18"/>
      <x:c r="G19" s="17"/>
      <x:c r="H19" s="10" t="str">
        <x:f>IF(COUNTA(A19:G19)=0,"",IF(ISERROR(A19),"Check date",IF(NOT(ISNUMBER(A19)),"Check date",IF(OR(A19&lt;1,A19&gt;=2958466,INT(A19)=60),"Check date",IF(ISERROR(B19),"Check account ID",IF(OR(NOT(EXACT(B19,UPPER(B19))),COUNTIFS('Accounts'!$A$10:$A$39,B19,'Accounts'!$H$10:$H$39,"OK")&lt;&gt;1),"Check account ID",IF(ISERROR(D19),"Check description",IF(LEN(TRIM(SUBSTITUTE(CLEAN(D19),CHAR(160)," ")))=0,"Check description",IF(ISERROR(E19),"Check type",IF(NOT(OR(EXACT(E19,"Charge"),EXACT(E19,"Payment"))),"Check type",IF(ISERROR(F19),"Check amount",IF(NOT(ISNUMBER(F19)),"Check amount",IF(OR(F19&lt;=0,ROUND(F19,2)&lt;&gt;F19),"Check amount","OK")))))))))))))</x:f>
      </x:c>
    </x:row>
    <x:row r="20" ht="34" customHeight="1">
      <x:c r="A20" s="23"/>
      <x:c r="B20" s="15"/>
      <x:c r="C20" s="15"/>
      <x:c r="D20" s="15"/>
      <x:c r="E20" s="15"/>
      <x:c r="F20" s="16"/>
      <x:c r="G20" s="15"/>
      <x:c r="H20" s="10" t="str">
        <x:f>IF(COUNTA(A20:G20)=0,"",IF(ISERROR(A20),"Check date",IF(NOT(ISNUMBER(A20)),"Check date",IF(OR(A20&lt;1,A20&gt;=2958466,INT(A20)=60),"Check date",IF(ISERROR(B20),"Check account ID",IF(OR(NOT(EXACT(B20,UPPER(B20))),COUNTIFS('Accounts'!$A$10:$A$39,B20,'Accounts'!$H$10:$H$39,"OK")&lt;&gt;1),"Check account ID",IF(ISERROR(D20),"Check description",IF(LEN(TRIM(SUBSTITUTE(CLEAN(D20),CHAR(160)," ")))=0,"Check description",IF(ISERROR(E20),"Check type",IF(NOT(OR(EXACT(E20,"Charge"),EXACT(E20,"Payment"))),"Check type",IF(ISERROR(F20),"Check amount",IF(NOT(ISNUMBER(F20)),"Check amount",IF(OR(F20&lt;=0,ROUND(F20,2)&lt;&gt;F20),"Check amount","OK")))))))))))))</x:f>
      </x:c>
    </x:row>
    <x:row r="21" ht="34" customHeight="1">
      <x:c r="A21" s="25"/>
      <x:c r="B21" s="17"/>
      <x:c r="C21" s="17"/>
      <x:c r="D21" s="17"/>
      <x:c r="E21" s="17"/>
      <x:c r="F21" s="18"/>
      <x:c r="G21" s="17"/>
      <x:c r="H21" s="10" t="str">
        <x:f>IF(COUNTA(A21:G21)=0,"",IF(ISERROR(A21),"Check date",IF(NOT(ISNUMBER(A21)),"Check date",IF(OR(A21&lt;1,A21&gt;=2958466,INT(A21)=60),"Check date",IF(ISERROR(B21),"Check account ID",IF(OR(NOT(EXACT(B21,UPPER(B21))),COUNTIFS('Accounts'!$A$10:$A$39,B21,'Accounts'!$H$10:$H$39,"OK")&lt;&gt;1),"Check account ID",IF(ISERROR(D21),"Check description",IF(LEN(TRIM(SUBSTITUTE(CLEAN(D21),CHAR(160)," ")))=0,"Check description",IF(ISERROR(E21),"Check type",IF(NOT(OR(EXACT(E21,"Charge"),EXACT(E21,"Payment"))),"Check type",IF(ISERROR(F21),"Check amount",IF(NOT(ISNUMBER(F21)),"Check amount",IF(OR(F21&lt;=0,ROUND(F21,2)&lt;&gt;F21),"Check amount","OK")))))))))))))</x:f>
      </x:c>
    </x:row>
    <x:row r="22" ht="34" customHeight="1">
      <x:c r="A22" s="23"/>
      <x:c r="B22" s="15"/>
      <x:c r="C22" s="15"/>
      <x:c r="D22" s="15"/>
      <x:c r="E22" s="15"/>
      <x:c r="F22" s="16"/>
      <x:c r="G22" s="15"/>
      <x:c r="H22" s="10" t="str">
        <x:f>IF(COUNTA(A22:G22)=0,"",IF(ISERROR(A22),"Check date",IF(NOT(ISNUMBER(A22)),"Check date",IF(OR(A22&lt;1,A22&gt;=2958466,INT(A22)=60),"Check date",IF(ISERROR(B22),"Check account ID",IF(OR(NOT(EXACT(B22,UPPER(B22))),COUNTIFS('Accounts'!$A$10:$A$39,B22,'Accounts'!$H$10:$H$39,"OK")&lt;&gt;1),"Check account ID",IF(ISERROR(D22),"Check description",IF(LEN(TRIM(SUBSTITUTE(CLEAN(D22),CHAR(160)," ")))=0,"Check description",IF(ISERROR(E22),"Check type",IF(NOT(OR(EXACT(E22,"Charge"),EXACT(E22,"Payment"))),"Check type",IF(ISERROR(F22),"Check amount",IF(NOT(ISNUMBER(F22)),"Check amount",IF(OR(F22&lt;=0,ROUND(F22,2)&lt;&gt;F22),"Check amount","OK")))))))))))))</x:f>
      </x:c>
    </x:row>
    <x:row r="23" ht="34" customHeight="1">
      <x:c r="A23" s="25"/>
      <x:c r="B23" s="17"/>
      <x:c r="C23" s="17"/>
      <x:c r="D23" s="17"/>
      <x:c r="E23" s="17"/>
      <x:c r="F23" s="18"/>
      <x:c r="G23" s="17"/>
      <x:c r="H23" s="10" t="str">
        <x:f>IF(COUNTA(A23:G23)=0,"",IF(ISERROR(A23),"Check date",IF(NOT(ISNUMBER(A23)),"Check date",IF(OR(A23&lt;1,A23&gt;=2958466,INT(A23)=60),"Check date",IF(ISERROR(B23),"Check account ID",IF(OR(NOT(EXACT(B23,UPPER(B23))),COUNTIFS('Accounts'!$A$10:$A$39,B23,'Accounts'!$H$10:$H$39,"OK")&lt;&gt;1),"Check account ID",IF(ISERROR(D23),"Check description",IF(LEN(TRIM(SUBSTITUTE(CLEAN(D23),CHAR(160)," ")))=0,"Check description",IF(ISERROR(E23),"Check type",IF(NOT(OR(EXACT(E23,"Charge"),EXACT(E23,"Payment"))),"Check type",IF(ISERROR(F23),"Check amount",IF(NOT(ISNUMBER(F23)),"Check amount",IF(OR(F23&lt;=0,ROUND(F23,2)&lt;&gt;F23),"Check amount","OK")))))))))))))</x:f>
      </x:c>
    </x:row>
    <x:row r="24" ht="34" customHeight="1">
      <x:c r="A24" s="23"/>
      <x:c r="B24" s="15"/>
      <x:c r="C24" s="15"/>
      <x:c r="D24" s="15"/>
      <x:c r="E24" s="15"/>
      <x:c r="F24" s="16"/>
      <x:c r="G24" s="15"/>
      <x:c r="H24" s="10" t="str">
        <x:f>IF(COUNTA(A24:G24)=0,"",IF(ISERROR(A24),"Check date",IF(NOT(ISNUMBER(A24)),"Check date",IF(OR(A24&lt;1,A24&gt;=2958466,INT(A24)=60),"Check date",IF(ISERROR(B24),"Check account ID",IF(OR(NOT(EXACT(B24,UPPER(B24))),COUNTIFS('Accounts'!$A$10:$A$39,B24,'Accounts'!$H$10:$H$39,"OK")&lt;&gt;1),"Check account ID",IF(ISERROR(D24),"Check description",IF(LEN(TRIM(SUBSTITUTE(CLEAN(D24),CHAR(160)," ")))=0,"Check description",IF(ISERROR(E24),"Check type",IF(NOT(OR(EXACT(E24,"Charge"),EXACT(E24,"Payment"))),"Check type",IF(ISERROR(F24),"Check amount",IF(NOT(ISNUMBER(F24)),"Check amount",IF(OR(F24&lt;=0,ROUND(F24,2)&lt;&gt;F24),"Check amount","OK")))))))))))))</x:f>
      </x:c>
    </x:row>
    <x:row r="25" ht="34" customHeight="1">
      <x:c r="A25" s="25"/>
      <x:c r="B25" s="17"/>
      <x:c r="C25" s="17"/>
      <x:c r="D25" s="17"/>
      <x:c r="E25" s="17"/>
      <x:c r="F25" s="18"/>
      <x:c r="G25" s="17"/>
      <x:c r="H25" s="10" t="str">
        <x:f>IF(COUNTA(A25:G25)=0,"",IF(ISERROR(A25),"Check date",IF(NOT(ISNUMBER(A25)),"Check date",IF(OR(A25&lt;1,A25&gt;=2958466,INT(A25)=60),"Check date",IF(ISERROR(B25),"Check account ID",IF(OR(NOT(EXACT(B25,UPPER(B25))),COUNTIFS('Accounts'!$A$10:$A$39,B25,'Accounts'!$H$10:$H$39,"OK")&lt;&gt;1),"Check account ID",IF(ISERROR(D25),"Check description",IF(LEN(TRIM(SUBSTITUTE(CLEAN(D25),CHAR(160)," ")))=0,"Check description",IF(ISERROR(E25),"Check type",IF(NOT(OR(EXACT(E25,"Charge"),EXACT(E25,"Payment"))),"Check type",IF(ISERROR(F25),"Check amount",IF(NOT(ISNUMBER(F25)),"Check amount",IF(OR(F25&lt;=0,ROUND(F25,2)&lt;&gt;F25),"Check amount","OK")))))))))))))</x:f>
      </x:c>
    </x:row>
    <x:row r="26" ht="34" customHeight="1">
      <x:c r="A26" s="23"/>
      <x:c r="B26" s="15"/>
      <x:c r="C26" s="15"/>
      <x:c r="D26" s="15"/>
      <x:c r="E26" s="15"/>
      <x:c r="F26" s="16"/>
      <x:c r="G26" s="15"/>
      <x:c r="H26" s="10" t="str">
        <x:f>IF(COUNTA(A26:G26)=0,"",IF(ISERROR(A26),"Check date",IF(NOT(ISNUMBER(A26)),"Check date",IF(OR(A26&lt;1,A26&gt;=2958466,INT(A26)=60),"Check date",IF(ISERROR(B26),"Check account ID",IF(OR(NOT(EXACT(B26,UPPER(B26))),COUNTIFS('Accounts'!$A$10:$A$39,B26,'Accounts'!$H$10:$H$39,"OK")&lt;&gt;1),"Check account ID",IF(ISERROR(D26),"Check description",IF(LEN(TRIM(SUBSTITUTE(CLEAN(D26),CHAR(160)," ")))=0,"Check description",IF(ISERROR(E26),"Check type",IF(NOT(OR(EXACT(E26,"Charge"),EXACT(E26,"Payment"))),"Check type",IF(ISERROR(F26),"Check amount",IF(NOT(ISNUMBER(F26)),"Check amount",IF(OR(F26&lt;=0,ROUND(F26,2)&lt;&gt;F26),"Check amount","OK")))))))))))))</x:f>
      </x:c>
    </x:row>
    <x:row r="27" ht="34" customHeight="1">
      <x:c r="A27" s="25"/>
      <x:c r="B27" s="17"/>
      <x:c r="C27" s="17"/>
      <x:c r="D27" s="17"/>
      <x:c r="E27" s="17"/>
      <x:c r="F27" s="18"/>
      <x:c r="G27" s="17"/>
      <x:c r="H27" s="10" t="str">
        <x:f>IF(COUNTA(A27:G27)=0,"",IF(ISERROR(A27),"Check date",IF(NOT(ISNUMBER(A27)),"Check date",IF(OR(A27&lt;1,A27&gt;=2958466,INT(A27)=60),"Check date",IF(ISERROR(B27),"Check account ID",IF(OR(NOT(EXACT(B27,UPPER(B27))),COUNTIFS('Accounts'!$A$10:$A$39,B27,'Accounts'!$H$10:$H$39,"OK")&lt;&gt;1),"Check account ID",IF(ISERROR(D27),"Check description",IF(LEN(TRIM(SUBSTITUTE(CLEAN(D27),CHAR(160)," ")))=0,"Check description",IF(ISERROR(E27),"Check type",IF(NOT(OR(EXACT(E27,"Charge"),EXACT(E27,"Payment"))),"Check type",IF(ISERROR(F27),"Check amount",IF(NOT(ISNUMBER(F27)),"Check amount",IF(OR(F27&lt;=0,ROUND(F27,2)&lt;&gt;F27),"Check amount","OK")))))))))))))</x:f>
      </x:c>
    </x:row>
    <x:row r="28" ht="34" customHeight="1">
      <x:c r="A28" s="23"/>
      <x:c r="B28" s="15"/>
      <x:c r="C28" s="15"/>
      <x:c r="D28" s="15"/>
      <x:c r="E28" s="15"/>
      <x:c r="F28" s="16"/>
      <x:c r="G28" s="15"/>
      <x:c r="H28" s="10" t="str">
        <x:f>IF(COUNTA(A28:G28)=0,"",IF(ISERROR(A28),"Check date",IF(NOT(ISNUMBER(A28)),"Check date",IF(OR(A28&lt;1,A28&gt;=2958466,INT(A28)=60),"Check date",IF(ISERROR(B28),"Check account ID",IF(OR(NOT(EXACT(B28,UPPER(B28))),COUNTIFS('Accounts'!$A$10:$A$39,B28,'Accounts'!$H$10:$H$39,"OK")&lt;&gt;1),"Check account ID",IF(ISERROR(D28),"Check description",IF(LEN(TRIM(SUBSTITUTE(CLEAN(D28),CHAR(160)," ")))=0,"Check description",IF(ISERROR(E28),"Check type",IF(NOT(OR(EXACT(E28,"Charge"),EXACT(E28,"Payment"))),"Check type",IF(ISERROR(F28),"Check amount",IF(NOT(ISNUMBER(F28)),"Check amount",IF(OR(F28&lt;=0,ROUND(F28,2)&lt;&gt;F28),"Check amount","OK")))))))))))))</x:f>
      </x:c>
    </x:row>
    <x:row r="29" ht="34" customHeight="1">
      <x:c r="A29" s="25"/>
      <x:c r="B29" s="17"/>
      <x:c r="C29" s="17"/>
      <x:c r="D29" s="17"/>
      <x:c r="E29" s="17"/>
      <x:c r="F29" s="18"/>
      <x:c r="G29" s="17"/>
      <x:c r="H29" s="10" t="str">
        <x:f>IF(COUNTA(A29:G29)=0,"",IF(ISERROR(A29),"Check date",IF(NOT(ISNUMBER(A29)),"Check date",IF(OR(A29&lt;1,A29&gt;=2958466,INT(A29)=60),"Check date",IF(ISERROR(B29),"Check account ID",IF(OR(NOT(EXACT(B29,UPPER(B29))),COUNTIFS('Accounts'!$A$10:$A$39,B29,'Accounts'!$H$10:$H$39,"OK")&lt;&gt;1),"Check account ID",IF(ISERROR(D29),"Check description",IF(LEN(TRIM(SUBSTITUTE(CLEAN(D29),CHAR(160)," ")))=0,"Check description",IF(ISERROR(E29),"Check type",IF(NOT(OR(EXACT(E29,"Charge"),EXACT(E29,"Payment"))),"Check type",IF(ISERROR(F29),"Check amount",IF(NOT(ISNUMBER(F29)),"Check amount",IF(OR(F29&lt;=0,ROUND(F29,2)&lt;&gt;F29),"Check amount","OK")))))))))))))</x:f>
      </x:c>
    </x:row>
    <x:row r="30" ht="34" customHeight="1">
      <x:c r="A30" s="23"/>
      <x:c r="B30" s="15"/>
      <x:c r="C30" s="15"/>
      <x:c r="D30" s="15"/>
      <x:c r="E30" s="15"/>
      <x:c r="F30" s="16"/>
      <x:c r="G30" s="15"/>
      <x:c r="H30" s="10" t="str">
        <x:f>IF(COUNTA(A30:G30)=0,"",IF(ISERROR(A30),"Check date",IF(NOT(ISNUMBER(A30)),"Check date",IF(OR(A30&lt;1,A30&gt;=2958466,INT(A30)=60),"Check date",IF(ISERROR(B30),"Check account ID",IF(OR(NOT(EXACT(B30,UPPER(B30))),COUNTIFS('Accounts'!$A$10:$A$39,B30,'Accounts'!$H$10:$H$39,"OK")&lt;&gt;1),"Check account ID",IF(ISERROR(D30),"Check description",IF(LEN(TRIM(SUBSTITUTE(CLEAN(D30),CHAR(160)," ")))=0,"Check description",IF(ISERROR(E30),"Check type",IF(NOT(OR(EXACT(E30,"Charge"),EXACT(E30,"Payment"))),"Check type",IF(ISERROR(F30),"Check amount",IF(NOT(ISNUMBER(F30)),"Check amount",IF(OR(F30&lt;=0,ROUND(F30,2)&lt;&gt;F30),"Check amount","OK")))))))))))))</x:f>
      </x:c>
    </x:row>
    <x:row r="31" ht="34" customHeight="1">
      <x:c r="A31" s="25"/>
      <x:c r="B31" s="17"/>
      <x:c r="C31" s="17"/>
      <x:c r="D31" s="17"/>
      <x:c r="E31" s="17"/>
      <x:c r="F31" s="18"/>
      <x:c r="G31" s="17"/>
      <x:c r="H31" s="10" t="str">
        <x:f>IF(COUNTA(A31:G31)=0,"",IF(ISERROR(A31),"Check date",IF(NOT(ISNUMBER(A31)),"Check date",IF(OR(A31&lt;1,A31&gt;=2958466,INT(A31)=60),"Check date",IF(ISERROR(B31),"Check account ID",IF(OR(NOT(EXACT(B31,UPPER(B31))),COUNTIFS('Accounts'!$A$10:$A$39,B31,'Accounts'!$H$10:$H$39,"OK")&lt;&gt;1),"Check account ID",IF(ISERROR(D31),"Check description",IF(LEN(TRIM(SUBSTITUTE(CLEAN(D31),CHAR(160)," ")))=0,"Check description",IF(ISERROR(E31),"Check type",IF(NOT(OR(EXACT(E31,"Charge"),EXACT(E31,"Payment"))),"Check type",IF(ISERROR(F31),"Check amount",IF(NOT(ISNUMBER(F31)),"Check amount",IF(OR(F31&lt;=0,ROUND(F31,2)&lt;&gt;F31),"Check amount","OK")))))))))))))</x:f>
      </x:c>
    </x:row>
    <x:row r="32" ht="34" customHeight="1">
      <x:c r="A32" s="23"/>
      <x:c r="B32" s="15"/>
      <x:c r="C32" s="15"/>
      <x:c r="D32" s="15"/>
      <x:c r="E32" s="15"/>
      <x:c r="F32" s="16"/>
      <x:c r="G32" s="15"/>
      <x:c r="H32" s="10" t="str">
        <x:f>IF(COUNTA(A32:G32)=0,"",IF(ISERROR(A32),"Check date",IF(NOT(ISNUMBER(A32)),"Check date",IF(OR(A32&lt;1,A32&gt;=2958466,INT(A32)=60),"Check date",IF(ISERROR(B32),"Check account ID",IF(OR(NOT(EXACT(B32,UPPER(B32))),COUNTIFS('Accounts'!$A$10:$A$39,B32,'Accounts'!$H$10:$H$39,"OK")&lt;&gt;1),"Check account ID",IF(ISERROR(D32),"Check description",IF(LEN(TRIM(SUBSTITUTE(CLEAN(D32),CHAR(160)," ")))=0,"Check description",IF(ISERROR(E32),"Check type",IF(NOT(OR(EXACT(E32,"Charge"),EXACT(E32,"Payment"))),"Check type",IF(ISERROR(F32),"Check amount",IF(NOT(ISNUMBER(F32)),"Check amount",IF(OR(F32&lt;=0,ROUND(F32,2)&lt;&gt;F32),"Check amount","OK")))))))))))))</x:f>
      </x:c>
    </x:row>
    <x:row r="33" ht="34" customHeight="1">
      <x:c r="A33" s="25"/>
      <x:c r="B33" s="17"/>
      <x:c r="C33" s="17"/>
      <x:c r="D33" s="17"/>
      <x:c r="E33" s="17"/>
      <x:c r="F33" s="18"/>
      <x:c r="G33" s="17"/>
      <x:c r="H33" s="10" t="str">
        <x:f>IF(COUNTA(A33:G33)=0,"",IF(ISERROR(A33),"Check date",IF(NOT(ISNUMBER(A33)),"Check date",IF(OR(A33&lt;1,A33&gt;=2958466,INT(A33)=60),"Check date",IF(ISERROR(B33),"Check account ID",IF(OR(NOT(EXACT(B33,UPPER(B33))),COUNTIFS('Accounts'!$A$10:$A$39,B33,'Accounts'!$H$10:$H$39,"OK")&lt;&gt;1),"Check account ID",IF(ISERROR(D33),"Check description",IF(LEN(TRIM(SUBSTITUTE(CLEAN(D33),CHAR(160)," ")))=0,"Check description",IF(ISERROR(E33),"Check type",IF(NOT(OR(EXACT(E33,"Charge"),EXACT(E33,"Payment"))),"Check type",IF(ISERROR(F33),"Check amount",IF(NOT(ISNUMBER(F33)),"Check amount",IF(OR(F33&lt;=0,ROUND(F33,2)&lt;&gt;F33),"Check amount","OK")))))))))))))</x:f>
      </x:c>
    </x:row>
    <x:row r="34" ht="34" customHeight="1">
      <x:c r="A34" s="23"/>
      <x:c r="B34" s="15"/>
      <x:c r="C34" s="15"/>
      <x:c r="D34" s="15"/>
      <x:c r="E34" s="15"/>
      <x:c r="F34" s="16"/>
      <x:c r="G34" s="15"/>
      <x:c r="H34" s="10" t="str">
        <x:f>IF(COUNTA(A34:G34)=0,"",IF(ISERROR(A34),"Check date",IF(NOT(ISNUMBER(A34)),"Check date",IF(OR(A34&lt;1,A34&gt;=2958466,INT(A34)=60),"Check date",IF(ISERROR(B34),"Check account ID",IF(OR(NOT(EXACT(B34,UPPER(B34))),COUNTIFS('Accounts'!$A$10:$A$39,B34,'Accounts'!$H$10:$H$39,"OK")&lt;&gt;1),"Check account ID",IF(ISERROR(D34),"Check description",IF(LEN(TRIM(SUBSTITUTE(CLEAN(D34),CHAR(160)," ")))=0,"Check description",IF(ISERROR(E34),"Check type",IF(NOT(OR(EXACT(E34,"Charge"),EXACT(E34,"Payment"))),"Check type",IF(ISERROR(F34),"Check amount",IF(NOT(ISNUMBER(F34)),"Check amount",IF(OR(F34&lt;=0,ROUND(F34,2)&lt;&gt;F34),"Check amount","OK")))))))))))))</x:f>
      </x:c>
    </x:row>
    <x:row r="35" ht="34" customHeight="1">
      <x:c r="A35" s="25"/>
      <x:c r="B35" s="17"/>
      <x:c r="C35" s="17"/>
      <x:c r="D35" s="17"/>
      <x:c r="E35" s="17"/>
      <x:c r="F35" s="18"/>
      <x:c r="G35" s="17"/>
      <x:c r="H35" s="10" t="str">
        <x:f>IF(COUNTA(A35:G35)=0,"",IF(ISERROR(A35),"Check date",IF(NOT(ISNUMBER(A35)),"Check date",IF(OR(A35&lt;1,A35&gt;=2958466,INT(A35)=60),"Check date",IF(ISERROR(B35),"Check account ID",IF(OR(NOT(EXACT(B35,UPPER(B35))),COUNTIFS('Accounts'!$A$10:$A$39,B35,'Accounts'!$H$10:$H$39,"OK")&lt;&gt;1),"Check account ID",IF(ISERROR(D35),"Check description",IF(LEN(TRIM(SUBSTITUTE(CLEAN(D35),CHAR(160)," ")))=0,"Check description",IF(ISERROR(E35),"Check type",IF(NOT(OR(EXACT(E35,"Charge"),EXACT(E35,"Payment"))),"Check type",IF(ISERROR(F35),"Check amount",IF(NOT(ISNUMBER(F35)),"Check amount",IF(OR(F35&lt;=0,ROUND(F35,2)&lt;&gt;F35),"Check amount","OK")))))))))))))</x:f>
      </x:c>
    </x:row>
    <x:row r="36" ht="34" customHeight="1">
      <x:c r="A36" s="23"/>
      <x:c r="B36" s="15"/>
      <x:c r="C36" s="15"/>
      <x:c r="D36" s="15"/>
      <x:c r="E36" s="15"/>
      <x:c r="F36" s="16"/>
      <x:c r="G36" s="15"/>
      <x:c r="H36" s="10" t="str">
        <x:f>IF(COUNTA(A36:G36)=0,"",IF(ISERROR(A36),"Check date",IF(NOT(ISNUMBER(A36)),"Check date",IF(OR(A36&lt;1,A36&gt;=2958466,INT(A36)=60),"Check date",IF(ISERROR(B36),"Check account ID",IF(OR(NOT(EXACT(B36,UPPER(B36))),COUNTIFS('Accounts'!$A$10:$A$39,B36,'Accounts'!$H$10:$H$39,"OK")&lt;&gt;1),"Check account ID",IF(ISERROR(D36),"Check description",IF(LEN(TRIM(SUBSTITUTE(CLEAN(D36),CHAR(160)," ")))=0,"Check description",IF(ISERROR(E36),"Check type",IF(NOT(OR(EXACT(E36,"Charge"),EXACT(E36,"Payment"))),"Check type",IF(ISERROR(F36),"Check amount",IF(NOT(ISNUMBER(F36)),"Check amount",IF(OR(F36&lt;=0,ROUND(F36,2)&lt;&gt;F36),"Check amount","OK")))))))))))))</x:f>
      </x:c>
    </x:row>
    <x:row r="37" ht="34" customHeight="1">
      <x:c r="A37" s="25"/>
      <x:c r="B37" s="17"/>
      <x:c r="C37" s="17"/>
      <x:c r="D37" s="17"/>
      <x:c r="E37" s="17"/>
      <x:c r="F37" s="18"/>
      <x:c r="G37" s="17"/>
      <x:c r="H37" s="10" t="str">
        <x:f>IF(COUNTA(A37:G37)=0,"",IF(ISERROR(A37),"Check date",IF(NOT(ISNUMBER(A37)),"Check date",IF(OR(A37&lt;1,A37&gt;=2958466,INT(A37)=60),"Check date",IF(ISERROR(B37),"Check account ID",IF(OR(NOT(EXACT(B37,UPPER(B37))),COUNTIFS('Accounts'!$A$10:$A$39,B37,'Accounts'!$H$10:$H$39,"OK")&lt;&gt;1),"Check account ID",IF(ISERROR(D37),"Check description",IF(LEN(TRIM(SUBSTITUTE(CLEAN(D37),CHAR(160)," ")))=0,"Check description",IF(ISERROR(E37),"Check type",IF(NOT(OR(EXACT(E37,"Charge"),EXACT(E37,"Payment"))),"Check type",IF(ISERROR(F37),"Check amount",IF(NOT(ISNUMBER(F37)),"Check amount",IF(OR(F37&lt;=0,ROUND(F37,2)&lt;&gt;F37),"Check amount","OK")))))))))))))</x:f>
      </x:c>
    </x:row>
    <x:row r="38" ht="34" customHeight="1">
      <x:c r="A38" s="23"/>
      <x:c r="B38" s="15"/>
      <x:c r="C38" s="15"/>
      <x:c r="D38" s="15"/>
      <x:c r="E38" s="15"/>
      <x:c r="F38" s="16"/>
      <x:c r="G38" s="15"/>
      <x:c r="H38" s="10" t="str">
        <x:f>IF(COUNTA(A38:G38)=0,"",IF(ISERROR(A38),"Check date",IF(NOT(ISNUMBER(A38)),"Check date",IF(OR(A38&lt;1,A38&gt;=2958466,INT(A38)=60),"Check date",IF(ISERROR(B38),"Check account ID",IF(OR(NOT(EXACT(B38,UPPER(B38))),COUNTIFS('Accounts'!$A$10:$A$39,B38,'Accounts'!$H$10:$H$39,"OK")&lt;&gt;1),"Check account ID",IF(ISERROR(D38),"Check description",IF(LEN(TRIM(SUBSTITUTE(CLEAN(D38),CHAR(160)," ")))=0,"Check description",IF(ISERROR(E38),"Check type",IF(NOT(OR(EXACT(E38,"Charge"),EXACT(E38,"Payment"))),"Check type",IF(ISERROR(F38),"Check amount",IF(NOT(ISNUMBER(F38)),"Check amount",IF(OR(F38&lt;=0,ROUND(F38,2)&lt;&gt;F38),"Check amount","OK")))))))))))))</x:f>
      </x:c>
    </x:row>
    <x:row r="39" ht="34" customHeight="1">
      <x:c r="A39" s="25"/>
      <x:c r="B39" s="17"/>
      <x:c r="C39" s="17"/>
      <x:c r="D39" s="17"/>
      <x:c r="E39" s="17"/>
      <x:c r="F39" s="18"/>
      <x:c r="G39" s="17"/>
      <x:c r="H39" s="10" t="str">
        <x:f>IF(COUNTA(A39:G39)=0,"",IF(ISERROR(A39),"Check date",IF(NOT(ISNUMBER(A39)),"Check date",IF(OR(A39&lt;1,A39&gt;=2958466,INT(A39)=60),"Check date",IF(ISERROR(B39),"Check account ID",IF(OR(NOT(EXACT(B39,UPPER(B39))),COUNTIFS('Accounts'!$A$10:$A$39,B39,'Accounts'!$H$10:$H$39,"OK")&lt;&gt;1),"Check account ID",IF(ISERROR(D39),"Check description",IF(LEN(TRIM(SUBSTITUTE(CLEAN(D39),CHAR(160)," ")))=0,"Check description",IF(ISERROR(E39),"Check type",IF(NOT(OR(EXACT(E39,"Charge"),EXACT(E39,"Payment"))),"Check type",IF(ISERROR(F39),"Check amount",IF(NOT(ISNUMBER(F39)),"Check amount",IF(OR(F39&lt;=0,ROUND(F39,2)&lt;&gt;F39),"Check amount","OK")))))))))))))</x:f>
      </x:c>
    </x:row>
    <x:row r="40" ht="34" customHeight="1">
      <x:c r="A40" s="23"/>
      <x:c r="B40" s="15"/>
      <x:c r="C40" s="15"/>
      <x:c r="D40" s="15"/>
      <x:c r="E40" s="15"/>
      <x:c r="F40" s="16"/>
      <x:c r="G40" s="15"/>
      <x:c r="H40" s="10" t="str">
        <x:f>IF(COUNTA(A40:G40)=0,"",IF(ISERROR(A40),"Check date",IF(NOT(ISNUMBER(A40)),"Check date",IF(OR(A40&lt;1,A40&gt;=2958466,INT(A40)=60),"Check date",IF(ISERROR(B40),"Check account ID",IF(OR(NOT(EXACT(B40,UPPER(B40))),COUNTIFS('Accounts'!$A$10:$A$39,B40,'Accounts'!$H$10:$H$39,"OK")&lt;&gt;1),"Check account ID",IF(ISERROR(D40),"Check description",IF(LEN(TRIM(SUBSTITUTE(CLEAN(D40),CHAR(160)," ")))=0,"Check description",IF(ISERROR(E40),"Check type",IF(NOT(OR(EXACT(E40,"Charge"),EXACT(E40,"Payment"))),"Check type",IF(ISERROR(F40),"Check amount",IF(NOT(ISNUMBER(F40)),"Check amount",IF(OR(F40&lt;=0,ROUND(F40,2)&lt;&gt;F40),"Check amount","OK")))))))))))))</x:f>
      </x:c>
    </x:row>
    <x:row r="41" ht="34" customHeight="1">
      <x:c r="A41" s="25"/>
      <x:c r="B41" s="17"/>
      <x:c r="C41" s="17"/>
      <x:c r="D41" s="17"/>
      <x:c r="E41" s="17"/>
      <x:c r="F41" s="18"/>
      <x:c r="G41" s="17"/>
      <x:c r="H41" s="10" t="str">
        <x:f>IF(COUNTA(A41:G41)=0,"",IF(ISERROR(A41),"Check date",IF(NOT(ISNUMBER(A41)),"Check date",IF(OR(A41&lt;1,A41&gt;=2958466,INT(A41)=60),"Check date",IF(ISERROR(B41),"Check account ID",IF(OR(NOT(EXACT(B41,UPPER(B41))),COUNTIFS('Accounts'!$A$10:$A$39,B41,'Accounts'!$H$10:$H$39,"OK")&lt;&gt;1),"Check account ID",IF(ISERROR(D41),"Check description",IF(LEN(TRIM(SUBSTITUTE(CLEAN(D41),CHAR(160)," ")))=0,"Check description",IF(ISERROR(E41),"Check type",IF(NOT(OR(EXACT(E41,"Charge"),EXACT(E41,"Payment"))),"Check type",IF(ISERROR(F41),"Check amount",IF(NOT(ISNUMBER(F41)),"Check amount",IF(OR(F41&lt;=0,ROUND(F41,2)&lt;&gt;F41),"Check amount","OK")))))))))))))</x:f>
      </x:c>
    </x:row>
    <x:row r="42" ht="34" customHeight="1">
      <x:c r="A42" s="23"/>
      <x:c r="B42" s="15"/>
      <x:c r="C42" s="15"/>
      <x:c r="D42" s="15"/>
      <x:c r="E42" s="15"/>
      <x:c r="F42" s="16"/>
      <x:c r="G42" s="15"/>
      <x:c r="H42" s="10" t="str">
        <x:f>IF(COUNTA(A42:G42)=0,"",IF(ISERROR(A42),"Check date",IF(NOT(ISNUMBER(A42)),"Check date",IF(OR(A42&lt;1,A42&gt;=2958466,INT(A42)=60),"Check date",IF(ISERROR(B42),"Check account ID",IF(OR(NOT(EXACT(B42,UPPER(B42))),COUNTIFS('Accounts'!$A$10:$A$39,B42,'Accounts'!$H$10:$H$39,"OK")&lt;&gt;1),"Check account ID",IF(ISERROR(D42),"Check description",IF(LEN(TRIM(SUBSTITUTE(CLEAN(D42),CHAR(160)," ")))=0,"Check description",IF(ISERROR(E42),"Check type",IF(NOT(OR(EXACT(E42,"Charge"),EXACT(E42,"Payment"))),"Check type",IF(ISERROR(F42),"Check amount",IF(NOT(ISNUMBER(F42)),"Check amount",IF(OR(F42&lt;=0,ROUND(F42,2)&lt;&gt;F42),"Check amount","OK")))))))))))))</x:f>
      </x:c>
    </x:row>
    <x:row r="43" ht="34" customHeight="1">
      <x:c r="A43" s="25"/>
      <x:c r="B43" s="17"/>
      <x:c r="C43" s="17"/>
      <x:c r="D43" s="17"/>
      <x:c r="E43" s="17"/>
      <x:c r="F43" s="18"/>
      <x:c r="G43" s="17"/>
      <x:c r="H43" s="10" t="str">
        <x:f>IF(COUNTA(A43:G43)=0,"",IF(ISERROR(A43),"Check date",IF(NOT(ISNUMBER(A43)),"Check date",IF(OR(A43&lt;1,A43&gt;=2958466,INT(A43)=60),"Check date",IF(ISERROR(B43),"Check account ID",IF(OR(NOT(EXACT(B43,UPPER(B43))),COUNTIFS('Accounts'!$A$10:$A$39,B43,'Accounts'!$H$10:$H$39,"OK")&lt;&gt;1),"Check account ID",IF(ISERROR(D43),"Check description",IF(LEN(TRIM(SUBSTITUTE(CLEAN(D43),CHAR(160)," ")))=0,"Check description",IF(ISERROR(E43),"Check type",IF(NOT(OR(EXACT(E43,"Charge"),EXACT(E43,"Payment"))),"Check type",IF(ISERROR(F43),"Check amount",IF(NOT(ISNUMBER(F43)),"Check amount",IF(OR(F43&lt;=0,ROUND(F43,2)&lt;&gt;F43),"Check amount","OK")))))))))))))</x:f>
      </x:c>
    </x:row>
    <x:row r="44" ht="34" customHeight="1">
      <x:c r="A44" s="23"/>
      <x:c r="B44" s="15"/>
      <x:c r="C44" s="15"/>
      <x:c r="D44" s="15"/>
      <x:c r="E44" s="15"/>
      <x:c r="F44" s="16"/>
      <x:c r="G44" s="15"/>
      <x:c r="H44" s="10" t="str">
        <x:f>IF(COUNTA(A44:G44)=0,"",IF(ISERROR(A44),"Check date",IF(NOT(ISNUMBER(A44)),"Check date",IF(OR(A44&lt;1,A44&gt;=2958466,INT(A44)=60),"Check date",IF(ISERROR(B44),"Check account ID",IF(OR(NOT(EXACT(B44,UPPER(B44))),COUNTIFS('Accounts'!$A$10:$A$39,B44,'Accounts'!$H$10:$H$39,"OK")&lt;&gt;1),"Check account ID",IF(ISERROR(D44),"Check description",IF(LEN(TRIM(SUBSTITUTE(CLEAN(D44),CHAR(160)," ")))=0,"Check description",IF(ISERROR(E44),"Check type",IF(NOT(OR(EXACT(E44,"Charge"),EXACT(E44,"Payment"))),"Check type",IF(ISERROR(F44),"Check amount",IF(NOT(ISNUMBER(F44)),"Check amount",IF(OR(F44&lt;=0,ROUND(F44,2)&lt;&gt;F44),"Check amount","OK")))))))))))))</x:f>
      </x:c>
    </x:row>
    <x:row r="45" ht="34" customHeight="1">
      <x:c r="A45" s="25"/>
      <x:c r="B45" s="17"/>
      <x:c r="C45" s="17"/>
      <x:c r="D45" s="17"/>
      <x:c r="E45" s="17"/>
      <x:c r="F45" s="18"/>
      <x:c r="G45" s="17"/>
      <x:c r="H45" s="10" t="str">
        <x:f>IF(COUNTA(A45:G45)=0,"",IF(ISERROR(A45),"Check date",IF(NOT(ISNUMBER(A45)),"Check date",IF(OR(A45&lt;1,A45&gt;=2958466,INT(A45)=60),"Check date",IF(ISERROR(B45),"Check account ID",IF(OR(NOT(EXACT(B45,UPPER(B45))),COUNTIFS('Accounts'!$A$10:$A$39,B45,'Accounts'!$H$10:$H$39,"OK")&lt;&gt;1),"Check account ID",IF(ISERROR(D45),"Check description",IF(LEN(TRIM(SUBSTITUTE(CLEAN(D45),CHAR(160)," ")))=0,"Check description",IF(ISERROR(E45),"Check type",IF(NOT(OR(EXACT(E45,"Charge"),EXACT(E45,"Payment"))),"Check type",IF(ISERROR(F45),"Check amount",IF(NOT(ISNUMBER(F45)),"Check amount",IF(OR(F45&lt;=0,ROUND(F45,2)&lt;&gt;F45),"Check amount","OK")))))))))))))</x:f>
      </x:c>
    </x:row>
    <x:row r="46" ht="34" customHeight="1">
      <x:c r="A46" s="23"/>
      <x:c r="B46" s="15"/>
      <x:c r="C46" s="15"/>
      <x:c r="D46" s="15"/>
      <x:c r="E46" s="15"/>
      <x:c r="F46" s="16"/>
      <x:c r="G46" s="15"/>
      <x:c r="H46" s="10" t="str">
        <x:f>IF(COUNTA(A46:G46)=0,"",IF(ISERROR(A46),"Check date",IF(NOT(ISNUMBER(A46)),"Check date",IF(OR(A46&lt;1,A46&gt;=2958466,INT(A46)=60),"Check date",IF(ISERROR(B46),"Check account ID",IF(OR(NOT(EXACT(B46,UPPER(B46))),COUNTIFS('Accounts'!$A$10:$A$39,B46,'Accounts'!$H$10:$H$39,"OK")&lt;&gt;1),"Check account ID",IF(ISERROR(D46),"Check description",IF(LEN(TRIM(SUBSTITUTE(CLEAN(D46),CHAR(160)," ")))=0,"Check description",IF(ISERROR(E46),"Check type",IF(NOT(OR(EXACT(E46,"Charge"),EXACT(E46,"Payment"))),"Check type",IF(ISERROR(F46),"Check amount",IF(NOT(ISNUMBER(F46)),"Check amount",IF(OR(F46&lt;=0,ROUND(F46,2)&lt;&gt;F46),"Check amount","OK")))))))))))))</x:f>
      </x:c>
    </x:row>
    <x:row r="47" ht="34" customHeight="1">
      <x:c r="A47" s="25"/>
      <x:c r="B47" s="17"/>
      <x:c r="C47" s="17"/>
      <x:c r="D47" s="17"/>
      <x:c r="E47" s="17"/>
      <x:c r="F47" s="18"/>
      <x:c r="G47" s="17"/>
      <x:c r="H47" s="10" t="str">
        <x:f>IF(COUNTA(A47:G47)=0,"",IF(ISERROR(A47),"Check date",IF(NOT(ISNUMBER(A47)),"Check date",IF(OR(A47&lt;1,A47&gt;=2958466,INT(A47)=60),"Check date",IF(ISERROR(B47),"Check account ID",IF(OR(NOT(EXACT(B47,UPPER(B47))),COUNTIFS('Accounts'!$A$10:$A$39,B47,'Accounts'!$H$10:$H$39,"OK")&lt;&gt;1),"Check account ID",IF(ISERROR(D47),"Check description",IF(LEN(TRIM(SUBSTITUTE(CLEAN(D47),CHAR(160)," ")))=0,"Check description",IF(ISERROR(E47),"Check type",IF(NOT(OR(EXACT(E47,"Charge"),EXACT(E47,"Payment"))),"Check type",IF(ISERROR(F47),"Check amount",IF(NOT(ISNUMBER(F47)),"Check amount",IF(OR(F47&lt;=0,ROUND(F47,2)&lt;&gt;F47),"Check amount","OK")))))))))))))</x:f>
      </x:c>
    </x:row>
    <x:row r="48" ht="34" customHeight="1">
      <x:c r="A48" s="23"/>
      <x:c r="B48" s="15"/>
      <x:c r="C48" s="15"/>
      <x:c r="D48" s="15"/>
      <x:c r="E48" s="15"/>
      <x:c r="F48" s="16"/>
      <x:c r="G48" s="15"/>
      <x:c r="H48" s="10" t="str">
        <x:f>IF(COUNTA(A48:G48)=0,"",IF(ISERROR(A48),"Check date",IF(NOT(ISNUMBER(A48)),"Check date",IF(OR(A48&lt;1,A48&gt;=2958466,INT(A48)=60),"Check date",IF(ISERROR(B48),"Check account ID",IF(OR(NOT(EXACT(B48,UPPER(B48))),COUNTIFS('Accounts'!$A$10:$A$39,B48,'Accounts'!$H$10:$H$39,"OK")&lt;&gt;1),"Check account ID",IF(ISERROR(D48),"Check description",IF(LEN(TRIM(SUBSTITUTE(CLEAN(D48),CHAR(160)," ")))=0,"Check description",IF(ISERROR(E48),"Check type",IF(NOT(OR(EXACT(E48,"Charge"),EXACT(E48,"Payment"))),"Check type",IF(ISERROR(F48),"Check amount",IF(NOT(ISNUMBER(F48)),"Check amount",IF(OR(F48&lt;=0,ROUND(F48,2)&lt;&gt;F48),"Check amount","OK")))))))))))))</x:f>
      </x:c>
    </x:row>
    <x:row r="49" ht="34" customHeight="1">
      <x:c r="A49" s="25"/>
      <x:c r="B49" s="17"/>
      <x:c r="C49" s="17"/>
      <x:c r="D49" s="17"/>
      <x:c r="E49" s="17"/>
      <x:c r="F49" s="18"/>
      <x:c r="G49" s="17"/>
      <x:c r="H49" s="10" t="str">
        <x:f>IF(COUNTA(A49:G49)=0,"",IF(ISERROR(A49),"Check date",IF(NOT(ISNUMBER(A49)),"Check date",IF(OR(A49&lt;1,A49&gt;=2958466,INT(A49)=60),"Check date",IF(ISERROR(B49),"Check account ID",IF(OR(NOT(EXACT(B49,UPPER(B49))),COUNTIFS('Accounts'!$A$10:$A$39,B49,'Accounts'!$H$10:$H$39,"OK")&lt;&gt;1),"Check account ID",IF(ISERROR(D49),"Check description",IF(LEN(TRIM(SUBSTITUTE(CLEAN(D49),CHAR(160)," ")))=0,"Check description",IF(ISERROR(E49),"Check type",IF(NOT(OR(EXACT(E49,"Charge"),EXACT(E49,"Payment"))),"Check type",IF(ISERROR(F49),"Check amount",IF(NOT(ISNUMBER(F49)),"Check amount",IF(OR(F49&lt;=0,ROUND(F49,2)&lt;&gt;F49),"Check amount","OK")))))))))))))</x:f>
      </x:c>
    </x:row>
    <x:row r="50" ht="34" customHeight="1">
      <x:c r="A50" s="23"/>
      <x:c r="B50" s="15"/>
      <x:c r="C50" s="15"/>
      <x:c r="D50" s="15"/>
      <x:c r="E50" s="15"/>
      <x:c r="F50" s="16"/>
      <x:c r="G50" s="15"/>
      <x:c r="H50" s="10" t="str">
        <x:f>IF(COUNTA(A50:G50)=0,"",IF(ISERROR(A50),"Check date",IF(NOT(ISNUMBER(A50)),"Check date",IF(OR(A50&lt;1,A50&gt;=2958466,INT(A50)=60),"Check date",IF(ISERROR(B50),"Check account ID",IF(OR(NOT(EXACT(B50,UPPER(B50))),COUNTIFS('Accounts'!$A$10:$A$39,B50,'Accounts'!$H$10:$H$39,"OK")&lt;&gt;1),"Check account ID",IF(ISERROR(D50),"Check description",IF(LEN(TRIM(SUBSTITUTE(CLEAN(D50),CHAR(160)," ")))=0,"Check description",IF(ISERROR(E50),"Check type",IF(NOT(OR(EXACT(E50,"Charge"),EXACT(E50,"Payment"))),"Check type",IF(ISERROR(F50),"Check amount",IF(NOT(ISNUMBER(F50)),"Check amount",IF(OR(F50&lt;=0,ROUND(F50,2)&lt;&gt;F50),"Check amount","OK")))))))))))))</x:f>
      </x:c>
    </x:row>
    <x:row r="51" ht="34" customHeight="1">
      <x:c r="A51" s="25"/>
      <x:c r="B51" s="17"/>
      <x:c r="C51" s="17"/>
      <x:c r="D51" s="17"/>
      <x:c r="E51" s="17"/>
      <x:c r="F51" s="18"/>
      <x:c r="G51" s="17"/>
      <x:c r="H51" s="10" t="str">
        <x:f>IF(COUNTA(A51:G51)=0,"",IF(ISERROR(A51),"Check date",IF(NOT(ISNUMBER(A51)),"Check date",IF(OR(A51&lt;1,A51&gt;=2958466,INT(A51)=60),"Check date",IF(ISERROR(B51),"Check account ID",IF(OR(NOT(EXACT(B51,UPPER(B51))),COUNTIFS('Accounts'!$A$10:$A$39,B51,'Accounts'!$H$10:$H$39,"OK")&lt;&gt;1),"Check account ID",IF(ISERROR(D51),"Check description",IF(LEN(TRIM(SUBSTITUTE(CLEAN(D51),CHAR(160)," ")))=0,"Check description",IF(ISERROR(E51),"Check type",IF(NOT(OR(EXACT(E51,"Charge"),EXACT(E51,"Payment"))),"Check type",IF(ISERROR(F51),"Check amount",IF(NOT(ISNUMBER(F51)),"Check amount",IF(OR(F51&lt;=0,ROUND(F51,2)&lt;&gt;F51),"Check amount","OK")))))))))))))</x:f>
      </x:c>
    </x:row>
    <x:row r="52" ht="34" customHeight="1">
      <x:c r="A52" s="23"/>
      <x:c r="B52" s="15"/>
      <x:c r="C52" s="15"/>
      <x:c r="D52" s="15"/>
      <x:c r="E52" s="15"/>
      <x:c r="F52" s="16"/>
      <x:c r="G52" s="15"/>
      <x:c r="H52" s="10" t="str">
        <x:f>IF(COUNTA(A52:G52)=0,"",IF(ISERROR(A52),"Check date",IF(NOT(ISNUMBER(A52)),"Check date",IF(OR(A52&lt;1,A52&gt;=2958466,INT(A52)=60),"Check date",IF(ISERROR(B52),"Check account ID",IF(OR(NOT(EXACT(B52,UPPER(B52))),COUNTIFS('Accounts'!$A$10:$A$39,B52,'Accounts'!$H$10:$H$39,"OK")&lt;&gt;1),"Check account ID",IF(ISERROR(D52),"Check description",IF(LEN(TRIM(SUBSTITUTE(CLEAN(D52),CHAR(160)," ")))=0,"Check description",IF(ISERROR(E52),"Check type",IF(NOT(OR(EXACT(E52,"Charge"),EXACT(E52,"Payment"))),"Check type",IF(ISERROR(F52),"Check amount",IF(NOT(ISNUMBER(F52)),"Check amount",IF(OR(F52&lt;=0,ROUND(F52,2)&lt;&gt;F52),"Check amount","OK")))))))))))))</x:f>
      </x:c>
    </x:row>
    <x:row r="53" ht="34" customHeight="1">
      <x:c r="A53" s="25"/>
      <x:c r="B53" s="17"/>
      <x:c r="C53" s="17"/>
      <x:c r="D53" s="17"/>
      <x:c r="E53" s="17"/>
      <x:c r="F53" s="18"/>
      <x:c r="G53" s="17"/>
      <x:c r="H53" s="10" t="str">
        <x:f>IF(COUNTA(A53:G53)=0,"",IF(ISERROR(A53),"Check date",IF(NOT(ISNUMBER(A53)),"Check date",IF(OR(A53&lt;1,A53&gt;=2958466,INT(A53)=60),"Check date",IF(ISERROR(B53),"Check account ID",IF(OR(NOT(EXACT(B53,UPPER(B53))),COUNTIFS('Accounts'!$A$10:$A$39,B53,'Accounts'!$H$10:$H$39,"OK")&lt;&gt;1),"Check account ID",IF(ISERROR(D53),"Check description",IF(LEN(TRIM(SUBSTITUTE(CLEAN(D53),CHAR(160)," ")))=0,"Check description",IF(ISERROR(E53),"Check type",IF(NOT(OR(EXACT(E53,"Charge"),EXACT(E53,"Payment"))),"Check type",IF(ISERROR(F53),"Check amount",IF(NOT(ISNUMBER(F53)),"Check amount",IF(OR(F53&lt;=0,ROUND(F53,2)&lt;&gt;F53),"Check amount","OK")))))))))))))</x:f>
      </x:c>
    </x:row>
    <x:row r="54" ht="34" customHeight="1">
      <x:c r="A54" s="23"/>
      <x:c r="B54" s="15"/>
      <x:c r="C54" s="15"/>
      <x:c r="D54" s="15"/>
      <x:c r="E54" s="15"/>
      <x:c r="F54" s="16"/>
      <x:c r="G54" s="15"/>
      <x:c r="H54" s="10" t="str">
        <x:f>IF(COUNTA(A54:G54)=0,"",IF(ISERROR(A54),"Check date",IF(NOT(ISNUMBER(A54)),"Check date",IF(OR(A54&lt;1,A54&gt;=2958466,INT(A54)=60),"Check date",IF(ISERROR(B54),"Check account ID",IF(OR(NOT(EXACT(B54,UPPER(B54))),COUNTIFS('Accounts'!$A$10:$A$39,B54,'Accounts'!$H$10:$H$39,"OK")&lt;&gt;1),"Check account ID",IF(ISERROR(D54),"Check description",IF(LEN(TRIM(SUBSTITUTE(CLEAN(D54),CHAR(160)," ")))=0,"Check description",IF(ISERROR(E54),"Check type",IF(NOT(OR(EXACT(E54,"Charge"),EXACT(E54,"Payment"))),"Check type",IF(ISERROR(F54),"Check amount",IF(NOT(ISNUMBER(F54)),"Check amount",IF(OR(F54&lt;=0,ROUND(F54,2)&lt;&gt;F54),"Check amount","OK")))))))))))))</x:f>
      </x:c>
    </x:row>
    <x:row r="55" ht="34" customHeight="1">
      <x:c r="A55" s="25"/>
      <x:c r="B55" s="17"/>
      <x:c r="C55" s="17"/>
      <x:c r="D55" s="17"/>
      <x:c r="E55" s="17"/>
      <x:c r="F55" s="18"/>
      <x:c r="G55" s="17"/>
      <x:c r="H55" s="10" t="str">
        <x:f>IF(COUNTA(A55:G55)=0,"",IF(ISERROR(A55),"Check date",IF(NOT(ISNUMBER(A55)),"Check date",IF(OR(A55&lt;1,A55&gt;=2958466,INT(A55)=60),"Check date",IF(ISERROR(B55),"Check account ID",IF(OR(NOT(EXACT(B55,UPPER(B55))),COUNTIFS('Accounts'!$A$10:$A$39,B55,'Accounts'!$H$10:$H$39,"OK")&lt;&gt;1),"Check account ID",IF(ISERROR(D55),"Check description",IF(LEN(TRIM(SUBSTITUTE(CLEAN(D55),CHAR(160)," ")))=0,"Check description",IF(ISERROR(E55),"Check type",IF(NOT(OR(EXACT(E55,"Charge"),EXACT(E55,"Payment"))),"Check type",IF(ISERROR(F55),"Check amount",IF(NOT(ISNUMBER(F55)),"Check amount",IF(OR(F55&lt;=0,ROUND(F55,2)&lt;&gt;F55),"Check amount","OK")))))))))))))</x:f>
      </x:c>
    </x:row>
    <x:row r="56" ht="34" customHeight="1">
      <x:c r="A56" s="23"/>
      <x:c r="B56" s="15"/>
      <x:c r="C56" s="15"/>
      <x:c r="D56" s="15"/>
      <x:c r="E56" s="15"/>
      <x:c r="F56" s="16"/>
      <x:c r="G56" s="15"/>
      <x:c r="H56" s="10" t="str">
        <x:f>IF(COUNTA(A56:G56)=0,"",IF(ISERROR(A56),"Check date",IF(NOT(ISNUMBER(A56)),"Check date",IF(OR(A56&lt;1,A56&gt;=2958466,INT(A56)=60),"Check date",IF(ISERROR(B56),"Check account ID",IF(OR(NOT(EXACT(B56,UPPER(B56))),COUNTIFS('Accounts'!$A$10:$A$39,B56,'Accounts'!$H$10:$H$39,"OK")&lt;&gt;1),"Check account ID",IF(ISERROR(D56),"Check description",IF(LEN(TRIM(SUBSTITUTE(CLEAN(D56),CHAR(160)," ")))=0,"Check description",IF(ISERROR(E56),"Check type",IF(NOT(OR(EXACT(E56,"Charge"),EXACT(E56,"Payment"))),"Check type",IF(ISERROR(F56),"Check amount",IF(NOT(ISNUMBER(F56)),"Check amount",IF(OR(F56&lt;=0,ROUND(F56,2)&lt;&gt;F56),"Check amount","OK")))))))))))))</x:f>
      </x:c>
    </x:row>
    <x:row r="57" ht="34" customHeight="1">
      <x:c r="A57" s="25"/>
      <x:c r="B57" s="17"/>
      <x:c r="C57" s="17"/>
      <x:c r="D57" s="17"/>
      <x:c r="E57" s="17"/>
      <x:c r="F57" s="18"/>
      <x:c r="G57" s="17"/>
      <x:c r="H57" s="10" t="str">
        <x:f>IF(COUNTA(A57:G57)=0,"",IF(ISERROR(A57),"Check date",IF(NOT(ISNUMBER(A57)),"Check date",IF(OR(A57&lt;1,A57&gt;=2958466,INT(A57)=60),"Check date",IF(ISERROR(B57),"Check account ID",IF(OR(NOT(EXACT(B57,UPPER(B57))),COUNTIFS('Accounts'!$A$10:$A$39,B57,'Accounts'!$H$10:$H$39,"OK")&lt;&gt;1),"Check account ID",IF(ISERROR(D57),"Check description",IF(LEN(TRIM(SUBSTITUTE(CLEAN(D57),CHAR(160)," ")))=0,"Check description",IF(ISERROR(E57),"Check type",IF(NOT(OR(EXACT(E57,"Charge"),EXACT(E57,"Payment"))),"Check type",IF(ISERROR(F57),"Check amount",IF(NOT(ISNUMBER(F57)),"Check amount",IF(OR(F57&lt;=0,ROUND(F57,2)&lt;&gt;F57),"Check amount","OK")))))))))))))</x:f>
      </x:c>
    </x:row>
    <x:row r="58" ht="34" customHeight="1">
      <x:c r="A58" s="23"/>
      <x:c r="B58" s="15"/>
      <x:c r="C58" s="15"/>
      <x:c r="D58" s="15"/>
      <x:c r="E58" s="15"/>
      <x:c r="F58" s="16"/>
      <x:c r="G58" s="15"/>
      <x:c r="H58" s="10" t="str">
        <x:f>IF(COUNTA(A58:G58)=0,"",IF(ISERROR(A58),"Check date",IF(NOT(ISNUMBER(A58)),"Check date",IF(OR(A58&lt;1,A58&gt;=2958466,INT(A58)=60),"Check date",IF(ISERROR(B58),"Check account ID",IF(OR(NOT(EXACT(B58,UPPER(B58))),COUNTIFS('Accounts'!$A$10:$A$39,B58,'Accounts'!$H$10:$H$39,"OK")&lt;&gt;1),"Check account ID",IF(ISERROR(D58),"Check description",IF(LEN(TRIM(SUBSTITUTE(CLEAN(D58),CHAR(160)," ")))=0,"Check description",IF(ISERROR(E58),"Check type",IF(NOT(OR(EXACT(E58,"Charge"),EXACT(E58,"Payment"))),"Check type",IF(ISERROR(F58),"Check amount",IF(NOT(ISNUMBER(F58)),"Check amount",IF(OR(F58&lt;=0,ROUND(F58,2)&lt;&gt;F58),"Check amount","OK")))))))))))))</x:f>
      </x:c>
    </x:row>
    <x:row r="59" ht="34" customHeight="1">
      <x:c r="A59" s="25"/>
      <x:c r="B59" s="17"/>
      <x:c r="C59" s="17"/>
      <x:c r="D59" s="17"/>
      <x:c r="E59" s="17"/>
      <x:c r="F59" s="18"/>
      <x:c r="G59" s="17"/>
      <x:c r="H59" s="10" t="str">
        <x:f>IF(COUNTA(A59:G59)=0,"",IF(ISERROR(A59),"Check date",IF(NOT(ISNUMBER(A59)),"Check date",IF(OR(A59&lt;1,A59&gt;=2958466,INT(A59)=60),"Check date",IF(ISERROR(B59),"Check account ID",IF(OR(NOT(EXACT(B59,UPPER(B59))),COUNTIFS('Accounts'!$A$10:$A$39,B59,'Accounts'!$H$10:$H$39,"OK")&lt;&gt;1),"Check account ID",IF(ISERROR(D59),"Check description",IF(LEN(TRIM(SUBSTITUTE(CLEAN(D59),CHAR(160)," ")))=0,"Check description",IF(ISERROR(E59),"Check type",IF(NOT(OR(EXACT(E59,"Charge"),EXACT(E59,"Payment"))),"Check type",IF(ISERROR(F59),"Check amount",IF(NOT(ISNUMBER(F59)),"Check amount",IF(OR(F59&lt;=0,ROUND(F59,2)&lt;&gt;F59),"Check amount","OK")))))))))))))</x:f>
      </x:c>
    </x:row>
    <x:row r="60" ht="34" customHeight="1">
      <x:c r="A60" s="23"/>
      <x:c r="B60" s="15"/>
      <x:c r="C60" s="15"/>
      <x:c r="D60" s="15"/>
      <x:c r="E60" s="15"/>
      <x:c r="F60" s="16"/>
      <x:c r="G60" s="15"/>
      <x:c r="H60" s="10" t="str">
        <x:f>IF(COUNTA(A60:G60)=0,"",IF(ISERROR(A60),"Check date",IF(NOT(ISNUMBER(A60)),"Check date",IF(OR(A60&lt;1,A60&gt;=2958466,INT(A60)=60),"Check date",IF(ISERROR(B60),"Check account ID",IF(OR(NOT(EXACT(B60,UPPER(B60))),COUNTIFS('Accounts'!$A$10:$A$39,B60,'Accounts'!$H$10:$H$39,"OK")&lt;&gt;1),"Check account ID",IF(ISERROR(D60),"Check description",IF(LEN(TRIM(SUBSTITUTE(CLEAN(D60),CHAR(160)," ")))=0,"Check description",IF(ISERROR(E60),"Check type",IF(NOT(OR(EXACT(E60,"Charge"),EXACT(E60,"Payment"))),"Check type",IF(ISERROR(F60),"Check amount",IF(NOT(ISNUMBER(F60)),"Check amount",IF(OR(F60&lt;=0,ROUND(F60,2)&lt;&gt;F60),"Check amount","OK")))))))))))))</x:f>
      </x:c>
    </x:row>
    <x:row r="61" ht="34" customHeight="1">
      <x:c r="A61" s="25"/>
      <x:c r="B61" s="17"/>
      <x:c r="C61" s="17"/>
      <x:c r="D61" s="17"/>
      <x:c r="E61" s="17"/>
      <x:c r="F61" s="18"/>
      <x:c r="G61" s="17"/>
      <x:c r="H61" s="10" t="str">
        <x:f>IF(COUNTA(A61:G61)=0,"",IF(ISERROR(A61),"Check date",IF(NOT(ISNUMBER(A61)),"Check date",IF(OR(A61&lt;1,A61&gt;=2958466,INT(A61)=60),"Check date",IF(ISERROR(B61),"Check account ID",IF(OR(NOT(EXACT(B61,UPPER(B61))),COUNTIFS('Accounts'!$A$10:$A$39,B61,'Accounts'!$H$10:$H$39,"OK")&lt;&gt;1),"Check account ID",IF(ISERROR(D61),"Check description",IF(LEN(TRIM(SUBSTITUTE(CLEAN(D61),CHAR(160)," ")))=0,"Check description",IF(ISERROR(E61),"Check type",IF(NOT(OR(EXACT(E61,"Charge"),EXACT(E61,"Payment"))),"Check type",IF(ISERROR(F61),"Check amount",IF(NOT(ISNUMBER(F61)),"Check amount",IF(OR(F61&lt;=0,ROUND(F61,2)&lt;&gt;F61),"Check amount","OK")))))))))))))</x:f>
      </x:c>
    </x:row>
    <x:row r="62" ht="34" customHeight="1">
      <x:c r="A62" s="23"/>
      <x:c r="B62" s="15"/>
      <x:c r="C62" s="15"/>
      <x:c r="D62" s="15"/>
      <x:c r="E62" s="15"/>
      <x:c r="F62" s="16"/>
      <x:c r="G62" s="15"/>
      <x:c r="H62" s="10" t="str">
        <x:f>IF(COUNTA(A62:G62)=0,"",IF(ISERROR(A62),"Check date",IF(NOT(ISNUMBER(A62)),"Check date",IF(OR(A62&lt;1,A62&gt;=2958466,INT(A62)=60),"Check date",IF(ISERROR(B62),"Check account ID",IF(OR(NOT(EXACT(B62,UPPER(B62))),COUNTIFS('Accounts'!$A$10:$A$39,B62,'Accounts'!$H$10:$H$39,"OK")&lt;&gt;1),"Check account ID",IF(ISERROR(D62),"Check description",IF(LEN(TRIM(SUBSTITUTE(CLEAN(D62),CHAR(160)," ")))=0,"Check description",IF(ISERROR(E62),"Check type",IF(NOT(OR(EXACT(E62,"Charge"),EXACT(E62,"Payment"))),"Check type",IF(ISERROR(F62),"Check amount",IF(NOT(ISNUMBER(F62)),"Check amount",IF(OR(F62&lt;=0,ROUND(F62,2)&lt;&gt;F62),"Check amount","OK")))))))))))))</x:f>
      </x:c>
    </x:row>
    <x:row r="63" ht="34" customHeight="1">
      <x:c r="A63" s="25"/>
      <x:c r="B63" s="17"/>
      <x:c r="C63" s="17"/>
      <x:c r="D63" s="17"/>
      <x:c r="E63" s="17"/>
      <x:c r="F63" s="18"/>
      <x:c r="G63" s="17"/>
      <x:c r="H63" s="10" t="str">
        <x:f>IF(COUNTA(A63:G63)=0,"",IF(ISERROR(A63),"Check date",IF(NOT(ISNUMBER(A63)),"Check date",IF(OR(A63&lt;1,A63&gt;=2958466,INT(A63)=60),"Check date",IF(ISERROR(B63),"Check account ID",IF(OR(NOT(EXACT(B63,UPPER(B63))),COUNTIFS('Accounts'!$A$10:$A$39,B63,'Accounts'!$H$10:$H$39,"OK")&lt;&gt;1),"Check account ID",IF(ISERROR(D63),"Check description",IF(LEN(TRIM(SUBSTITUTE(CLEAN(D63),CHAR(160)," ")))=0,"Check description",IF(ISERROR(E63),"Check type",IF(NOT(OR(EXACT(E63,"Charge"),EXACT(E63,"Payment"))),"Check type",IF(ISERROR(F63),"Check amount",IF(NOT(ISNUMBER(F63)),"Check amount",IF(OR(F63&lt;=0,ROUND(F63,2)&lt;&gt;F63),"Check amount","OK")))))))))))))</x:f>
      </x:c>
    </x:row>
    <x:row r="64" ht="34" customHeight="1">
      <x:c r="A64" s="23"/>
      <x:c r="B64" s="15"/>
      <x:c r="C64" s="15"/>
      <x:c r="D64" s="15"/>
      <x:c r="E64" s="15"/>
      <x:c r="F64" s="16"/>
      <x:c r="G64" s="15"/>
      <x:c r="H64" s="10" t="str">
        <x:f>IF(COUNTA(A64:G64)=0,"",IF(ISERROR(A64),"Check date",IF(NOT(ISNUMBER(A64)),"Check date",IF(OR(A64&lt;1,A64&gt;=2958466,INT(A64)=60),"Check date",IF(ISERROR(B64),"Check account ID",IF(OR(NOT(EXACT(B64,UPPER(B64))),COUNTIFS('Accounts'!$A$10:$A$39,B64,'Accounts'!$H$10:$H$39,"OK")&lt;&gt;1),"Check account ID",IF(ISERROR(D64),"Check description",IF(LEN(TRIM(SUBSTITUTE(CLEAN(D64),CHAR(160)," ")))=0,"Check description",IF(ISERROR(E64),"Check type",IF(NOT(OR(EXACT(E64,"Charge"),EXACT(E64,"Payment"))),"Check type",IF(ISERROR(F64),"Check amount",IF(NOT(ISNUMBER(F64)),"Check amount",IF(OR(F64&lt;=0,ROUND(F64,2)&lt;&gt;F64),"Check amount","OK")))))))))))))</x:f>
      </x:c>
    </x:row>
    <x:row r="65" ht="34" customHeight="1">
      <x:c r="A65" s="25"/>
      <x:c r="B65" s="17"/>
      <x:c r="C65" s="17"/>
      <x:c r="D65" s="17"/>
      <x:c r="E65" s="17"/>
      <x:c r="F65" s="18"/>
      <x:c r="G65" s="17"/>
      <x:c r="H65" s="10" t="str">
        <x:f>IF(COUNTA(A65:G65)=0,"",IF(ISERROR(A65),"Check date",IF(NOT(ISNUMBER(A65)),"Check date",IF(OR(A65&lt;1,A65&gt;=2958466,INT(A65)=60),"Check date",IF(ISERROR(B65),"Check account ID",IF(OR(NOT(EXACT(B65,UPPER(B65))),COUNTIFS('Accounts'!$A$10:$A$39,B65,'Accounts'!$H$10:$H$39,"OK")&lt;&gt;1),"Check account ID",IF(ISERROR(D65),"Check description",IF(LEN(TRIM(SUBSTITUTE(CLEAN(D65),CHAR(160)," ")))=0,"Check description",IF(ISERROR(E65),"Check type",IF(NOT(OR(EXACT(E65,"Charge"),EXACT(E65,"Payment"))),"Check type",IF(ISERROR(F65),"Check amount",IF(NOT(ISNUMBER(F65)),"Check amount",IF(OR(F65&lt;=0,ROUND(F65,2)&lt;&gt;F65),"Check amount","OK")))))))))))))</x:f>
      </x:c>
    </x:row>
    <x:row r="66" ht="34" customHeight="1">
      <x:c r="A66" s="23"/>
      <x:c r="B66" s="15"/>
      <x:c r="C66" s="15"/>
      <x:c r="D66" s="15"/>
      <x:c r="E66" s="15"/>
      <x:c r="F66" s="16"/>
      <x:c r="G66" s="15"/>
      <x:c r="H66" s="10" t="str">
        <x:f>IF(COUNTA(A66:G66)=0,"",IF(ISERROR(A66),"Check date",IF(NOT(ISNUMBER(A66)),"Check date",IF(OR(A66&lt;1,A66&gt;=2958466,INT(A66)=60),"Check date",IF(ISERROR(B66),"Check account ID",IF(OR(NOT(EXACT(B66,UPPER(B66))),COUNTIFS('Accounts'!$A$10:$A$39,B66,'Accounts'!$H$10:$H$39,"OK")&lt;&gt;1),"Check account ID",IF(ISERROR(D66),"Check description",IF(LEN(TRIM(SUBSTITUTE(CLEAN(D66),CHAR(160)," ")))=0,"Check description",IF(ISERROR(E66),"Check type",IF(NOT(OR(EXACT(E66,"Charge"),EXACT(E66,"Payment"))),"Check type",IF(ISERROR(F66),"Check amount",IF(NOT(ISNUMBER(F66)),"Check amount",IF(OR(F66&lt;=0,ROUND(F66,2)&lt;&gt;F66),"Check amount","OK")))))))))))))</x:f>
      </x:c>
    </x:row>
    <x:row r="67" ht="34" customHeight="1">
      <x:c r="A67" s="25"/>
      <x:c r="B67" s="17"/>
      <x:c r="C67" s="17"/>
      <x:c r="D67" s="17"/>
      <x:c r="E67" s="17"/>
      <x:c r="F67" s="18"/>
      <x:c r="G67" s="17"/>
      <x:c r="H67" s="10" t="str">
        <x:f>IF(COUNTA(A67:G67)=0,"",IF(ISERROR(A67),"Check date",IF(NOT(ISNUMBER(A67)),"Check date",IF(OR(A67&lt;1,A67&gt;=2958466,INT(A67)=60),"Check date",IF(ISERROR(B67),"Check account ID",IF(OR(NOT(EXACT(B67,UPPER(B67))),COUNTIFS('Accounts'!$A$10:$A$39,B67,'Accounts'!$H$10:$H$39,"OK")&lt;&gt;1),"Check account ID",IF(ISERROR(D67),"Check description",IF(LEN(TRIM(SUBSTITUTE(CLEAN(D67),CHAR(160)," ")))=0,"Check description",IF(ISERROR(E67),"Check type",IF(NOT(OR(EXACT(E67,"Charge"),EXACT(E67,"Payment"))),"Check type",IF(ISERROR(F67),"Check amount",IF(NOT(ISNUMBER(F67)),"Check amount",IF(OR(F67&lt;=0,ROUND(F67,2)&lt;&gt;F67),"Check amount","OK")))))))))))))</x:f>
      </x:c>
    </x:row>
    <x:row r="68" ht="34" customHeight="1">
      <x:c r="A68" s="23"/>
      <x:c r="B68" s="15"/>
      <x:c r="C68" s="15"/>
      <x:c r="D68" s="15"/>
      <x:c r="E68" s="15"/>
      <x:c r="F68" s="16"/>
      <x:c r="G68" s="15"/>
      <x:c r="H68" s="10" t="str">
        <x:f>IF(COUNTA(A68:G68)=0,"",IF(ISERROR(A68),"Check date",IF(NOT(ISNUMBER(A68)),"Check date",IF(OR(A68&lt;1,A68&gt;=2958466,INT(A68)=60),"Check date",IF(ISERROR(B68),"Check account ID",IF(OR(NOT(EXACT(B68,UPPER(B68))),COUNTIFS('Accounts'!$A$10:$A$39,B68,'Accounts'!$H$10:$H$39,"OK")&lt;&gt;1),"Check account ID",IF(ISERROR(D68),"Check description",IF(LEN(TRIM(SUBSTITUTE(CLEAN(D68),CHAR(160)," ")))=0,"Check description",IF(ISERROR(E68),"Check type",IF(NOT(OR(EXACT(E68,"Charge"),EXACT(E68,"Payment"))),"Check type",IF(ISERROR(F68),"Check amount",IF(NOT(ISNUMBER(F68)),"Check amount",IF(OR(F68&lt;=0,ROUND(F68,2)&lt;&gt;F68),"Check amount","OK")))))))))))))</x:f>
      </x:c>
    </x:row>
    <x:row r="69" ht="34" customHeight="1">
      <x:c r="A69" s="25"/>
      <x:c r="B69" s="17"/>
      <x:c r="C69" s="17"/>
      <x:c r="D69" s="17"/>
      <x:c r="E69" s="17"/>
      <x:c r="F69" s="18"/>
      <x:c r="G69" s="17"/>
      <x:c r="H69" s="10" t="str">
        <x:f>IF(COUNTA(A69:G69)=0,"",IF(ISERROR(A69),"Check date",IF(NOT(ISNUMBER(A69)),"Check date",IF(OR(A69&lt;1,A69&gt;=2958466,INT(A69)=60),"Check date",IF(ISERROR(B69),"Check account ID",IF(OR(NOT(EXACT(B69,UPPER(B69))),COUNTIFS('Accounts'!$A$10:$A$39,B69,'Accounts'!$H$10:$H$39,"OK")&lt;&gt;1),"Check account ID",IF(ISERROR(D69),"Check description",IF(LEN(TRIM(SUBSTITUTE(CLEAN(D69),CHAR(160)," ")))=0,"Check description",IF(ISERROR(E69),"Check type",IF(NOT(OR(EXACT(E69,"Charge"),EXACT(E69,"Payment"))),"Check type",IF(ISERROR(F69),"Check amount",IF(NOT(ISNUMBER(F69)),"Check amount",IF(OR(F69&lt;=0,ROUND(F69,2)&lt;&gt;F69),"Check amount","OK")))))))))))))</x:f>
      </x:c>
    </x:row>
    <x:row r="70" ht="34" customHeight="1">
      <x:c r="A70" s="23"/>
      <x:c r="B70" s="15"/>
      <x:c r="C70" s="15"/>
      <x:c r="D70" s="15"/>
      <x:c r="E70" s="15"/>
      <x:c r="F70" s="16"/>
      <x:c r="G70" s="15"/>
      <x:c r="H70" s="10" t="str">
        <x:f>IF(COUNTA(A70:G70)=0,"",IF(ISERROR(A70),"Check date",IF(NOT(ISNUMBER(A70)),"Check date",IF(OR(A70&lt;1,A70&gt;=2958466,INT(A70)=60),"Check date",IF(ISERROR(B70),"Check account ID",IF(OR(NOT(EXACT(B70,UPPER(B70))),COUNTIFS('Accounts'!$A$10:$A$39,B70,'Accounts'!$H$10:$H$39,"OK")&lt;&gt;1),"Check account ID",IF(ISERROR(D70),"Check description",IF(LEN(TRIM(SUBSTITUTE(CLEAN(D70),CHAR(160)," ")))=0,"Check description",IF(ISERROR(E70),"Check type",IF(NOT(OR(EXACT(E70,"Charge"),EXACT(E70,"Payment"))),"Check type",IF(ISERROR(F70),"Check amount",IF(NOT(ISNUMBER(F70)),"Check amount",IF(OR(F70&lt;=0,ROUND(F70,2)&lt;&gt;F70),"Check amount","OK")))))))))))))</x:f>
      </x:c>
    </x:row>
    <x:row r="71" ht="34" customHeight="1">
      <x:c r="A71" s="25"/>
      <x:c r="B71" s="17"/>
      <x:c r="C71" s="17"/>
      <x:c r="D71" s="17"/>
      <x:c r="E71" s="17"/>
      <x:c r="F71" s="18"/>
      <x:c r="G71" s="17"/>
      <x:c r="H71" s="10" t="str">
        <x:f>IF(COUNTA(A71:G71)=0,"",IF(ISERROR(A71),"Check date",IF(NOT(ISNUMBER(A71)),"Check date",IF(OR(A71&lt;1,A71&gt;=2958466,INT(A71)=60),"Check date",IF(ISERROR(B71),"Check account ID",IF(OR(NOT(EXACT(B71,UPPER(B71))),COUNTIFS('Accounts'!$A$10:$A$39,B71,'Accounts'!$H$10:$H$39,"OK")&lt;&gt;1),"Check account ID",IF(ISERROR(D71),"Check description",IF(LEN(TRIM(SUBSTITUTE(CLEAN(D71),CHAR(160)," ")))=0,"Check description",IF(ISERROR(E71),"Check type",IF(NOT(OR(EXACT(E71,"Charge"),EXACT(E71,"Payment"))),"Check type",IF(ISERROR(F71),"Check amount",IF(NOT(ISNUMBER(F71)),"Check amount",IF(OR(F71&lt;=0,ROUND(F71,2)&lt;&gt;F71),"Check amount","OK")))))))))))))</x:f>
      </x:c>
    </x:row>
    <x:row r="72" ht="34" customHeight="1">
      <x:c r="A72" s="23"/>
      <x:c r="B72" s="15"/>
      <x:c r="C72" s="15"/>
      <x:c r="D72" s="15"/>
      <x:c r="E72" s="15"/>
      <x:c r="F72" s="16"/>
      <x:c r="G72" s="15"/>
      <x:c r="H72" s="10" t="str">
        <x:f>IF(COUNTA(A72:G72)=0,"",IF(ISERROR(A72),"Check date",IF(NOT(ISNUMBER(A72)),"Check date",IF(OR(A72&lt;1,A72&gt;=2958466,INT(A72)=60),"Check date",IF(ISERROR(B72),"Check account ID",IF(OR(NOT(EXACT(B72,UPPER(B72))),COUNTIFS('Accounts'!$A$10:$A$39,B72,'Accounts'!$H$10:$H$39,"OK")&lt;&gt;1),"Check account ID",IF(ISERROR(D72),"Check description",IF(LEN(TRIM(SUBSTITUTE(CLEAN(D72),CHAR(160)," ")))=0,"Check description",IF(ISERROR(E72),"Check type",IF(NOT(OR(EXACT(E72,"Charge"),EXACT(E72,"Payment"))),"Check type",IF(ISERROR(F72),"Check amount",IF(NOT(ISNUMBER(F72)),"Check amount",IF(OR(F72&lt;=0,ROUND(F72,2)&lt;&gt;F72),"Check amount","OK")))))))))))))</x:f>
      </x:c>
    </x:row>
    <x:row r="73" ht="34" customHeight="1">
      <x:c r="A73" s="25"/>
      <x:c r="B73" s="17"/>
      <x:c r="C73" s="17"/>
      <x:c r="D73" s="17"/>
      <x:c r="E73" s="17"/>
      <x:c r="F73" s="18"/>
      <x:c r="G73" s="17"/>
      <x:c r="H73" s="10" t="str">
        <x:f>IF(COUNTA(A73:G73)=0,"",IF(ISERROR(A73),"Check date",IF(NOT(ISNUMBER(A73)),"Check date",IF(OR(A73&lt;1,A73&gt;=2958466,INT(A73)=60),"Check date",IF(ISERROR(B73),"Check account ID",IF(OR(NOT(EXACT(B73,UPPER(B73))),COUNTIFS('Accounts'!$A$10:$A$39,B73,'Accounts'!$H$10:$H$39,"OK")&lt;&gt;1),"Check account ID",IF(ISERROR(D73),"Check description",IF(LEN(TRIM(SUBSTITUTE(CLEAN(D73),CHAR(160)," ")))=0,"Check description",IF(ISERROR(E73),"Check type",IF(NOT(OR(EXACT(E73,"Charge"),EXACT(E73,"Payment"))),"Check type",IF(ISERROR(F73),"Check amount",IF(NOT(ISNUMBER(F73)),"Check amount",IF(OR(F73&lt;=0,ROUND(F73,2)&lt;&gt;F73),"Check amount","OK")))))))))))))</x:f>
      </x:c>
    </x:row>
    <x:row r="74" ht="34" customHeight="1">
      <x:c r="A74" s="23"/>
      <x:c r="B74" s="15"/>
      <x:c r="C74" s="15"/>
      <x:c r="D74" s="15"/>
      <x:c r="E74" s="15"/>
      <x:c r="F74" s="16"/>
      <x:c r="G74" s="15"/>
      <x:c r="H74" s="10" t="str">
        <x:f>IF(COUNTA(A74:G74)=0,"",IF(ISERROR(A74),"Check date",IF(NOT(ISNUMBER(A74)),"Check date",IF(OR(A74&lt;1,A74&gt;=2958466,INT(A74)=60),"Check date",IF(ISERROR(B74),"Check account ID",IF(OR(NOT(EXACT(B74,UPPER(B74))),COUNTIFS('Accounts'!$A$10:$A$39,B74,'Accounts'!$H$10:$H$39,"OK")&lt;&gt;1),"Check account ID",IF(ISERROR(D74),"Check description",IF(LEN(TRIM(SUBSTITUTE(CLEAN(D74),CHAR(160)," ")))=0,"Check description",IF(ISERROR(E74),"Check type",IF(NOT(OR(EXACT(E74,"Charge"),EXACT(E74,"Payment"))),"Check type",IF(ISERROR(F74),"Check amount",IF(NOT(ISNUMBER(F74)),"Check amount",IF(OR(F74&lt;=0,ROUND(F74,2)&lt;&gt;F74),"Check amount","OK")))))))))))))</x:f>
      </x:c>
    </x:row>
    <x:row r="75" ht="34" customHeight="1">
      <x:c r="A75" s="25"/>
      <x:c r="B75" s="17"/>
      <x:c r="C75" s="17"/>
      <x:c r="D75" s="17"/>
      <x:c r="E75" s="17"/>
      <x:c r="F75" s="18"/>
      <x:c r="G75" s="17"/>
      <x:c r="H75" s="10" t="str">
        <x:f>IF(COUNTA(A75:G75)=0,"",IF(ISERROR(A75),"Check date",IF(NOT(ISNUMBER(A75)),"Check date",IF(OR(A75&lt;1,A75&gt;=2958466,INT(A75)=60),"Check date",IF(ISERROR(B75),"Check account ID",IF(OR(NOT(EXACT(B75,UPPER(B75))),COUNTIFS('Accounts'!$A$10:$A$39,B75,'Accounts'!$H$10:$H$39,"OK")&lt;&gt;1),"Check account ID",IF(ISERROR(D75),"Check description",IF(LEN(TRIM(SUBSTITUTE(CLEAN(D75),CHAR(160)," ")))=0,"Check description",IF(ISERROR(E75),"Check type",IF(NOT(OR(EXACT(E75,"Charge"),EXACT(E75,"Payment"))),"Check type",IF(ISERROR(F75),"Check amount",IF(NOT(ISNUMBER(F75)),"Check amount",IF(OR(F75&lt;=0,ROUND(F75,2)&lt;&gt;F75),"Check amount","OK")))))))))))))</x:f>
      </x:c>
    </x:row>
    <x:row r="76" ht="34" customHeight="1">
      <x:c r="A76" s="23"/>
      <x:c r="B76" s="15"/>
      <x:c r="C76" s="15"/>
      <x:c r="D76" s="15"/>
      <x:c r="E76" s="15"/>
      <x:c r="F76" s="16"/>
      <x:c r="G76" s="15"/>
      <x:c r="H76" s="10" t="str">
        <x:f>IF(COUNTA(A76:G76)=0,"",IF(ISERROR(A76),"Check date",IF(NOT(ISNUMBER(A76)),"Check date",IF(OR(A76&lt;1,A76&gt;=2958466,INT(A76)=60),"Check date",IF(ISERROR(B76),"Check account ID",IF(OR(NOT(EXACT(B76,UPPER(B76))),COUNTIFS('Accounts'!$A$10:$A$39,B76,'Accounts'!$H$10:$H$39,"OK")&lt;&gt;1),"Check account ID",IF(ISERROR(D76),"Check description",IF(LEN(TRIM(SUBSTITUTE(CLEAN(D76),CHAR(160)," ")))=0,"Check description",IF(ISERROR(E76),"Check type",IF(NOT(OR(EXACT(E76,"Charge"),EXACT(E76,"Payment"))),"Check type",IF(ISERROR(F76),"Check amount",IF(NOT(ISNUMBER(F76)),"Check amount",IF(OR(F76&lt;=0,ROUND(F76,2)&lt;&gt;F76),"Check amount","OK")))))))))))))</x:f>
      </x:c>
    </x:row>
    <x:row r="77" ht="34" customHeight="1">
      <x:c r="A77" s="25"/>
      <x:c r="B77" s="17"/>
      <x:c r="C77" s="17"/>
      <x:c r="D77" s="17"/>
      <x:c r="E77" s="17"/>
      <x:c r="F77" s="18"/>
      <x:c r="G77" s="17"/>
      <x:c r="H77" s="10" t="str">
        <x:f>IF(COUNTA(A77:G77)=0,"",IF(ISERROR(A77),"Check date",IF(NOT(ISNUMBER(A77)),"Check date",IF(OR(A77&lt;1,A77&gt;=2958466,INT(A77)=60),"Check date",IF(ISERROR(B77),"Check account ID",IF(OR(NOT(EXACT(B77,UPPER(B77))),COUNTIFS('Accounts'!$A$10:$A$39,B77,'Accounts'!$H$10:$H$39,"OK")&lt;&gt;1),"Check account ID",IF(ISERROR(D77),"Check description",IF(LEN(TRIM(SUBSTITUTE(CLEAN(D77),CHAR(160)," ")))=0,"Check description",IF(ISERROR(E77),"Check type",IF(NOT(OR(EXACT(E77,"Charge"),EXACT(E77,"Payment"))),"Check type",IF(ISERROR(F77),"Check amount",IF(NOT(ISNUMBER(F77)),"Check amount",IF(OR(F77&lt;=0,ROUND(F77,2)&lt;&gt;F77),"Check amount","OK")))))))))))))</x:f>
      </x:c>
    </x:row>
    <x:row r="78" ht="34" customHeight="1">
      <x:c r="A78" s="23"/>
      <x:c r="B78" s="15"/>
      <x:c r="C78" s="15"/>
      <x:c r="D78" s="15"/>
      <x:c r="E78" s="15"/>
      <x:c r="F78" s="16"/>
      <x:c r="G78" s="15"/>
      <x:c r="H78" s="10" t="str">
        <x:f>IF(COUNTA(A78:G78)=0,"",IF(ISERROR(A78),"Check date",IF(NOT(ISNUMBER(A78)),"Check date",IF(OR(A78&lt;1,A78&gt;=2958466,INT(A78)=60),"Check date",IF(ISERROR(B78),"Check account ID",IF(OR(NOT(EXACT(B78,UPPER(B78))),COUNTIFS('Accounts'!$A$10:$A$39,B78,'Accounts'!$H$10:$H$39,"OK")&lt;&gt;1),"Check account ID",IF(ISERROR(D78),"Check description",IF(LEN(TRIM(SUBSTITUTE(CLEAN(D78),CHAR(160)," ")))=0,"Check description",IF(ISERROR(E78),"Check type",IF(NOT(OR(EXACT(E78,"Charge"),EXACT(E78,"Payment"))),"Check type",IF(ISERROR(F78),"Check amount",IF(NOT(ISNUMBER(F78)),"Check amount",IF(OR(F78&lt;=0,ROUND(F78,2)&lt;&gt;F78),"Check amount","OK")))))))))))))</x:f>
      </x:c>
    </x:row>
    <x:row r="79" ht="34" customHeight="1">
      <x:c r="A79" s="25"/>
      <x:c r="B79" s="17"/>
      <x:c r="C79" s="17"/>
      <x:c r="D79" s="17"/>
      <x:c r="E79" s="17"/>
      <x:c r="F79" s="18"/>
      <x:c r="G79" s="17"/>
      <x:c r="H79" s="10" t="str">
        <x:f>IF(COUNTA(A79:G79)=0,"",IF(ISERROR(A79),"Check date",IF(NOT(ISNUMBER(A79)),"Check date",IF(OR(A79&lt;1,A79&gt;=2958466,INT(A79)=60),"Check date",IF(ISERROR(B79),"Check account ID",IF(OR(NOT(EXACT(B79,UPPER(B79))),COUNTIFS('Accounts'!$A$10:$A$39,B79,'Accounts'!$H$10:$H$39,"OK")&lt;&gt;1),"Check account ID",IF(ISERROR(D79),"Check description",IF(LEN(TRIM(SUBSTITUTE(CLEAN(D79),CHAR(160)," ")))=0,"Check description",IF(ISERROR(E79),"Check type",IF(NOT(OR(EXACT(E79,"Charge"),EXACT(E79,"Payment"))),"Check type",IF(ISERROR(F79),"Check amount",IF(NOT(ISNUMBER(F79)),"Check amount",IF(OR(F79&lt;=0,ROUND(F79,2)&lt;&gt;F79),"Check amount","OK")))))))))))))</x:f>
      </x:c>
    </x:row>
    <x:row r="80" ht="34" customHeight="1">
      <x:c r="A80" s="23"/>
      <x:c r="B80" s="15"/>
      <x:c r="C80" s="15"/>
      <x:c r="D80" s="15"/>
      <x:c r="E80" s="15"/>
      <x:c r="F80" s="16"/>
      <x:c r="G80" s="15"/>
      <x:c r="H80" s="10" t="str">
        <x:f>IF(COUNTA(A80:G80)=0,"",IF(ISERROR(A80),"Check date",IF(NOT(ISNUMBER(A80)),"Check date",IF(OR(A80&lt;1,A80&gt;=2958466,INT(A80)=60),"Check date",IF(ISERROR(B80),"Check account ID",IF(OR(NOT(EXACT(B80,UPPER(B80))),COUNTIFS('Accounts'!$A$10:$A$39,B80,'Accounts'!$H$10:$H$39,"OK")&lt;&gt;1),"Check account ID",IF(ISERROR(D80),"Check description",IF(LEN(TRIM(SUBSTITUTE(CLEAN(D80),CHAR(160)," ")))=0,"Check description",IF(ISERROR(E80),"Check type",IF(NOT(OR(EXACT(E80,"Charge"),EXACT(E80,"Payment"))),"Check type",IF(ISERROR(F80),"Check amount",IF(NOT(ISNUMBER(F80)),"Check amount",IF(OR(F80&lt;=0,ROUND(F80,2)&lt;&gt;F80),"Check amount","OK")))))))))))))</x:f>
      </x:c>
    </x:row>
    <x:row r="81" ht="34" customHeight="1">
      <x:c r="A81" s="25"/>
      <x:c r="B81" s="17"/>
      <x:c r="C81" s="17"/>
      <x:c r="D81" s="17"/>
      <x:c r="E81" s="17"/>
      <x:c r="F81" s="18"/>
      <x:c r="G81" s="17"/>
      <x:c r="H81" s="10" t="str">
        <x:f>IF(COUNTA(A81:G81)=0,"",IF(ISERROR(A81),"Check date",IF(NOT(ISNUMBER(A81)),"Check date",IF(OR(A81&lt;1,A81&gt;=2958466,INT(A81)=60),"Check date",IF(ISERROR(B81),"Check account ID",IF(OR(NOT(EXACT(B81,UPPER(B81))),COUNTIFS('Accounts'!$A$10:$A$39,B81,'Accounts'!$H$10:$H$39,"OK")&lt;&gt;1),"Check account ID",IF(ISERROR(D81),"Check description",IF(LEN(TRIM(SUBSTITUTE(CLEAN(D81),CHAR(160)," ")))=0,"Check description",IF(ISERROR(E81),"Check type",IF(NOT(OR(EXACT(E81,"Charge"),EXACT(E81,"Payment"))),"Check type",IF(ISERROR(F81),"Check amount",IF(NOT(ISNUMBER(F81)),"Check amount",IF(OR(F81&lt;=0,ROUND(F81,2)&lt;&gt;F81),"Check amount","OK")))))))))))))</x:f>
      </x:c>
    </x:row>
    <x:row r="82" ht="34" customHeight="1">
      <x:c r="A82" s="23"/>
      <x:c r="B82" s="15"/>
      <x:c r="C82" s="15"/>
      <x:c r="D82" s="15"/>
      <x:c r="E82" s="15"/>
      <x:c r="F82" s="16"/>
      <x:c r="G82" s="15"/>
      <x:c r="H82" s="10" t="str">
        <x:f>IF(COUNTA(A82:G82)=0,"",IF(ISERROR(A82),"Check date",IF(NOT(ISNUMBER(A82)),"Check date",IF(OR(A82&lt;1,A82&gt;=2958466,INT(A82)=60),"Check date",IF(ISERROR(B82),"Check account ID",IF(OR(NOT(EXACT(B82,UPPER(B82))),COUNTIFS('Accounts'!$A$10:$A$39,B82,'Accounts'!$H$10:$H$39,"OK")&lt;&gt;1),"Check account ID",IF(ISERROR(D82),"Check description",IF(LEN(TRIM(SUBSTITUTE(CLEAN(D82),CHAR(160)," ")))=0,"Check description",IF(ISERROR(E82),"Check type",IF(NOT(OR(EXACT(E82,"Charge"),EXACT(E82,"Payment"))),"Check type",IF(ISERROR(F82),"Check amount",IF(NOT(ISNUMBER(F82)),"Check amount",IF(OR(F82&lt;=0,ROUND(F82,2)&lt;&gt;F82),"Check amount","OK")))))))))))))</x:f>
      </x:c>
    </x:row>
    <x:row r="83" ht="34" customHeight="1">
      <x:c r="A83" s="25"/>
      <x:c r="B83" s="17"/>
      <x:c r="C83" s="17"/>
      <x:c r="D83" s="17"/>
      <x:c r="E83" s="17"/>
      <x:c r="F83" s="18"/>
      <x:c r="G83" s="17"/>
      <x:c r="H83" s="10" t="str">
        <x:f>IF(COUNTA(A83:G83)=0,"",IF(ISERROR(A83),"Check date",IF(NOT(ISNUMBER(A83)),"Check date",IF(OR(A83&lt;1,A83&gt;=2958466,INT(A83)=60),"Check date",IF(ISERROR(B83),"Check account ID",IF(OR(NOT(EXACT(B83,UPPER(B83))),COUNTIFS('Accounts'!$A$10:$A$39,B83,'Accounts'!$H$10:$H$39,"OK")&lt;&gt;1),"Check account ID",IF(ISERROR(D83),"Check description",IF(LEN(TRIM(SUBSTITUTE(CLEAN(D83),CHAR(160)," ")))=0,"Check description",IF(ISERROR(E83),"Check type",IF(NOT(OR(EXACT(E83,"Charge"),EXACT(E83,"Payment"))),"Check type",IF(ISERROR(F83),"Check amount",IF(NOT(ISNUMBER(F83)),"Check amount",IF(OR(F83&lt;=0,ROUND(F83,2)&lt;&gt;F83),"Check amount","OK")))))))))))))</x:f>
      </x:c>
    </x:row>
    <x:row r="84" ht="34" customHeight="1">
      <x:c r="A84" s="23"/>
      <x:c r="B84" s="15"/>
      <x:c r="C84" s="15"/>
      <x:c r="D84" s="15"/>
      <x:c r="E84" s="15"/>
      <x:c r="F84" s="16"/>
      <x:c r="G84" s="15"/>
      <x:c r="H84" s="10" t="str">
        <x:f>IF(COUNTA(A84:G84)=0,"",IF(ISERROR(A84),"Check date",IF(NOT(ISNUMBER(A84)),"Check date",IF(OR(A84&lt;1,A84&gt;=2958466,INT(A84)=60),"Check date",IF(ISERROR(B84),"Check account ID",IF(OR(NOT(EXACT(B84,UPPER(B84))),COUNTIFS('Accounts'!$A$10:$A$39,B84,'Accounts'!$H$10:$H$39,"OK")&lt;&gt;1),"Check account ID",IF(ISERROR(D84),"Check description",IF(LEN(TRIM(SUBSTITUTE(CLEAN(D84),CHAR(160)," ")))=0,"Check description",IF(ISERROR(E84),"Check type",IF(NOT(OR(EXACT(E84,"Charge"),EXACT(E84,"Payment"))),"Check type",IF(ISERROR(F84),"Check amount",IF(NOT(ISNUMBER(F84)),"Check amount",IF(OR(F84&lt;=0,ROUND(F84,2)&lt;&gt;F84),"Check amount","OK")))))))))))))</x:f>
      </x:c>
    </x:row>
    <x:row r="85" ht="34" customHeight="1">
      <x:c r="A85" s="25"/>
      <x:c r="B85" s="17"/>
      <x:c r="C85" s="17"/>
      <x:c r="D85" s="17"/>
      <x:c r="E85" s="17"/>
      <x:c r="F85" s="18"/>
      <x:c r="G85" s="17"/>
      <x:c r="H85" s="10" t="str">
        <x:f>IF(COUNTA(A85:G85)=0,"",IF(ISERROR(A85),"Check date",IF(NOT(ISNUMBER(A85)),"Check date",IF(OR(A85&lt;1,A85&gt;=2958466,INT(A85)=60),"Check date",IF(ISERROR(B85),"Check account ID",IF(OR(NOT(EXACT(B85,UPPER(B85))),COUNTIFS('Accounts'!$A$10:$A$39,B85,'Accounts'!$H$10:$H$39,"OK")&lt;&gt;1),"Check account ID",IF(ISERROR(D85),"Check description",IF(LEN(TRIM(SUBSTITUTE(CLEAN(D85),CHAR(160)," ")))=0,"Check description",IF(ISERROR(E85),"Check type",IF(NOT(OR(EXACT(E85,"Charge"),EXACT(E85,"Payment"))),"Check type",IF(ISERROR(F85),"Check amount",IF(NOT(ISNUMBER(F85)),"Check amount",IF(OR(F85&lt;=0,ROUND(F85,2)&lt;&gt;F85),"Check amount","OK")))))))))))))</x:f>
      </x:c>
    </x:row>
    <x:row r="86" ht="34" customHeight="1">
      <x:c r="A86" s="23"/>
      <x:c r="B86" s="15"/>
      <x:c r="C86" s="15"/>
      <x:c r="D86" s="15"/>
      <x:c r="E86" s="15"/>
      <x:c r="F86" s="16"/>
      <x:c r="G86" s="15"/>
      <x:c r="H86" s="10" t="str">
        <x:f>IF(COUNTA(A86:G86)=0,"",IF(ISERROR(A86),"Check date",IF(NOT(ISNUMBER(A86)),"Check date",IF(OR(A86&lt;1,A86&gt;=2958466,INT(A86)=60),"Check date",IF(ISERROR(B86),"Check account ID",IF(OR(NOT(EXACT(B86,UPPER(B86))),COUNTIFS('Accounts'!$A$10:$A$39,B86,'Accounts'!$H$10:$H$39,"OK")&lt;&gt;1),"Check account ID",IF(ISERROR(D86),"Check description",IF(LEN(TRIM(SUBSTITUTE(CLEAN(D86),CHAR(160)," ")))=0,"Check description",IF(ISERROR(E86),"Check type",IF(NOT(OR(EXACT(E86,"Charge"),EXACT(E86,"Payment"))),"Check type",IF(ISERROR(F86),"Check amount",IF(NOT(ISNUMBER(F86)),"Check amount",IF(OR(F86&lt;=0,ROUND(F86,2)&lt;&gt;F86),"Check amount","OK")))))))))))))</x:f>
      </x:c>
    </x:row>
    <x:row r="87" ht="34" customHeight="1">
      <x:c r="A87" s="25"/>
      <x:c r="B87" s="17"/>
      <x:c r="C87" s="17"/>
      <x:c r="D87" s="17"/>
      <x:c r="E87" s="17"/>
      <x:c r="F87" s="18"/>
      <x:c r="G87" s="17"/>
      <x:c r="H87" s="10" t="str">
        <x:f>IF(COUNTA(A87:G87)=0,"",IF(ISERROR(A87),"Check date",IF(NOT(ISNUMBER(A87)),"Check date",IF(OR(A87&lt;1,A87&gt;=2958466,INT(A87)=60),"Check date",IF(ISERROR(B87),"Check account ID",IF(OR(NOT(EXACT(B87,UPPER(B87))),COUNTIFS('Accounts'!$A$10:$A$39,B87,'Accounts'!$H$10:$H$39,"OK")&lt;&gt;1),"Check account ID",IF(ISERROR(D87),"Check description",IF(LEN(TRIM(SUBSTITUTE(CLEAN(D87),CHAR(160)," ")))=0,"Check description",IF(ISERROR(E87),"Check type",IF(NOT(OR(EXACT(E87,"Charge"),EXACT(E87,"Payment"))),"Check type",IF(ISERROR(F87),"Check amount",IF(NOT(ISNUMBER(F87)),"Check amount",IF(OR(F87&lt;=0,ROUND(F87,2)&lt;&gt;F87),"Check amount","OK")))))))))))))</x:f>
      </x:c>
    </x:row>
    <x:row r="88" ht="34" customHeight="1">
      <x:c r="A88" s="23"/>
      <x:c r="B88" s="15"/>
      <x:c r="C88" s="15"/>
      <x:c r="D88" s="15"/>
      <x:c r="E88" s="15"/>
      <x:c r="F88" s="16"/>
      <x:c r="G88" s="15"/>
      <x:c r="H88" s="10" t="str">
        <x:f>IF(COUNTA(A88:G88)=0,"",IF(ISERROR(A88),"Check date",IF(NOT(ISNUMBER(A88)),"Check date",IF(OR(A88&lt;1,A88&gt;=2958466,INT(A88)=60),"Check date",IF(ISERROR(B88),"Check account ID",IF(OR(NOT(EXACT(B88,UPPER(B88))),COUNTIFS('Accounts'!$A$10:$A$39,B88,'Accounts'!$H$10:$H$39,"OK")&lt;&gt;1),"Check account ID",IF(ISERROR(D88),"Check description",IF(LEN(TRIM(SUBSTITUTE(CLEAN(D88),CHAR(160)," ")))=0,"Check description",IF(ISERROR(E88),"Check type",IF(NOT(OR(EXACT(E88,"Charge"),EXACT(E88,"Payment"))),"Check type",IF(ISERROR(F88),"Check amount",IF(NOT(ISNUMBER(F88)),"Check amount",IF(OR(F88&lt;=0,ROUND(F88,2)&lt;&gt;F88),"Check amount","OK")))))))))))))</x:f>
      </x:c>
    </x:row>
    <x:row r="89" ht="34" customHeight="1">
      <x:c r="A89" s="25"/>
      <x:c r="B89" s="17"/>
      <x:c r="C89" s="17"/>
      <x:c r="D89" s="17"/>
      <x:c r="E89" s="17"/>
      <x:c r="F89" s="18"/>
      <x:c r="G89" s="17"/>
      <x:c r="H89" s="10" t="str">
        <x:f>IF(COUNTA(A89:G89)=0,"",IF(ISERROR(A89),"Check date",IF(NOT(ISNUMBER(A89)),"Check date",IF(OR(A89&lt;1,A89&gt;=2958466,INT(A89)=60),"Check date",IF(ISERROR(B89),"Check account ID",IF(OR(NOT(EXACT(B89,UPPER(B89))),COUNTIFS('Accounts'!$A$10:$A$39,B89,'Accounts'!$H$10:$H$39,"OK")&lt;&gt;1),"Check account ID",IF(ISERROR(D89),"Check description",IF(LEN(TRIM(SUBSTITUTE(CLEAN(D89),CHAR(160)," ")))=0,"Check description",IF(ISERROR(E89),"Check type",IF(NOT(OR(EXACT(E89,"Charge"),EXACT(E89,"Payment"))),"Check type",IF(ISERROR(F89),"Check amount",IF(NOT(ISNUMBER(F89)),"Check amount",IF(OR(F89&lt;=0,ROUND(F89,2)&lt;&gt;F89),"Check amount","OK")))))))))))))</x:f>
      </x:c>
    </x:row>
    <x:row r="90" ht="34" customHeight="1">
      <x:c r="A90" s="23"/>
      <x:c r="B90" s="15"/>
      <x:c r="C90" s="15"/>
      <x:c r="D90" s="15"/>
      <x:c r="E90" s="15"/>
      <x:c r="F90" s="16"/>
      <x:c r="G90" s="15"/>
      <x:c r="H90" s="10" t="str">
        <x:f>IF(COUNTA(A90:G90)=0,"",IF(ISERROR(A90),"Check date",IF(NOT(ISNUMBER(A90)),"Check date",IF(OR(A90&lt;1,A90&gt;=2958466,INT(A90)=60),"Check date",IF(ISERROR(B90),"Check account ID",IF(OR(NOT(EXACT(B90,UPPER(B90))),COUNTIFS('Accounts'!$A$10:$A$39,B90,'Accounts'!$H$10:$H$39,"OK")&lt;&gt;1),"Check account ID",IF(ISERROR(D90),"Check description",IF(LEN(TRIM(SUBSTITUTE(CLEAN(D90),CHAR(160)," ")))=0,"Check description",IF(ISERROR(E90),"Check type",IF(NOT(OR(EXACT(E90,"Charge"),EXACT(E90,"Payment"))),"Check type",IF(ISERROR(F90),"Check amount",IF(NOT(ISNUMBER(F90)),"Check amount",IF(OR(F90&lt;=0,ROUND(F90,2)&lt;&gt;F90),"Check amount","OK")))))))))))))</x:f>
      </x:c>
    </x:row>
    <x:row r="91" ht="34" customHeight="1">
      <x:c r="A91" s="25"/>
      <x:c r="B91" s="17"/>
      <x:c r="C91" s="17"/>
      <x:c r="D91" s="17"/>
      <x:c r="E91" s="17"/>
      <x:c r="F91" s="18"/>
      <x:c r="G91" s="17"/>
      <x:c r="H91" s="10" t="str">
        <x:f>IF(COUNTA(A91:G91)=0,"",IF(ISERROR(A91),"Check date",IF(NOT(ISNUMBER(A91)),"Check date",IF(OR(A91&lt;1,A91&gt;=2958466,INT(A91)=60),"Check date",IF(ISERROR(B91),"Check account ID",IF(OR(NOT(EXACT(B91,UPPER(B91))),COUNTIFS('Accounts'!$A$10:$A$39,B91,'Accounts'!$H$10:$H$39,"OK")&lt;&gt;1),"Check account ID",IF(ISERROR(D91),"Check description",IF(LEN(TRIM(SUBSTITUTE(CLEAN(D91),CHAR(160)," ")))=0,"Check description",IF(ISERROR(E91),"Check type",IF(NOT(OR(EXACT(E91,"Charge"),EXACT(E91,"Payment"))),"Check type",IF(ISERROR(F91),"Check amount",IF(NOT(ISNUMBER(F91)),"Check amount",IF(OR(F91&lt;=0,ROUND(F91,2)&lt;&gt;F91),"Check amount","OK")))))))))))))</x:f>
      </x:c>
    </x:row>
    <x:row r="92" ht="34" customHeight="1">
      <x:c r="A92" s="23"/>
      <x:c r="B92" s="15"/>
      <x:c r="C92" s="15"/>
      <x:c r="D92" s="15"/>
      <x:c r="E92" s="15"/>
      <x:c r="F92" s="16"/>
      <x:c r="G92" s="15"/>
      <x:c r="H92" s="10" t="str">
        <x:f>IF(COUNTA(A92:G92)=0,"",IF(ISERROR(A92),"Check date",IF(NOT(ISNUMBER(A92)),"Check date",IF(OR(A92&lt;1,A92&gt;=2958466,INT(A92)=60),"Check date",IF(ISERROR(B92),"Check account ID",IF(OR(NOT(EXACT(B92,UPPER(B92))),COUNTIFS('Accounts'!$A$10:$A$39,B92,'Accounts'!$H$10:$H$39,"OK")&lt;&gt;1),"Check account ID",IF(ISERROR(D92),"Check description",IF(LEN(TRIM(SUBSTITUTE(CLEAN(D92),CHAR(160)," ")))=0,"Check description",IF(ISERROR(E92),"Check type",IF(NOT(OR(EXACT(E92,"Charge"),EXACT(E92,"Payment"))),"Check type",IF(ISERROR(F92),"Check amount",IF(NOT(ISNUMBER(F92)),"Check amount",IF(OR(F92&lt;=0,ROUND(F92,2)&lt;&gt;F92),"Check amount","OK")))))))))))))</x:f>
      </x:c>
    </x:row>
    <x:row r="93" ht="34" customHeight="1">
      <x:c r="A93" s="25"/>
      <x:c r="B93" s="17"/>
      <x:c r="C93" s="17"/>
      <x:c r="D93" s="17"/>
      <x:c r="E93" s="17"/>
      <x:c r="F93" s="18"/>
      <x:c r="G93" s="17"/>
      <x:c r="H93" s="10" t="str">
        <x:f>IF(COUNTA(A93:G93)=0,"",IF(ISERROR(A93),"Check date",IF(NOT(ISNUMBER(A93)),"Check date",IF(OR(A93&lt;1,A93&gt;=2958466,INT(A93)=60),"Check date",IF(ISERROR(B93),"Check account ID",IF(OR(NOT(EXACT(B93,UPPER(B93))),COUNTIFS('Accounts'!$A$10:$A$39,B93,'Accounts'!$H$10:$H$39,"OK")&lt;&gt;1),"Check account ID",IF(ISERROR(D93),"Check description",IF(LEN(TRIM(SUBSTITUTE(CLEAN(D93),CHAR(160)," ")))=0,"Check description",IF(ISERROR(E93),"Check type",IF(NOT(OR(EXACT(E93,"Charge"),EXACT(E93,"Payment"))),"Check type",IF(ISERROR(F93),"Check amount",IF(NOT(ISNUMBER(F93)),"Check amount",IF(OR(F93&lt;=0,ROUND(F93,2)&lt;&gt;F93),"Check amount","OK")))))))))))))</x:f>
      </x:c>
    </x:row>
    <x:row r="94" ht="34" customHeight="1">
      <x:c r="A94" s="23"/>
      <x:c r="B94" s="15"/>
      <x:c r="C94" s="15"/>
      <x:c r="D94" s="15"/>
      <x:c r="E94" s="15"/>
      <x:c r="F94" s="16"/>
      <x:c r="G94" s="15"/>
      <x:c r="H94" s="10" t="str">
        <x:f>IF(COUNTA(A94:G94)=0,"",IF(ISERROR(A94),"Check date",IF(NOT(ISNUMBER(A94)),"Check date",IF(OR(A94&lt;1,A94&gt;=2958466,INT(A94)=60),"Check date",IF(ISERROR(B94),"Check account ID",IF(OR(NOT(EXACT(B94,UPPER(B94))),COUNTIFS('Accounts'!$A$10:$A$39,B94,'Accounts'!$H$10:$H$39,"OK")&lt;&gt;1),"Check account ID",IF(ISERROR(D94),"Check description",IF(LEN(TRIM(SUBSTITUTE(CLEAN(D94),CHAR(160)," ")))=0,"Check description",IF(ISERROR(E94),"Check type",IF(NOT(OR(EXACT(E94,"Charge"),EXACT(E94,"Payment"))),"Check type",IF(ISERROR(F94),"Check amount",IF(NOT(ISNUMBER(F94)),"Check amount",IF(OR(F94&lt;=0,ROUND(F94,2)&lt;&gt;F94),"Check amount","OK")))))))))))))</x:f>
      </x:c>
    </x:row>
    <x:row r="95" ht="34" customHeight="1">
      <x:c r="A95" s="25"/>
      <x:c r="B95" s="17"/>
      <x:c r="C95" s="17"/>
      <x:c r="D95" s="17"/>
      <x:c r="E95" s="17"/>
      <x:c r="F95" s="18"/>
      <x:c r="G95" s="17"/>
      <x:c r="H95" s="10" t="str">
        <x:f>IF(COUNTA(A95:G95)=0,"",IF(ISERROR(A95),"Check date",IF(NOT(ISNUMBER(A95)),"Check date",IF(OR(A95&lt;1,A95&gt;=2958466,INT(A95)=60),"Check date",IF(ISERROR(B95),"Check account ID",IF(OR(NOT(EXACT(B95,UPPER(B95))),COUNTIFS('Accounts'!$A$10:$A$39,B95,'Accounts'!$H$10:$H$39,"OK")&lt;&gt;1),"Check account ID",IF(ISERROR(D95),"Check description",IF(LEN(TRIM(SUBSTITUTE(CLEAN(D95),CHAR(160)," ")))=0,"Check description",IF(ISERROR(E95),"Check type",IF(NOT(OR(EXACT(E95,"Charge"),EXACT(E95,"Payment"))),"Check type",IF(ISERROR(F95),"Check amount",IF(NOT(ISNUMBER(F95)),"Check amount",IF(OR(F95&lt;=0,ROUND(F95,2)&lt;&gt;F95),"Check amount","OK")))))))))))))</x:f>
      </x:c>
    </x:row>
    <x:row r="96" ht="34" customHeight="1">
      <x:c r="A96" s="23"/>
      <x:c r="B96" s="15"/>
      <x:c r="C96" s="15"/>
      <x:c r="D96" s="15"/>
      <x:c r="E96" s="15"/>
      <x:c r="F96" s="16"/>
      <x:c r="G96" s="15"/>
      <x:c r="H96" s="10" t="str">
        <x:f>IF(COUNTA(A96:G96)=0,"",IF(ISERROR(A96),"Check date",IF(NOT(ISNUMBER(A96)),"Check date",IF(OR(A96&lt;1,A96&gt;=2958466,INT(A96)=60),"Check date",IF(ISERROR(B96),"Check account ID",IF(OR(NOT(EXACT(B96,UPPER(B96))),COUNTIFS('Accounts'!$A$10:$A$39,B96,'Accounts'!$H$10:$H$39,"OK")&lt;&gt;1),"Check account ID",IF(ISERROR(D96),"Check description",IF(LEN(TRIM(SUBSTITUTE(CLEAN(D96),CHAR(160)," ")))=0,"Check description",IF(ISERROR(E96),"Check type",IF(NOT(OR(EXACT(E96,"Charge"),EXACT(E96,"Payment"))),"Check type",IF(ISERROR(F96),"Check amount",IF(NOT(ISNUMBER(F96)),"Check amount",IF(OR(F96&lt;=0,ROUND(F96,2)&lt;&gt;F96),"Check amount","OK")))))))))))))</x:f>
      </x:c>
    </x:row>
    <x:row r="97" ht="34" customHeight="1">
      <x:c r="A97" s="25"/>
      <x:c r="B97" s="17"/>
      <x:c r="C97" s="17"/>
      <x:c r="D97" s="17"/>
      <x:c r="E97" s="17"/>
      <x:c r="F97" s="18"/>
      <x:c r="G97" s="17"/>
      <x:c r="H97" s="10" t="str">
        <x:f>IF(COUNTA(A97:G97)=0,"",IF(ISERROR(A97),"Check date",IF(NOT(ISNUMBER(A97)),"Check date",IF(OR(A97&lt;1,A97&gt;=2958466,INT(A97)=60),"Check date",IF(ISERROR(B97),"Check account ID",IF(OR(NOT(EXACT(B97,UPPER(B97))),COUNTIFS('Accounts'!$A$10:$A$39,B97,'Accounts'!$H$10:$H$39,"OK")&lt;&gt;1),"Check account ID",IF(ISERROR(D97),"Check description",IF(LEN(TRIM(SUBSTITUTE(CLEAN(D97),CHAR(160)," ")))=0,"Check description",IF(ISERROR(E97),"Check type",IF(NOT(OR(EXACT(E97,"Charge"),EXACT(E97,"Payment"))),"Check type",IF(ISERROR(F97),"Check amount",IF(NOT(ISNUMBER(F97)),"Check amount",IF(OR(F97&lt;=0,ROUND(F97,2)&lt;&gt;F97),"Check amount","OK")))))))))))))</x:f>
      </x:c>
    </x:row>
    <x:row r="98" ht="34" customHeight="1">
      <x:c r="A98" s="23"/>
      <x:c r="B98" s="15"/>
      <x:c r="C98" s="15"/>
      <x:c r="D98" s="15"/>
      <x:c r="E98" s="15"/>
      <x:c r="F98" s="16"/>
      <x:c r="G98" s="15"/>
      <x:c r="H98" s="10" t="str">
        <x:f>IF(COUNTA(A98:G98)=0,"",IF(ISERROR(A98),"Check date",IF(NOT(ISNUMBER(A98)),"Check date",IF(OR(A98&lt;1,A98&gt;=2958466,INT(A98)=60),"Check date",IF(ISERROR(B98),"Check account ID",IF(OR(NOT(EXACT(B98,UPPER(B98))),COUNTIFS('Accounts'!$A$10:$A$39,B98,'Accounts'!$H$10:$H$39,"OK")&lt;&gt;1),"Check account ID",IF(ISERROR(D98),"Check description",IF(LEN(TRIM(SUBSTITUTE(CLEAN(D98),CHAR(160)," ")))=0,"Check description",IF(ISERROR(E98),"Check type",IF(NOT(OR(EXACT(E98,"Charge"),EXACT(E98,"Payment"))),"Check type",IF(ISERROR(F98),"Check amount",IF(NOT(ISNUMBER(F98)),"Check amount",IF(OR(F98&lt;=0,ROUND(F98,2)&lt;&gt;F98),"Check amount","OK")))))))))))))</x:f>
      </x:c>
    </x:row>
    <x:row r="99" ht="34" customHeight="1">
      <x:c r="A99" s="25"/>
      <x:c r="B99" s="17"/>
      <x:c r="C99" s="17"/>
      <x:c r="D99" s="17"/>
      <x:c r="E99" s="17"/>
      <x:c r="F99" s="18"/>
      <x:c r="G99" s="17"/>
      <x:c r="H99" s="10" t="str">
        <x:f>IF(COUNTA(A99:G99)=0,"",IF(ISERROR(A99),"Check date",IF(NOT(ISNUMBER(A99)),"Check date",IF(OR(A99&lt;1,A99&gt;=2958466,INT(A99)=60),"Check date",IF(ISERROR(B99),"Check account ID",IF(OR(NOT(EXACT(B99,UPPER(B99))),COUNTIFS('Accounts'!$A$10:$A$39,B99,'Accounts'!$H$10:$H$39,"OK")&lt;&gt;1),"Check account ID",IF(ISERROR(D99),"Check description",IF(LEN(TRIM(SUBSTITUTE(CLEAN(D99),CHAR(160)," ")))=0,"Check description",IF(ISERROR(E99),"Check type",IF(NOT(OR(EXACT(E99,"Charge"),EXACT(E99,"Payment"))),"Check type",IF(ISERROR(F99),"Check amount",IF(NOT(ISNUMBER(F99)),"Check amount",IF(OR(F99&lt;=0,ROUND(F99,2)&lt;&gt;F99),"Check amount","OK")))))))))))))</x:f>
      </x:c>
    </x:row>
    <x:row r="100" ht="34" customHeight="1">
      <x:c r="A100" s="23"/>
      <x:c r="B100" s="15"/>
      <x:c r="C100" s="15"/>
      <x:c r="D100" s="15"/>
      <x:c r="E100" s="15"/>
      <x:c r="F100" s="16"/>
      <x:c r="G100" s="15"/>
      <x:c r="H100" s="10" t="str">
        <x:f>IF(COUNTA(A100:G100)=0,"",IF(ISERROR(A100),"Check date",IF(NOT(ISNUMBER(A100)),"Check date",IF(OR(A100&lt;1,A100&gt;=2958466,INT(A100)=60),"Check date",IF(ISERROR(B100),"Check account ID",IF(OR(NOT(EXACT(B100,UPPER(B100))),COUNTIFS('Accounts'!$A$10:$A$39,B100,'Accounts'!$H$10:$H$39,"OK")&lt;&gt;1),"Check account ID",IF(ISERROR(D100),"Check description",IF(LEN(TRIM(SUBSTITUTE(CLEAN(D100),CHAR(160)," ")))=0,"Check description",IF(ISERROR(E100),"Check type",IF(NOT(OR(EXACT(E100,"Charge"),EXACT(E100,"Payment"))),"Check type",IF(ISERROR(F100),"Check amount",IF(NOT(ISNUMBER(F100)),"Check amount",IF(OR(F100&lt;=0,ROUND(F100,2)&lt;&gt;F100),"Check amount","OK")))))))))))))</x:f>
      </x:c>
    </x:row>
    <x:row r="101" ht="34" customHeight="1">
      <x:c r="A101" s="25"/>
      <x:c r="B101" s="17"/>
      <x:c r="C101" s="17"/>
      <x:c r="D101" s="17"/>
      <x:c r="E101" s="17"/>
      <x:c r="F101" s="18"/>
      <x:c r="G101" s="17"/>
      <x:c r="H101" s="10" t="str">
        <x:f>IF(COUNTA(A101:G101)=0,"",IF(ISERROR(A101),"Check date",IF(NOT(ISNUMBER(A101)),"Check date",IF(OR(A101&lt;1,A101&gt;=2958466,INT(A101)=60),"Check date",IF(ISERROR(B101),"Check account ID",IF(OR(NOT(EXACT(B101,UPPER(B101))),COUNTIFS('Accounts'!$A$10:$A$39,B101,'Accounts'!$H$10:$H$39,"OK")&lt;&gt;1),"Check account ID",IF(ISERROR(D101),"Check description",IF(LEN(TRIM(SUBSTITUTE(CLEAN(D101),CHAR(160)," ")))=0,"Check description",IF(ISERROR(E101),"Check type",IF(NOT(OR(EXACT(E101,"Charge"),EXACT(E101,"Payment"))),"Check type",IF(ISERROR(F101),"Check amount",IF(NOT(ISNUMBER(F101)),"Check amount",IF(OR(F101&lt;=0,ROUND(F101,2)&lt;&gt;F101),"Check amount","OK")))))))))))))</x:f>
      </x:c>
    </x:row>
    <x:row r="102" ht="34" customHeight="1">
      <x:c r="A102" s="23"/>
      <x:c r="B102" s="15"/>
      <x:c r="C102" s="15"/>
      <x:c r="D102" s="15"/>
      <x:c r="E102" s="15"/>
      <x:c r="F102" s="16"/>
      <x:c r="G102" s="15"/>
      <x:c r="H102" s="10" t="str">
        <x:f>IF(COUNTA(A102:G102)=0,"",IF(ISERROR(A102),"Check date",IF(NOT(ISNUMBER(A102)),"Check date",IF(OR(A102&lt;1,A102&gt;=2958466,INT(A102)=60),"Check date",IF(ISERROR(B102),"Check account ID",IF(OR(NOT(EXACT(B102,UPPER(B102))),COUNTIFS('Accounts'!$A$10:$A$39,B102,'Accounts'!$H$10:$H$39,"OK")&lt;&gt;1),"Check account ID",IF(ISERROR(D102),"Check description",IF(LEN(TRIM(SUBSTITUTE(CLEAN(D102),CHAR(160)," ")))=0,"Check description",IF(ISERROR(E102),"Check type",IF(NOT(OR(EXACT(E102,"Charge"),EXACT(E102,"Payment"))),"Check type",IF(ISERROR(F102),"Check amount",IF(NOT(ISNUMBER(F102)),"Check amount",IF(OR(F102&lt;=0,ROUND(F102,2)&lt;&gt;F102),"Check amount","OK")))))))))))))</x:f>
      </x:c>
    </x:row>
    <x:row r="103" ht="34" customHeight="1">
      <x:c r="A103" s="25"/>
      <x:c r="B103" s="17"/>
      <x:c r="C103" s="17"/>
      <x:c r="D103" s="17"/>
      <x:c r="E103" s="17"/>
      <x:c r="F103" s="18"/>
      <x:c r="G103" s="17"/>
      <x:c r="H103" s="10" t="str">
        <x:f>IF(COUNTA(A103:G103)=0,"",IF(ISERROR(A103),"Check date",IF(NOT(ISNUMBER(A103)),"Check date",IF(OR(A103&lt;1,A103&gt;=2958466,INT(A103)=60),"Check date",IF(ISERROR(B103),"Check account ID",IF(OR(NOT(EXACT(B103,UPPER(B103))),COUNTIFS('Accounts'!$A$10:$A$39,B103,'Accounts'!$H$10:$H$39,"OK")&lt;&gt;1),"Check account ID",IF(ISERROR(D103),"Check description",IF(LEN(TRIM(SUBSTITUTE(CLEAN(D103),CHAR(160)," ")))=0,"Check description",IF(ISERROR(E103),"Check type",IF(NOT(OR(EXACT(E103,"Charge"),EXACT(E103,"Payment"))),"Check type",IF(ISERROR(F103),"Check amount",IF(NOT(ISNUMBER(F103)),"Check amount",IF(OR(F103&lt;=0,ROUND(F103,2)&lt;&gt;F103),"Check amount","OK")))))))))))))</x:f>
      </x:c>
    </x:row>
    <x:row r="104" ht="34" customHeight="1">
      <x:c r="A104" s="23"/>
      <x:c r="B104" s="15"/>
      <x:c r="C104" s="15"/>
      <x:c r="D104" s="15"/>
      <x:c r="E104" s="15"/>
      <x:c r="F104" s="16"/>
      <x:c r="G104" s="15"/>
      <x:c r="H104" s="10" t="str">
        <x:f>IF(COUNTA(A104:G104)=0,"",IF(ISERROR(A104),"Check date",IF(NOT(ISNUMBER(A104)),"Check date",IF(OR(A104&lt;1,A104&gt;=2958466,INT(A104)=60),"Check date",IF(ISERROR(B104),"Check account ID",IF(OR(NOT(EXACT(B104,UPPER(B104))),COUNTIFS('Accounts'!$A$10:$A$39,B104,'Accounts'!$H$10:$H$39,"OK")&lt;&gt;1),"Check account ID",IF(ISERROR(D104),"Check description",IF(LEN(TRIM(SUBSTITUTE(CLEAN(D104),CHAR(160)," ")))=0,"Check description",IF(ISERROR(E104),"Check type",IF(NOT(OR(EXACT(E104,"Charge"),EXACT(E104,"Payment"))),"Check type",IF(ISERROR(F104),"Check amount",IF(NOT(ISNUMBER(F104)),"Check amount",IF(OR(F104&lt;=0,ROUND(F104,2)&lt;&gt;F104),"Check amount","OK")))))))))))))</x:f>
      </x:c>
    </x:row>
    <x:row r="105" ht="34" customHeight="1">
      <x:c r="A105" s="25"/>
      <x:c r="B105" s="17"/>
      <x:c r="C105" s="17"/>
      <x:c r="D105" s="17"/>
      <x:c r="E105" s="17"/>
      <x:c r="F105" s="18"/>
      <x:c r="G105" s="17"/>
      <x:c r="H105" s="10" t="str">
        <x:f>IF(COUNTA(A105:G105)=0,"",IF(ISERROR(A105),"Check date",IF(NOT(ISNUMBER(A105)),"Check date",IF(OR(A105&lt;1,A105&gt;=2958466,INT(A105)=60),"Check date",IF(ISERROR(B105),"Check account ID",IF(OR(NOT(EXACT(B105,UPPER(B105))),COUNTIFS('Accounts'!$A$10:$A$39,B105,'Accounts'!$H$10:$H$39,"OK")&lt;&gt;1),"Check account ID",IF(ISERROR(D105),"Check description",IF(LEN(TRIM(SUBSTITUTE(CLEAN(D105),CHAR(160)," ")))=0,"Check description",IF(ISERROR(E105),"Check type",IF(NOT(OR(EXACT(E105,"Charge"),EXACT(E105,"Payment"))),"Check type",IF(ISERROR(F105),"Check amount",IF(NOT(ISNUMBER(F105)),"Check amount",IF(OR(F105&lt;=0,ROUND(F105,2)&lt;&gt;F105),"Check amount","OK")))))))))))))</x:f>
      </x:c>
    </x:row>
    <x:row r="106" ht="34" customHeight="1">
      <x:c r="A106" s="23"/>
      <x:c r="B106" s="15"/>
      <x:c r="C106" s="15"/>
      <x:c r="D106" s="15"/>
      <x:c r="E106" s="15"/>
      <x:c r="F106" s="16"/>
      <x:c r="G106" s="15"/>
      <x:c r="H106" s="10" t="str">
        <x:f>IF(COUNTA(A106:G106)=0,"",IF(ISERROR(A106),"Check date",IF(NOT(ISNUMBER(A106)),"Check date",IF(OR(A106&lt;1,A106&gt;=2958466,INT(A106)=60),"Check date",IF(ISERROR(B106),"Check account ID",IF(OR(NOT(EXACT(B106,UPPER(B106))),COUNTIFS('Accounts'!$A$10:$A$39,B106,'Accounts'!$H$10:$H$39,"OK")&lt;&gt;1),"Check account ID",IF(ISERROR(D106),"Check description",IF(LEN(TRIM(SUBSTITUTE(CLEAN(D106),CHAR(160)," ")))=0,"Check description",IF(ISERROR(E106),"Check type",IF(NOT(OR(EXACT(E106,"Charge"),EXACT(E106,"Payment"))),"Check type",IF(ISERROR(F106),"Check amount",IF(NOT(ISNUMBER(F106)),"Check amount",IF(OR(F106&lt;=0,ROUND(F106,2)&lt;&gt;F106),"Check amount","OK")))))))))))))</x:f>
      </x:c>
    </x:row>
    <x:row r="107" ht="34" customHeight="1">
      <x:c r="A107" s="25"/>
      <x:c r="B107" s="17"/>
      <x:c r="C107" s="17"/>
      <x:c r="D107" s="17"/>
      <x:c r="E107" s="17"/>
      <x:c r="F107" s="18"/>
      <x:c r="G107" s="17"/>
      <x:c r="H107" s="10" t="str">
        <x:f>IF(COUNTA(A107:G107)=0,"",IF(ISERROR(A107),"Check date",IF(NOT(ISNUMBER(A107)),"Check date",IF(OR(A107&lt;1,A107&gt;=2958466,INT(A107)=60),"Check date",IF(ISERROR(B107),"Check account ID",IF(OR(NOT(EXACT(B107,UPPER(B107))),COUNTIFS('Accounts'!$A$10:$A$39,B107,'Accounts'!$H$10:$H$39,"OK")&lt;&gt;1),"Check account ID",IF(ISERROR(D107),"Check description",IF(LEN(TRIM(SUBSTITUTE(CLEAN(D107),CHAR(160)," ")))=0,"Check description",IF(ISERROR(E107),"Check type",IF(NOT(OR(EXACT(E107,"Charge"),EXACT(E107,"Payment"))),"Check type",IF(ISERROR(F107),"Check amount",IF(NOT(ISNUMBER(F107)),"Check amount",IF(OR(F107&lt;=0,ROUND(F107,2)&lt;&gt;F107),"Check amount","OK")))))))))))))</x:f>
      </x:c>
    </x:row>
    <x:row r="108" ht="34" customHeight="1">
      <x:c r="A108" s="23"/>
      <x:c r="B108" s="15"/>
      <x:c r="C108" s="15"/>
      <x:c r="D108" s="15"/>
      <x:c r="E108" s="15"/>
      <x:c r="F108" s="16"/>
      <x:c r="G108" s="15"/>
      <x:c r="H108" s="10" t="str">
        <x:f>IF(COUNTA(A108:G108)=0,"",IF(ISERROR(A108),"Check date",IF(NOT(ISNUMBER(A108)),"Check date",IF(OR(A108&lt;1,A108&gt;=2958466,INT(A108)=60),"Check date",IF(ISERROR(B108),"Check account ID",IF(OR(NOT(EXACT(B108,UPPER(B108))),COUNTIFS('Accounts'!$A$10:$A$39,B108,'Accounts'!$H$10:$H$39,"OK")&lt;&gt;1),"Check account ID",IF(ISERROR(D108),"Check description",IF(LEN(TRIM(SUBSTITUTE(CLEAN(D108),CHAR(160)," ")))=0,"Check description",IF(ISERROR(E108),"Check type",IF(NOT(OR(EXACT(E108,"Charge"),EXACT(E108,"Payment"))),"Check type",IF(ISERROR(F108),"Check amount",IF(NOT(ISNUMBER(F108)),"Check amount",IF(OR(F108&lt;=0,ROUND(F108,2)&lt;&gt;F108),"Check amount","OK")))))))))))))</x:f>
      </x:c>
    </x:row>
    <x:row r="109" ht="34" customHeight="1">
      <x:c r="A109" s="25"/>
      <x:c r="B109" s="17"/>
      <x:c r="C109" s="17"/>
      <x:c r="D109" s="17"/>
      <x:c r="E109" s="17"/>
      <x:c r="F109" s="18"/>
      <x:c r="G109" s="17"/>
      <x:c r="H109" s="10" t="str">
        <x:f>IF(COUNTA(A109:G109)=0,"",IF(ISERROR(A109),"Check date",IF(NOT(ISNUMBER(A109)),"Check date",IF(OR(A109&lt;1,A109&gt;=2958466,INT(A109)=60),"Check date",IF(ISERROR(B109),"Check account ID",IF(OR(NOT(EXACT(B109,UPPER(B109))),COUNTIFS('Accounts'!$A$10:$A$39,B109,'Accounts'!$H$10:$H$39,"OK")&lt;&gt;1),"Check account ID",IF(ISERROR(D109),"Check description",IF(LEN(TRIM(SUBSTITUTE(CLEAN(D109),CHAR(160)," ")))=0,"Check description",IF(ISERROR(E109),"Check type",IF(NOT(OR(EXACT(E109,"Charge"),EXACT(E109,"Payment"))),"Check type",IF(ISERROR(F109),"Check amount",IF(NOT(ISNUMBER(F109)),"Check amount",IF(OR(F109&lt;=0,ROUND(F109,2)&lt;&gt;F109),"Check amount","OK")))))))))))))</x:f>
      </x:c>
    </x:row>
    <x:row r="110" ht="34" customHeight="1">
      <x:c r="A110" s="23"/>
      <x:c r="B110" s="15"/>
      <x:c r="C110" s="15"/>
      <x:c r="D110" s="15"/>
      <x:c r="E110" s="15"/>
      <x:c r="F110" s="16"/>
      <x:c r="G110" s="15"/>
      <x:c r="H110" s="10" t="str">
        <x:f>IF(COUNTA(A110:G110)=0,"",IF(ISERROR(A110),"Check date",IF(NOT(ISNUMBER(A110)),"Check date",IF(OR(A110&lt;1,A110&gt;=2958466,INT(A110)=60),"Check date",IF(ISERROR(B110),"Check account ID",IF(OR(NOT(EXACT(B110,UPPER(B110))),COUNTIFS('Accounts'!$A$10:$A$39,B110,'Accounts'!$H$10:$H$39,"OK")&lt;&gt;1),"Check account ID",IF(ISERROR(D110),"Check description",IF(LEN(TRIM(SUBSTITUTE(CLEAN(D110),CHAR(160)," ")))=0,"Check description",IF(ISERROR(E110),"Check type",IF(NOT(OR(EXACT(E110,"Charge"),EXACT(E110,"Payment"))),"Check type",IF(ISERROR(F110),"Check amount",IF(NOT(ISNUMBER(F110)),"Check amount",IF(OR(F110&lt;=0,ROUND(F110,2)&lt;&gt;F110),"Check amount","OK")))))))))))))</x:f>
      </x:c>
    </x:row>
    <x:row r="111" ht="34" customHeight="1">
      <x:c r="A111" s="25"/>
      <x:c r="B111" s="17"/>
      <x:c r="C111" s="17"/>
      <x:c r="D111" s="17"/>
      <x:c r="E111" s="17"/>
      <x:c r="F111" s="18"/>
      <x:c r="G111" s="17"/>
      <x:c r="H111" s="10" t="str">
        <x:f>IF(COUNTA(A111:G111)=0,"",IF(ISERROR(A111),"Check date",IF(NOT(ISNUMBER(A111)),"Check date",IF(OR(A111&lt;1,A111&gt;=2958466,INT(A111)=60),"Check date",IF(ISERROR(B111),"Check account ID",IF(OR(NOT(EXACT(B111,UPPER(B111))),COUNTIFS('Accounts'!$A$10:$A$39,B111,'Accounts'!$H$10:$H$39,"OK")&lt;&gt;1),"Check account ID",IF(ISERROR(D111),"Check description",IF(LEN(TRIM(SUBSTITUTE(CLEAN(D111),CHAR(160)," ")))=0,"Check description",IF(ISERROR(E111),"Check type",IF(NOT(OR(EXACT(E111,"Charge"),EXACT(E111,"Payment"))),"Check type",IF(ISERROR(F111),"Check amount",IF(NOT(ISNUMBER(F111)),"Check amount",IF(OR(F111&lt;=0,ROUND(F111,2)&lt;&gt;F111),"Check amount","OK")))))))))))))</x:f>
      </x:c>
    </x:row>
    <x:row r="112" ht="34" customHeight="1">
      <x:c r="A112" s="23"/>
      <x:c r="B112" s="15"/>
      <x:c r="C112" s="15"/>
      <x:c r="D112" s="15"/>
      <x:c r="E112" s="15"/>
      <x:c r="F112" s="16"/>
      <x:c r="G112" s="15"/>
      <x:c r="H112" s="10" t="str">
        <x:f>IF(COUNTA(A112:G112)=0,"",IF(ISERROR(A112),"Check date",IF(NOT(ISNUMBER(A112)),"Check date",IF(OR(A112&lt;1,A112&gt;=2958466,INT(A112)=60),"Check date",IF(ISERROR(B112),"Check account ID",IF(OR(NOT(EXACT(B112,UPPER(B112))),COUNTIFS('Accounts'!$A$10:$A$39,B112,'Accounts'!$H$10:$H$39,"OK")&lt;&gt;1),"Check account ID",IF(ISERROR(D112),"Check description",IF(LEN(TRIM(SUBSTITUTE(CLEAN(D112),CHAR(160)," ")))=0,"Check description",IF(ISERROR(E112),"Check type",IF(NOT(OR(EXACT(E112,"Charge"),EXACT(E112,"Payment"))),"Check type",IF(ISERROR(F112),"Check amount",IF(NOT(ISNUMBER(F112)),"Check amount",IF(OR(F112&lt;=0,ROUND(F112,2)&lt;&gt;F112),"Check amount","OK")))))))))))))</x:f>
      </x:c>
    </x:row>
    <x:row r="113" ht="34" customHeight="1">
      <x:c r="A113" s="25"/>
      <x:c r="B113" s="17"/>
      <x:c r="C113" s="17"/>
      <x:c r="D113" s="17"/>
      <x:c r="E113" s="17"/>
      <x:c r="F113" s="18"/>
      <x:c r="G113" s="17"/>
      <x:c r="H113" s="10" t="str">
        <x:f>IF(COUNTA(A113:G113)=0,"",IF(ISERROR(A113),"Check date",IF(NOT(ISNUMBER(A113)),"Check date",IF(OR(A113&lt;1,A113&gt;=2958466,INT(A113)=60),"Check date",IF(ISERROR(B113),"Check account ID",IF(OR(NOT(EXACT(B113,UPPER(B113))),COUNTIFS('Accounts'!$A$10:$A$39,B113,'Accounts'!$H$10:$H$39,"OK")&lt;&gt;1),"Check account ID",IF(ISERROR(D113),"Check description",IF(LEN(TRIM(SUBSTITUTE(CLEAN(D113),CHAR(160)," ")))=0,"Check description",IF(ISERROR(E113),"Check type",IF(NOT(OR(EXACT(E113,"Charge"),EXACT(E113,"Payment"))),"Check type",IF(ISERROR(F113),"Check amount",IF(NOT(ISNUMBER(F113)),"Check amount",IF(OR(F113&lt;=0,ROUND(F113,2)&lt;&gt;F113),"Check amount","OK")))))))))))))</x:f>
      </x:c>
    </x:row>
    <x:row r="114" ht="34" customHeight="1">
      <x:c r="A114" s="23"/>
      <x:c r="B114" s="15"/>
      <x:c r="C114" s="15"/>
      <x:c r="D114" s="15"/>
      <x:c r="E114" s="15"/>
      <x:c r="F114" s="16"/>
      <x:c r="G114" s="15"/>
      <x:c r="H114" s="10" t="str">
        <x:f>IF(COUNTA(A114:G114)=0,"",IF(ISERROR(A114),"Check date",IF(NOT(ISNUMBER(A114)),"Check date",IF(OR(A114&lt;1,A114&gt;=2958466,INT(A114)=60),"Check date",IF(ISERROR(B114),"Check account ID",IF(OR(NOT(EXACT(B114,UPPER(B114))),COUNTIFS('Accounts'!$A$10:$A$39,B114,'Accounts'!$H$10:$H$39,"OK")&lt;&gt;1),"Check account ID",IF(ISERROR(D114),"Check description",IF(LEN(TRIM(SUBSTITUTE(CLEAN(D114),CHAR(160)," ")))=0,"Check description",IF(ISERROR(E114),"Check type",IF(NOT(OR(EXACT(E114,"Charge"),EXACT(E114,"Payment"))),"Check type",IF(ISERROR(F114),"Check amount",IF(NOT(ISNUMBER(F114)),"Check amount",IF(OR(F114&lt;=0,ROUND(F114,2)&lt;&gt;F114),"Check amount","OK")))))))))))))</x:f>
      </x:c>
    </x:row>
    <x:row r="115" ht="34" customHeight="1">
      <x:c r="A115" s="25"/>
      <x:c r="B115" s="17"/>
      <x:c r="C115" s="17"/>
      <x:c r="D115" s="17"/>
      <x:c r="E115" s="17"/>
      <x:c r="F115" s="18"/>
      <x:c r="G115" s="17"/>
      <x:c r="H115" s="10" t="str">
        <x:f>IF(COUNTA(A115:G115)=0,"",IF(ISERROR(A115),"Check date",IF(NOT(ISNUMBER(A115)),"Check date",IF(OR(A115&lt;1,A115&gt;=2958466,INT(A115)=60),"Check date",IF(ISERROR(B115),"Check account ID",IF(OR(NOT(EXACT(B115,UPPER(B115))),COUNTIFS('Accounts'!$A$10:$A$39,B115,'Accounts'!$H$10:$H$39,"OK")&lt;&gt;1),"Check account ID",IF(ISERROR(D115),"Check description",IF(LEN(TRIM(SUBSTITUTE(CLEAN(D115),CHAR(160)," ")))=0,"Check description",IF(ISERROR(E115),"Check type",IF(NOT(OR(EXACT(E115,"Charge"),EXACT(E115,"Payment"))),"Check type",IF(ISERROR(F115),"Check amount",IF(NOT(ISNUMBER(F115)),"Check amount",IF(OR(F115&lt;=0,ROUND(F115,2)&lt;&gt;F115),"Check amount","OK")))))))))))))</x:f>
      </x:c>
    </x:row>
    <x:row r="116" ht="34" customHeight="1">
      <x:c r="A116" s="23"/>
      <x:c r="B116" s="15"/>
      <x:c r="C116" s="15"/>
      <x:c r="D116" s="15"/>
      <x:c r="E116" s="15"/>
      <x:c r="F116" s="16"/>
      <x:c r="G116" s="15"/>
      <x:c r="H116" s="10" t="str">
        <x:f>IF(COUNTA(A116:G116)=0,"",IF(ISERROR(A116),"Check date",IF(NOT(ISNUMBER(A116)),"Check date",IF(OR(A116&lt;1,A116&gt;=2958466,INT(A116)=60),"Check date",IF(ISERROR(B116),"Check account ID",IF(OR(NOT(EXACT(B116,UPPER(B116))),COUNTIFS('Accounts'!$A$10:$A$39,B116,'Accounts'!$H$10:$H$39,"OK")&lt;&gt;1),"Check account ID",IF(ISERROR(D116),"Check description",IF(LEN(TRIM(SUBSTITUTE(CLEAN(D116),CHAR(160)," ")))=0,"Check description",IF(ISERROR(E116),"Check type",IF(NOT(OR(EXACT(E116,"Charge"),EXACT(E116,"Payment"))),"Check type",IF(ISERROR(F116),"Check amount",IF(NOT(ISNUMBER(F116)),"Check amount",IF(OR(F116&lt;=0,ROUND(F116,2)&lt;&gt;F116),"Check amount","OK")))))))))))))</x:f>
      </x:c>
    </x:row>
    <x:row r="117" ht="34" customHeight="1">
      <x:c r="A117" s="25"/>
      <x:c r="B117" s="17"/>
      <x:c r="C117" s="17"/>
      <x:c r="D117" s="17"/>
      <x:c r="E117" s="17"/>
      <x:c r="F117" s="18"/>
      <x:c r="G117" s="17"/>
      <x:c r="H117" s="10" t="str">
        <x:f>IF(COUNTA(A117:G117)=0,"",IF(ISERROR(A117),"Check date",IF(NOT(ISNUMBER(A117)),"Check date",IF(OR(A117&lt;1,A117&gt;=2958466,INT(A117)=60),"Check date",IF(ISERROR(B117),"Check account ID",IF(OR(NOT(EXACT(B117,UPPER(B117))),COUNTIFS('Accounts'!$A$10:$A$39,B117,'Accounts'!$H$10:$H$39,"OK")&lt;&gt;1),"Check account ID",IF(ISERROR(D117),"Check description",IF(LEN(TRIM(SUBSTITUTE(CLEAN(D117),CHAR(160)," ")))=0,"Check description",IF(ISERROR(E117),"Check type",IF(NOT(OR(EXACT(E117,"Charge"),EXACT(E117,"Payment"))),"Check type",IF(ISERROR(F117),"Check amount",IF(NOT(ISNUMBER(F117)),"Check amount",IF(OR(F117&lt;=0,ROUND(F117,2)&lt;&gt;F117),"Check amount","OK")))))))))))))</x:f>
      </x:c>
    </x:row>
    <x:row r="118" ht="34" customHeight="1">
      <x:c r="A118" s="23"/>
      <x:c r="B118" s="15"/>
      <x:c r="C118" s="15"/>
      <x:c r="D118" s="15"/>
      <x:c r="E118" s="15"/>
      <x:c r="F118" s="16"/>
      <x:c r="G118" s="15"/>
      <x:c r="H118" s="10" t="str">
        <x:f>IF(COUNTA(A118:G118)=0,"",IF(ISERROR(A118),"Check date",IF(NOT(ISNUMBER(A118)),"Check date",IF(OR(A118&lt;1,A118&gt;=2958466,INT(A118)=60),"Check date",IF(ISERROR(B118),"Check account ID",IF(OR(NOT(EXACT(B118,UPPER(B118))),COUNTIFS('Accounts'!$A$10:$A$39,B118,'Accounts'!$H$10:$H$39,"OK")&lt;&gt;1),"Check account ID",IF(ISERROR(D118),"Check description",IF(LEN(TRIM(SUBSTITUTE(CLEAN(D118),CHAR(160)," ")))=0,"Check description",IF(ISERROR(E118),"Check type",IF(NOT(OR(EXACT(E118,"Charge"),EXACT(E118,"Payment"))),"Check type",IF(ISERROR(F118),"Check amount",IF(NOT(ISNUMBER(F118)),"Check amount",IF(OR(F118&lt;=0,ROUND(F118,2)&lt;&gt;F118),"Check amount","OK")))))))))))))</x:f>
      </x:c>
    </x:row>
    <x:row r="119" ht="34" customHeight="1">
      <x:c r="A119" s="25"/>
      <x:c r="B119" s="17"/>
      <x:c r="C119" s="17"/>
      <x:c r="D119" s="17"/>
      <x:c r="E119" s="17"/>
      <x:c r="F119" s="18"/>
      <x:c r="G119" s="17"/>
      <x:c r="H119" s="10" t="str">
        <x:f>IF(COUNTA(A119:G119)=0,"",IF(ISERROR(A119),"Check date",IF(NOT(ISNUMBER(A119)),"Check date",IF(OR(A119&lt;1,A119&gt;=2958466,INT(A119)=60),"Check date",IF(ISERROR(B119),"Check account ID",IF(OR(NOT(EXACT(B119,UPPER(B119))),COUNTIFS('Accounts'!$A$10:$A$39,B119,'Accounts'!$H$10:$H$39,"OK")&lt;&gt;1),"Check account ID",IF(ISERROR(D119),"Check description",IF(LEN(TRIM(SUBSTITUTE(CLEAN(D119),CHAR(160)," ")))=0,"Check description",IF(ISERROR(E119),"Check type",IF(NOT(OR(EXACT(E119,"Charge"),EXACT(E119,"Payment"))),"Check type",IF(ISERROR(F119),"Check amount",IF(NOT(ISNUMBER(F119)),"Check amount",IF(OR(F119&lt;=0,ROUND(F119,2)&lt;&gt;F119),"Check amount","OK")))))))))))))</x:f>
      </x:c>
    </x:row>
    <x:row r="120" ht="34" customHeight="1">
      <x:c r="A120" s="23"/>
      <x:c r="B120" s="15"/>
      <x:c r="C120" s="15"/>
      <x:c r="D120" s="15"/>
      <x:c r="E120" s="15"/>
      <x:c r="F120" s="16"/>
      <x:c r="G120" s="15"/>
      <x:c r="H120" s="10" t="str">
        <x:f>IF(COUNTA(A120:G120)=0,"",IF(ISERROR(A120),"Check date",IF(NOT(ISNUMBER(A120)),"Check date",IF(OR(A120&lt;1,A120&gt;=2958466,INT(A120)=60),"Check date",IF(ISERROR(B120),"Check account ID",IF(OR(NOT(EXACT(B120,UPPER(B120))),COUNTIFS('Accounts'!$A$10:$A$39,B120,'Accounts'!$H$10:$H$39,"OK")&lt;&gt;1),"Check account ID",IF(ISERROR(D120),"Check description",IF(LEN(TRIM(SUBSTITUTE(CLEAN(D120),CHAR(160)," ")))=0,"Check description",IF(ISERROR(E120),"Check type",IF(NOT(OR(EXACT(E120,"Charge"),EXACT(E120,"Payment"))),"Check type",IF(ISERROR(F120),"Check amount",IF(NOT(ISNUMBER(F120)),"Check amount",IF(OR(F120&lt;=0,ROUND(F120,2)&lt;&gt;F120),"Check amount","OK")))))))))))))</x:f>
      </x:c>
    </x:row>
    <x:row r="121" ht="34" customHeight="1">
      <x:c r="A121" s="25"/>
      <x:c r="B121" s="17"/>
      <x:c r="C121" s="17"/>
      <x:c r="D121" s="17"/>
      <x:c r="E121" s="17"/>
      <x:c r="F121" s="18"/>
      <x:c r="G121" s="17"/>
      <x:c r="H121" s="10" t="str">
        <x:f>IF(COUNTA(A121:G121)=0,"",IF(ISERROR(A121),"Check date",IF(NOT(ISNUMBER(A121)),"Check date",IF(OR(A121&lt;1,A121&gt;=2958466,INT(A121)=60),"Check date",IF(ISERROR(B121),"Check account ID",IF(OR(NOT(EXACT(B121,UPPER(B121))),COUNTIFS('Accounts'!$A$10:$A$39,B121,'Accounts'!$H$10:$H$39,"OK")&lt;&gt;1),"Check account ID",IF(ISERROR(D121),"Check description",IF(LEN(TRIM(SUBSTITUTE(CLEAN(D121),CHAR(160)," ")))=0,"Check description",IF(ISERROR(E121),"Check type",IF(NOT(OR(EXACT(E121,"Charge"),EXACT(E121,"Payment"))),"Check type",IF(ISERROR(F121),"Check amount",IF(NOT(ISNUMBER(F121)),"Check amount",IF(OR(F121&lt;=0,ROUND(F121,2)&lt;&gt;F121),"Check amount","OK")))))))))))))</x:f>
      </x:c>
    </x:row>
    <x:row r="122" ht="34" customHeight="1">
      <x:c r="A122" s="23"/>
      <x:c r="B122" s="15"/>
      <x:c r="C122" s="15"/>
      <x:c r="D122" s="15"/>
      <x:c r="E122" s="15"/>
      <x:c r="F122" s="16"/>
      <x:c r="G122" s="15"/>
      <x:c r="H122" s="10" t="str">
        <x:f>IF(COUNTA(A122:G122)=0,"",IF(ISERROR(A122),"Check date",IF(NOT(ISNUMBER(A122)),"Check date",IF(OR(A122&lt;1,A122&gt;=2958466,INT(A122)=60),"Check date",IF(ISERROR(B122),"Check account ID",IF(OR(NOT(EXACT(B122,UPPER(B122))),COUNTIFS('Accounts'!$A$10:$A$39,B122,'Accounts'!$H$10:$H$39,"OK")&lt;&gt;1),"Check account ID",IF(ISERROR(D122),"Check description",IF(LEN(TRIM(SUBSTITUTE(CLEAN(D122),CHAR(160)," ")))=0,"Check description",IF(ISERROR(E122),"Check type",IF(NOT(OR(EXACT(E122,"Charge"),EXACT(E122,"Payment"))),"Check type",IF(ISERROR(F122),"Check amount",IF(NOT(ISNUMBER(F122)),"Check amount",IF(OR(F122&lt;=0,ROUND(F122,2)&lt;&gt;F122),"Check amount","OK")))))))))))))</x:f>
      </x:c>
    </x:row>
    <x:row r="123" ht="34" customHeight="1">
      <x:c r="A123" s="25"/>
      <x:c r="B123" s="17"/>
      <x:c r="C123" s="17"/>
      <x:c r="D123" s="17"/>
      <x:c r="E123" s="17"/>
      <x:c r="F123" s="18"/>
      <x:c r="G123" s="17"/>
      <x:c r="H123" s="10" t="str">
        <x:f>IF(COUNTA(A123:G123)=0,"",IF(ISERROR(A123),"Check date",IF(NOT(ISNUMBER(A123)),"Check date",IF(OR(A123&lt;1,A123&gt;=2958466,INT(A123)=60),"Check date",IF(ISERROR(B123),"Check account ID",IF(OR(NOT(EXACT(B123,UPPER(B123))),COUNTIFS('Accounts'!$A$10:$A$39,B123,'Accounts'!$H$10:$H$39,"OK")&lt;&gt;1),"Check account ID",IF(ISERROR(D123),"Check description",IF(LEN(TRIM(SUBSTITUTE(CLEAN(D123),CHAR(160)," ")))=0,"Check description",IF(ISERROR(E123),"Check type",IF(NOT(OR(EXACT(E123,"Charge"),EXACT(E123,"Payment"))),"Check type",IF(ISERROR(F123),"Check amount",IF(NOT(ISNUMBER(F123)),"Check amount",IF(OR(F123&lt;=0,ROUND(F123,2)&lt;&gt;F123),"Check amount","OK")))))))))))))</x:f>
      </x:c>
    </x:row>
    <x:row r="124" ht="34" customHeight="1">
      <x:c r="A124" s="23"/>
      <x:c r="B124" s="15"/>
      <x:c r="C124" s="15"/>
      <x:c r="D124" s="15"/>
      <x:c r="E124" s="15"/>
      <x:c r="F124" s="16"/>
      <x:c r="G124" s="15"/>
      <x:c r="H124" s="10" t="str">
        <x:f>IF(COUNTA(A124:G124)=0,"",IF(ISERROR(A124),"Check date",IF(NOT(ISNUMBER(A124)),"Check date",IF(OR(A124&lt;1,A124&gt;=2958466,INT(A124)=60),"Check date",IF(ISERROR(B124),"Check account ID",IF(OR(NOT(EXACT(B124,UPPER(B124))),COUNTIFS('Accounts'!$A$10:$A$39,B124,'Accounts'!$H$10:$H$39,"OK")&lt;&gt;1),"Check account ID",IF(ISERROR(D124),"Check description",IF(LEN(TRIM(SUBSTITUTE(CLEAN(D124),CHAR(160)," ")))=0,"Check description",IF(ISERROR(E124),"Check type",IF(NOT(OR(EXACT(E124,"Charge"),EXACT(E124,"Payment"))),"Check type",IF(ISERROR(F124),"Check amount",IF(NOT(ISNUMBER(F124)),"Check amount",IF(OR(F124&lt;=0,ROUND(F124,2)&lt;&gt;F124),"Check amount","OK")))))))))))))</x:f>
      </x:c>
    </x:row>
    <x:row r="125" ht="34" customHeight="1">
      <x:c r="A125" s="25"/>
      <x:c r="B125" s="17"/>
      <x:c r="C125" s="17"/>
      <x:c r="D125" s="17"/>
      <x:c r="E125" s="17"/>
      <x:c r="F125" s="18"/>
      <x:c r="G125" s="17"/>
      <x:c r="H125" s="10" t="str">
        <x:f>IF(COUNTA(A125:G125)=0,"",IF(ISERROR(A125),"Check date",IF(NOT(ISNUMBER(A125)),"Check date",IF(OR(A125&lt;1,A125&gt;=2958466,INT(A125)=60),"Check date",IF(ISERROR(B125),"Check account ID",IF(OR(NOT(EXACT(B125,UPPER(B125))),COUNTIFS('Accounts'!$A$10:$A$39,B125,'Accounts'!$H$10:$H$39,"OK")&lt;&gt;1),"Check account ID",IF(ISERROR(D125),"Check description",IF(LEN(TRIM(SUBSTITUTE(CLEAN(D125),CHAR(160)," ")))=0,"Check description",IF(ISERROR(E125),"Check type",IF(NOT(OR(EXACT(E125,"Charge"),EXACT(E125,"Payment"))),"Check type",IF(ISERROR(F125),"Check amount",IF(NOT(ISNUMBER(F125)),"Check amount",IF(OR(F125&lt;=0,ROUND(F125,2)&lt;&gt;F125),"Check amount","OK")))))))))))))</x:f>
      </x:c>
    </x:row>
    <x:row r="126" ht="34" customHeight="1">
      <x:c r="A126" s="23"/>
      <x:c r="B126" s="15"/>
      <x:c r="C126" s="15"/>
      <x:c r="D126" s="15"/>
      <x:c r="E126" s="15"/>
      <x:c r="F126" s="16"/>
      <x:c r="G126" s="15"/>
      <x:c r="H126" s="10" t="str">
        <x:f>IF(COUNTA(A126:G126)=0,"",IF(ISERROR(A126),"Check date",IF(NOT(ISNUMBER(A126)),"Check date",IF(OR(A126&lt;1,A126&gt;=2958466,INT(A126)=60),"Check date",IF(ISERROR(B126),"Check account ID",IF(OR(NOT(EXACT(B126,UPPER(B126))),COUNTIFS('Accounts'!$A$10:$A$39,B126,'Accounts'!$H$10:$H$39,"OK")&lt;&gt;1),"Check account ID",IF(ISERROR(D126),"Check description",IF(LEN(TRIM(SUBSTITUTE(CLEAN(D126),CHAR(160)," ")))=0,"Check description",IF(ISERROR(E126),"Check type",IF(NOT(OR(EXACT(E126,"Charge"),EXACT(E126,"Payment"))),"Check type",IF(ISERROR(F126),"Check amount",IF(NOT(ISNUMBER(F126)),"Check amount",IF(OR(F126&lt;=0,ROUND(F126,2)&lt;&gt;F126),"Check amount","OK")))))))))))))</x:f>
      </x:c>
    </x:row>
    <x:row r="127" ht="34" customHeight="1">
      <x:c r="A127" s="25"/>
      <x:c r="B127" s="17"/>
      <x:c r="C127" s="17"/>
      <x:c r="D127" s="17"/>
      <x:c r="E127" s="17"/>
      <x:c r="F127" s="18"/>
      <x:c r="G127" s="17"/>
      <x:c r="H127" s="10" t="str">
        <x:f>IF(COUNTA(A127:G127)=0,"",IF(ISERROR(A127),"Check date",IF(NOT(ISNUMBER(A127)),"Check date",IF(OR(A127&lt;1,A127&gt;=2958466,INT(A127)=60),"Check date",IF(ISERROR(B127),"Check account ID",IF(OR(NOT(EXACT(B127,UPPER(B127))),COUNTIFS('Accounts'!$A$10:$A$39,B127,'Accounts'!$H$10:$H$39,"OK")&lt;&gt;1),"Check account ID",IF(ISERROR(D127),"Check description",IF(LEN(TRIM(SUBSTITUTE(CLEAN(D127),CHAR(160)," ")))=0,"Check description",IF(ISERROR(E127),"Check type",IF(NOT(OR(EXACT(E127,"Charge"),EXACT(E127,"Payment"))),"Check type",IF(ISERROR(F127),"Check amount",IF(NOT(ISNUMBER(F127)),"Check amount",IF(OR(F127&lt;=0,ROUND(F127,2)&lt;&gt;F127),"Check amount","OK")))))))))))))</x:f>
      </x:c>
    </x:row>
    <x:row r="128" ht="34" customHeight="1">
      <x:c r="A128" s="23"/>
      <x:c r="B128" s="15"/>
      <x:c r="C128" s="15"/>
      <x:c r="D128" s="15"/>
      <x:c r="E128" s="15"/>
      <x:c r="F128" s="16"/>
      <x:c r="G128" s="15"/>
      <x:c r="H128" s="10" t="str">
        <x:f>IF(COUNTA(A128:G128)=0,"",IF(ISERROR(A128),"Check date",IF(NOT(ISNUMBER(A128)),"Check date",IF(OR(A128&lt;1,A128&gt;=2958466,INT(A128)=60),"Check date",IF(ISERROR(B128),"Check account ID",IF(OR(NOT(EXACT(B128,UPPER(B128))),COUNTIFS('Accounts'!$A$10:$A$39,B128,'Accounts'!$H$10:$H$39,"OK")&lt;&gt;1),"Check account ID",IF(ISERROR(D128),"Check description",IF(LEN(TRIM(SUBSTITUTE(CLEAN(D128),CHAR(160)," ")))=0,"Check description",IF(ISERROR(E128),"Check type",IF(NOT(OR(EXACT(E128,"Charge"),EXACT(E128,"Payment"))),"Check type",IF(ISERROR(F128),"Check amount",IF(NOT(ISNUMBER(F128)),"Check amount",IF(OR(F128&lt;=0,ROUND(F128,2)&lt;&gt;F128),"Check amount","OK")))))))))))))</x:f>
      </x:c>
    </x:row>
    <x:row r="129" ht="34" customHeight="1">
      <x:c r="A129" s="25"/>
      <x:c r="B129" s="17"/>
      <x:c r="C129" s="17"/>
      <x:c r="D129" s="17"/>
      <x:c r="E129" s="17"/>
      <x:c r="F129" s="18"/>
      <x:c r="G129" s="17"/>
      <x:c r="H129" s="10" t="str">
        <x:f>IF(COUNTA(A129:G129)=0,"",IF(ISERROR(A129),"Check date",IF(NOT(ISNUMBER(A129)),"Check date",IF(OR(A129&lt;1,A129&gt;=2958466,INT(A129)=60),"Check date",IF(ISERROR(B129),"Check account ID",IF(OR(NOT(EXACT(B129,UPPER(B129))),COUNTIFS('Accounts'!$A$10:$A$39,B129,'Accounts'!$H$10:$H$39,"OK")&lt;&gt;1),"Check account ID",IF(ISERROR(D129),"Check description",IF(LEN(TRIM(SUBSTITUTE(CLEAN(D129),CHAR(160)," ")))=0,"Check description",IF(ISERROR(E129),"Check type",IF(NOT(OR(EXACT(E129,"Charge"),EXACT(E129,"Payment"))),"Check type",IF(ISERROR(F129),"Check amount",IF(NOT(ISNUMBER(F129)),"Check amount",IF(OR(F129&lt;=0,ROUND(F129,2)&lt;&gt;F129),"Check amount","OK")))))))))))))</x:f>
      </x:c>
    </x:row>
    <x:row r="130" ht="34" customHeight="1">
      <x:c r="A130" s="23"/>
      <x:c r="B130" s="15"/>
      <x:c r="C130" s="15"/>
      <x:c r="D130" s="15"/>
      <x:c r="E130" s="15"/>
      <x:c r="F130" s="16"/>
      <x:c r="G130" s="15"/>
      <x:c r="H130" s="10" t="str">
        <x:f>IF(COUNTA(A130:G130)=0,"",IF(ISERROR(A130),"Check date",IF(NOT(ISNUMBER(A130)),"Check date",IF(OR(A130&lt;1,A130&gt;=2958466,INT(A130)=60),"Check date",IF(ISERROR(B130),"Check account ID",IF(OR(NOT(EXACT(B130,UPPER(B130))),COUNTIFS('Accounts'!$A$10:$A$39,B130,'Accounts'!$H$10:$H$39,"OK")&lt;&gt;1),"Check account ID",IF(ISERROR(D130),"Check description",IF(LEN(TRIM(SUBSTITUTE(CLEAN(D130),CHAR(160)," ")))=0,"Check description",IF(ISERROR(E130),"Check type",IF(NOT(OR(EXACT(E130,"Charge"),EXACT(E130,"Payment"))),"Check type",IF(ISERROR(F130),"Check amount",IF(NOT(ISNUMBER(F130)),"Check amount",IF(OR(F130&lt;=0,ROUND(F130,2)&lt;&gt;F130),"Check amount","OK")))))))))))))</x:f>
      </x:c>
    </x:row>
    <x:row r="131" ht="34" customHeight="1">
      <x:c r="A131" s="25"/>
      <x:c r="B131" s="17"/>
      <x:c r="C131" s="17"/>
      <x:c r="D131" s="17"/>
      <x:c r="E131" s="17"/>
      <x:c r="F131" s="18"/>
      <x:c r="G131" s="17"/>
      <x:c r="H131" s="10" t="str">
        <x:f>IF(COUNTA(A131:G131)=0,"",IF(ISERROR(A131),"Check date",IF(NOT(ISNUMBER(A131)),"Check date",IF(OR(A131&lt;1,A131&gt;=2958466,INT(A131)=60),"Check date",IF(ISERROR(B131),"Check account ID",IF(OR(NOT(EXACT(B131,UPPER(B131))),COUNTIFS('Accounts'!$A$10:$A$39,B131,'Accounts'!$H$10:$H$39,"OK")&lt;&gt;1),"Check account ID",IF(ISERROR(D131),"Check description",IF(LEN(TRIM(SUBSTITUTE(CLEAN(D131),CHAR(160)," ")))=0,"Check description",IF(ISERROR(E131),"Check type",IF(NOT(OR(EXACT(E131,"Charge"),EXACT(E131,"Payment"))),"Check type",IF(ISERROR(F131),"Check amount",IF(NOT(ISNUMBER(F131)),"Check amount",IF(OR(F131&lt;=0,ROUND(F131,2)&lt;&gt;F131),"Check amount","OK")))))))))))))</x:f>
      </x:c>
    </x:row>
    <x:row r="132" ht="34" customHeight="1">
      <x:c r="A132" s="23"/>
      <x:c r="B132" s="15"/>
      <x:c r="C132" s="15"/>
      <x:c r="D132" s="15"/>
      <x:c r="E132" s="15"/>
      <x:c r="F132" s="16"/>
      <x:c r="G132" s="15"/>
      <x:c r="H132" s="10" t="str">
        <x:f>IF(COUNTA(A132:G132)=0,"",IF(ISERROR(A132),"Check date",IF(NOT(ISNUMBER(A132)),"Check date",IF(OR(A132&lt;1,A132&gt;=2958466,INT(A132)=60),"Check date",IF(ISERROR(B132),"Check account ID",IF(OR(NOT(EXACT(B132,UPPER(B132))),COUNTIFS('Accounts'!$A$10:$A$39,B132,'Accounts'!$H$10:$H$39,"OK")&lt;&gt;1),"Check account ID",IF(ISERROR(D132),"Check description",IF(LEN(TRIM(SUBSTITUTE(CLEAN(D132),CHAR(160)," ")))=0,"Check description",IF(ISERROR(E132),"Check type",IF(NOT(OR(EXACT(E132,"Charge"),EXACT(E132,"Payment"))),"Check type",IF(ISERROR(F132),"Check amount",IF(NOT(ISNUMBER(F132)),"Check amount",IF(OR(F132&lt;=0,ROUND(F132,2)&lt;&gt;F132),"Check amount","OK")))))))))))))</x:f>
      </x:c>
    </x:row>
    <x:row r="133" ht="34" customHeight="1">
      <x:c r="A133" s="25"/>
      <x:c r="B133" s="17"/>
      <x:c r="C133" s="17"/>
      <x:c r="D133" s="17"/>
      <x:c r="E133" s="17"/>
      <x:c r="F133" s="18"/>
      <x:c r="G133" s="17"/>
      <x:c r="H133" s="10" t="str">
        <x:f>IF(COUNTA(A133:G133)=0,"",IF(ISERROR(A133),"Check date",IF(NOT(ISNUMBER(A133)),"Check date",IF(OR(A133&lt;1,A133&gt;=2958466,INT(A133)=60),"Check date",IF(ISERROR(B133),"Check account ID",IF(OR(NOT(EXACT(B133,UPPER(B133))),COUNTIFS('Accounts'!$A$10:$A$39,B133,'Accounts'!$H$10:$H$39,"OK")&lt;&gt;1),"Check account ID",IF(ISERROR(D133),"Check description",IF(LEN(TRIM(SUBSTITUTE(CLEAN(D133),CHAR(160)," ")))=0,"Check description",IF(ISERROR(E133),"Check type",IF(NOT(OR(EXACT(E133,"Charge"),EXACT(E133,"Payment"))),"Check type",IF(ISERROR(F133),"Check amount",IF(NOT(ISNUMBER(F133)),"Check amount",IF(OR(F133&lt;=0,ROUND(F133,2)&lt;&gt;F133),"Check amount","OK")))))))))))))</x:f>
      </x:c>
    </x:row>
    <x:row r="134" ht="34" customHeight="1">
      <x:c r="A134" s="23"/>
      <x:c r="B134" s="15"/>
      <x:c r="C134" s="15"/>
      <x:c r="D134" s="15"/>
      <x:c r="E134" s="15"/>
      <x:c r="F134" s="16"/>
      <x:c r="G134" s="15"/>
      <x:c r="H134" s="10" t="str">
        <x:f>IF(COUNTA(A134:G134)=0,"",IF(ISERROR(A134),"Check date",IF(NOT(ISNUMBER(A134)),"Check date",IF(OR(A134&lt;1,A134&gt;=2958466,INT(A134)=60),"Check date",IF(ISERROR(B134),"Check account ID",IF(OR(NOT(EXACT(B134,UPPER(B134))),COUNTIFS('Accounts'!$A$10:$A$39,B134,'Accounts'!$H$10:$H$39,"OK")&lt;&gt;1),"Check account ID",IF(ISERROR(D134),"Check description",IF(LEN(TRIM(SUBSTITUTE(CLEAN(D134),CHAR(160)," ")))=0,"Check description",IF(ISERROR(E134),"Check type",IF(NOT(OR(EXACT(E134,"Charge"),EXACT(E134,"Payment"))),"Check type",IF(ISERROR(F134),"Check amount",IF(NOT(ISNUMBER(F134)),"Check amount",IF(OR(F134&lt;=0,ROUND(F134,2)&lt;&gt;F134),"Check amount","OK")))))))))))))</x:f>
      </x:c>
    </x:row>
    <x:row r="135" ht="34" customHeight="1">
      <x:c r="A135" s="25"/>
      <x:c r="B135" s="17"/>
      <x:c r="C135" s="17"/>
      <x:c r="D135" s="17"/>
      <x:c r="E135" s="17"/>
      <x:c r="F135" s="18"/>
      <x:c r="G135" s="17"/>
      <x:c r="H135" s="10" t="str">
        <x:f>IF(COUNTA(A135:G135)=0,"",IF(ISERROR(A135),"Check date",IF(NOT(ISNUMBER(A135)),"Check date",IF(OR(A135&lt;1,A135&gt;=2958466,INT(A135)=60),"Check date",IF(ISERROR(B135),"Check account ID",IF(OR(NOT(EXACT(B135,UPPER(B135))),COUNTIFS('Accounts'!$A$10:$A$39,B135,'Accounts'!$H$10:$H$39,"OK")&lt;&gt;1),"Check account ID",IF(ISERROR(D135),"Check description",IF(LEN(TRIM(SUBSTITUTE(CLEAN(D135),CHAR(160)," ")))=0,"Check description",IF(ISERROR(E135),"Check type",IF(NOT(OR(EXACT(E135,"Charge"),EXACT(E135,"Payment"))),"Check type",IF(ISERROR(F135),"Check amount",IF(NOT(ISNUMBER(F135)),"Check amount",IF(OR(F135&lt;=0,ROUND(F135,2)&lt;&gt;F135),"Check amount","OK")))))))))))))</x:f>
      </x:c>
    </x:row>
    <x:row r="136" ht="34" customHeight="1">
      <x:c r="A136" s="23"/>
      <x:c r="B136" s="15"/>
      <x:c r="C136" s="15"/>
      <x:c r="D136" s="15"/>
      <x:c r="E136" s="15"/>
      <x:c r="F136" s="16"/>
      <x:c r="G136" s="15"/>
      <x:c r="H136" s="10" t="str">
        <x:f>IF(COUNTA(A136:G136)=0,"",IF(ISERROR(A136),"Check date",IF(NOT(ISNUMBER(A136)),"Check date",IF(OR(A136&lt;1,A136&gt;=2958466,INT(A136)=60),"Check date",IF(ISERROR(B136),"Check account ID",IF(OR(NOT(EXACT(B136,UPPER(B136))),COUNTIFS('Accounts'!$A$10:$A$39,B136,'Accounts'!$H$10:$H$39,"OK")&lt;&gt;1),"Check account ID",IF(ISERROR(D136),"Check description",IF(LEN(TRIM(SUBSTITUTE(CLEAN(D136),CHAR(160)," ")))=0,"Check description",IF(ISERROR(E136),"Check type",IF(NOT(OR(EXACT(E136,"Charge"),EXACT(E136,"Payment"))),"Check type",IF(ISERROR(F136),"Check amount",IF(NOT(ISNUMBER(F136)),"Check amount",IF(OR(F136&lt;=0,ROUND(F136,2)&lt;&gt;F136),"Check amount","OK")))))))))))))</x:f>
      </x:c>
    </x:row>
    <x:row r="137" ht="34" customHeight="1">
      <x:c r="A137" s="25"/>
      <x:c r="B137" s="17"/>
      <x:c r="C137" s="17"/>
      <x:c r="D137" s="17"/>
      <x:c r="E137" s="17"/>
      <x:c r="F137" s="18"/>
      <x:c r="G137" s="17"/>
      <x:c r="H137" s="10" t="str">
        <x:f>IF(COUNTA(A137:G137)=0,"",IF(ISERROR(A137),"Check date",IF(NOT(ISNUMBER(A137)),"Check date",IF(OR(A137&lt;1,A137&gt;=2958466,INT(A137)=60),"Check date",IF(ISERROR(B137),"Check account ID",IF(OR(NOT(EXACT(B137,UPPER(B137))),COUNTIFS('Accounts'!$A$10:$A$39,B137,'Accounts'!$H$10:$H$39,"OK")&lt;&gt;1),"Check account ID",IF(ISERROR(D137),"Check description",IF(LEN(TRIM(SUBSTITUTE(CLEAN(D137),CHAR(160)," ")))=0,"Check description",IF(ISERROR(E137),"Check type",IF(NOT(OR(EXACT(E137,"Charge"),EXACT(E137,"Payment"))),"Check type",IF(ISERROR(F137),"Check amount",IF(NOT(ISNUMBER(F137)),"Check amount",IF(OR(F137&lt;=0,ROUND(F137,2)&lt;&gt;F137),"Check amount","OK")))))))))))))</x:f>
      </x:c>
    </x:row>
    <x:row r="138" ht="34" customHeight="1">
      <x:c r="A138" s="23"/>
      <x:c r="B138" s="15"/>
      <x:c r="C138" s="15"/>
      <x:c r="D138" s="15"/>
      <x:c r="E138" s="15"/>
      <x:c r="F138" s="16"/>
      <x:c r="G138" s="15"/>
      <x:c r="H138" s="10" t="str">
        <x:f>IF(COUNTA(A138:G138)=0,"",IF(ISERROR(A138),"Check date",IF(NOT(ISNUMBER(A138)),"Check date",IF(OR(A138&lt;1,A138&gt;=2958466,INT(A138)=60),"Check date",IF(ISERROR(B138),"Check account ID",IF(OR(NOT(EXACT(B138,UPPER(B138))),COUNTIFS('Accounts'!$A$10:$A$39,B138,'Accounts'!$H$10:$H$39,"OK")&lt;&gt;1),"Check account ID",IF(ISERROR(D138),"Check description",IF(LEN(TRIM(SUBSTITUTE(CLEAN(D138),CHAR(160)," ")))=0,"Check description",IF(ISERROR(E138),"Check type",IF(NOT(OR(EXACT(E138,"Charge"),EXACT(E138,"Payment"))),"Check type",IF(ISERROR(F138),"Check amount",IF(NOT(ISNUMBER(F138)),"Check amount",IF(OR(F138&lt;=0,ROUND(F138,2)&lt;&gt;F138),"Check amount","OK")))))))))))))</x:f>
      </x:c>
    </x:row>
    <x:row r="139" ht="34" customHeight="1">
      <x:c r="A139" s="25"/>
      <x:c r="B139" s="17"/>
      <x:c r="C139" s="17"/>
      <x:c r="D139" s="17"/>
      <x:c r="E139" s="17"/>
      <x:c r="F139" s="18"/>
      <x:c r="G139" s="17"/>
      <x:c r="H139" s="10" t="str">
        <x:f>IF(COUNTA(A139:G139)=0,"",IF(ISERROR(A139),"Check date",IF(NOT(ISNUMBER(A139)),"Check date",IF(OR(A139&lt;1,A139&gt;=2958466,INT(A139)=60),"Check date",IF(ISERROR(B139),"Check account ID",IF(OR(NOT(EXACT(B139,UPPER(B139))),COUNTIFS('Accounts'!$A$10:$A$39,B139,'Accounts'!$H$10:$H$39,"OK")&lt;&gt;1),"Check account ID",IF(ISERROR(D139),"Check description",IF(LEN(TRIM(SUBSTITUTE(CLEAN(D139),CHAR(160)," ")))=0,"Check description",IF(ISERROR(E139),"Check type",IF(NOT(OR(EXACT(E139,"Charge"),EXACT(E139,"Payment"))),"Check type",IF(ISERROR(F139),"Check amount",IF(NOT(ISNUMBER(F139)),"Check amount",IF(OR(F139&lt;=0,ROUND(F139,2)&lt;&gt;F139),"Check amount","OK")))))))))))))</x:f>
      </x:c>
    </x:row>
    <x:row r="140" ht="34" customHeight="1">
      <x:c r="A140" s="23"/>
      <x:c r="B140" s="15"/>
      <x:c r="C140" s="15"/>
      <x:c r="D140" s="15"/>
      <x:c r="E140" s="15"/>
      <x:c r="F140" s="16"/>
      <x:c r="G140" s="15"/>
      <x:c r="H140" s="10" t="str">
        <x:f>IF(COUNTA(A140:G140)=0,"",IF(ISERROR(A140),"Check date",IF(NOT(ISNUMBER(A140)),"Check date",IF(OR(A140&lt;1,A140&gt;=2958466,INT(A140)=60),"Check date",IF(ISERROR(B140),"Check account ID",IF(OR(NOT(EXACT(B140,UPPER(B140))),COUNTIFS('Accounts'!$A$10:$A$39,B140,'Accounts'!$H$10:$H$39,"OK")&lt;&gt;1),"Check account ID",IF(ISERROR(D140),"Check description",IF(LEN(TRIM(SUBSTITUTE(CLEAN(D140),CHAR(160)," ")))=0,"Check description",IF(ISERROR(E140),"Check type",IF(NOT(OR(EXACT(E140,"Charge"),EXACT(E140,"Payment"))),"Check type",IF(ISERROR(F140),"Check amount",IF(NOT(ISNUMBER(F140)),"Check amount",IF(OR(F140&lt;=0,ROUND(F140,2)&lt;&gt;F140),"Check amount","OK")))))))))))))</x:f>
      </x:c>
    </x:row>
    <x:row r="141" ht="34" customHeight="1">
      <x:c r="A141" s="25"/>
      <x:c r="B141" s="17"/>
      <x:c r="C141" s="17"/>
      <x:c r="D141" s="17"/>
      <x:c r="E141" s="17"/>
      <x:c r="F141" s="18"/>
      <x:c r="G141" s="17"/>
      <x:c r="H141" s="10" t="str">
        <x:f>IF(COUNTA(A141:G141)=0,"",IF(ISERROR(A141),"Check date",IF(NOT(ISNUMBER(A141)),"Check date",IF(OR(A141&lt;1,A141&gt;=2958466,INT(A141)=60),"Check date",IF(ISERROR(B141),"Check account ID",IF(OR(NOT(EXACT(B141,UPPER(B141))),COUNTIFS('Accounts'!$A$10:$A$39,B141,'Accounts'!$H$10:$H$39,"OK")&lt;&gt;1),"Check account ID",IF(ISERROR(D141),"Check description",IF(LEN(TRIM(SUBSTITUTE(CLEAN(D141),CHAR(160)," ")))=0,"Check description",IF(ISERROR(E141),"Check type",IF(NOT(OR(EXACT(E141,"Charge"),EXACT(E141,"Payment"))),"Check type",IF(ISERROR(F141),"Check amount",IF(NOT(ISNUMBER(F141)),"Check amount",IF(OR(F141&lt;=0,ROUND(F141,2)&lt;&gt;F141),"Check amount","OK")))))))))))))</x:f>
      </x:c>
    </x:row>
    <x:row r="142" ht="34" customHeight="1">
      <x:c r="A142" s="23"/>
      <x:c r="B142" s="15"/>
      <x:c r="C142" s="15"/>
      <x:c r="D142" s="15"/>
      <x:c r="E142" s="15"/>
      <x:c r="F142" s="16"/>
      <x:c r="G142" s="15"/>
      <x:c r="H142" s="10" t="str">
        <x:f>IF(COUNTA(A142:G142)=0,"",IF(ISERROR(A142),"Check date",IF(NOT(ISNUMBER(A142)),"Check date",IF(OR(A142&lt;1,A142&gt;=2958466,INT(A142)=60),"Check date",IF(ISERROR(B142),"Check account ID",IF(OR(NOT(EXACT(B142,UPPER(B142))),COUNTIFS('Accounts'!$A$10:$A$39,B142,'Accounts'!$H$10:$H$39,"OK")&lt;&gt;1),"Check account ID",IF(ISERROR(D142),"Check description",IF(LEN(TRIM(SUBSTITUTE(CLEAN(D142),CHAR(160)," ")))=0,"Check description",IF(ISERROR(E142),"Check type",IF(NOT(OR(EXACT(E142,"Charge"),EXACT(E142,"Payment"))),"Check type",IF(ISERROR(F142),"Check amount",IF(NOT(ISNUMBER(F142)),"Check amount",IF(OR(F142&lt;=0,ROUND(F142,2)&lt;&gt;F142),"Check amount","OK")))))))))))))</x:f>
      </x:c>
    </x:row>
    <x:row r="143" ht="34" customHeight="1">
      <x:c r="A143" s="25"/>
      <x:c r="B143" s="17"/>
      <x:c r="C143" s="17"/>
      <x:c r="D143" s="17"/>
      <x:c r="E143" s="17"/>
      <x:c r="F143" s="18"/>
      <x:c r="G143" s="17"/>
      <x:c r="H143" s="10" t="str">
        <x:f>IF(COUNTA(A143:G143)=0,"",IF(ISERROR(A143),"Check date",IF(NOT(ISNUMBER(A143)),"Check date",IF(OR(A143&lt;1,A143&gt;=2958466,INT(A143)=60),"Check date",IF(ISERROR(B143),"Check account ID",IF(OR(NOT(EXACT(B143,UPPER(B143))),COUNTIFS('Accounts'!$A$10:$A$39,B143,'Accounts'!$H$10:$H$39,"OK")&lt;&gt;1),"Check account ID",IF(ISERROR(D143),"Check description",IF(LEN(TRIM(SUBSTITUTE(CLEAN(D143),CHAR(160)," ")))=0,"Check description",IF(ISERROR(E143),"Check type",IF(NOT(OR(EXACT(E143,"Charge"),EXACT(E143,"Payment"))),"Check type",IF(ISERROR(F143),"Check amount",IF(NOT(ISNUMBER(F143)),"Check amount",IF(OR(F143&lt;=0,ROUND(F143,2)&lt;&gt;F143),"Check amount","OK")))))))))))))</x:f>
      </x:c>
    </x:row>
    <x:row r="144" ht="34" customHeight="1">
      <x:c r="A144" s="23"/>
      <x:c r="B144" s="15"/>
      <x:c r="C144" s="15"/>
      <x:c r="D144" s="15"/>
      <x:c r="E144" s="15"/>
      <x:c r="F144" s="16"/>
      <x:c r="G144" s="15"/>
      <x:c r="H144" s="10" t="str">
        <x:f>IF(COUNTA(A144:G144)=0,"",IF(ISERROR(A144),"Check date",IF(NOT(ISNUMBER(A144)),"Check date",IF(OR(A144&lt;1,A144&gt;=2958466,INT(A144)=60),"Check date",IF(ISERROR(B144),"Check account ID",IF(OR(NOT(EXACT(B144,UPPER(B144))),COUNTIFS('Accounts'!$A$10:$A$39,B144,'Accounts'!$H$10:$H$39,"OK")&lt;&gt;1),"Check account ID",IF(ISERROR(D144),"Check description",IF(LEN(TRIM(SUBSTITUTE(CLEAN(D144),CHAR(160)," ")))=0,"Check description",IF(ISERROR(E144),"Check type",IF(NOT(OR(EXACT(E144,"Charge"),EXACT(E144,"Payment"))),"Check type",IF(ISERROR(F144),"Check amount",IF(NOT(ISNUMBER(F144)),"Check amount",IF(OR(F144&lt;=0,ROUND(F144,2)&lt;&gt;F144),"Check amount","OK")))))))))))))</x:f>
      </x:c>
    </x:row>
    <x:row r="145" ht="34" customHeight="1">
      <x:c r="A145" s="25"/>
      <x:c r="B145" s="17"/>
      <x:c r="C145" s="17"/>
      <x:c r="D145" s="17"/>
      <x:c r="E145" s="17"/>
      <x:c r="F145" s="18"/>
      <x:c r="G145" s="17"/>
      <x:c r="H145" s="10" t="str">
        <x:f>IF(COUNTA(A145:G145)=0,"",IF(ISERROR(A145),"Check date",IF(NOT(ISNUMBER(A145)),"Check date",IF(OR(A145&lt;1,A145&gt;=2958466,INT(A145)=60),"Check date",IF(ISERROR(B145),"Check account ID",IF(OR(NOT(EXACT(B145,UPPER(B145))),COUNTIFS('Accounts'!$A$10:$A$39,B145,'Accounts'!$H$10:$H$39,"OK")&lt;&gt;1),"Check account ID",IF(ISERROR(D145),"Check description",IF(LEN(TRIM(SUBSTITUTE(CLEAN(D145),CHAR(160)," ")))=0,"Check description",IF(ISERROR(E145),"Check type",IF(NOT(OR(EXACT(E145,"Charge"),EXACT(E145,"Payment"))),"Check type",IF(ISERROR(F145),"Check amount",IF(NOT(ISNUMBER(F145)),"Check amount",IF(OR(F145&lt;=0,ROUND(F145,2)&lt;&gt;F145),"Check amount","OK")))))))))))))</x:f>
      </x:c>
    </x:row>
    <x:row r="146" ht="34" customHeight="1">
      <x:c r="A146" s="23"/>
      <x:c r="B146" s="15"/>
      <x:c r="C146" s="15"/>
      <x:c r="D146" s="15"/>
      <x:c r="E146" s="15"/>
      <x:c r="F146" s="16"/>
      <x:c r="G146" s="15"/>
      <x:c r="H146" s="10" t="str">
        <x:f>IF(COUNTA(A146:G146)=0,"",IF(ISERROR(A146),"Check date",IF(NOT(ISNUMBER(A146)),"Check date",IF(OR(A146&lt;1,A146&gt;=2958466,INT(A146)=60),"Check date",IF(ISERROR(B146),"Check account ID",IF(OR(NOT(EXACT(B146,UPPER(B146))),COUNTIFS('Accounts'!$A$10:$A$39,B146,'Accounts'!$H$10:$H$39,"OK")&lt;&gt;1),"Check account ID",IF(ISERROR(D146),"Check description",IF(LEN(TRIM(SUBSTITUTE(CLEAN(D146),CHAR(160)," ")))=0,"Check description",IF(ISERROR(E146),"Check type",IF(NOT(OR(EXACT(E146,"Charge"),EXACT(E146,"Payment"))),"Check type",IF(ISERROR(F146),"Check amount",IF(NOT(ISNUMBER(F146)),"Check amount",IF(OR(F146&lt;=0,ROUND(F146,2)&lt;&gt;F146),"Check amount","OK")))))))))))))</x:f>
      </x:c>
    </x:row>
    <x:row r="147" ht="34" customHeight="1">
      <x:c r="A147" s="25"/>
      <x:c r="B147" s="17"/>
      <x:c r="C147" s="17"/>
      <x:c r="D147" s="17"/>
      <x:c r="E147" s="17"/>
      <x:c r="F147" s="18"/>
      <x:c r="G147" s="17"/>
      <x:c r="H147" s="10" t="str">
        <x:f>IF(COUNTA(A147:G147)=0,"",IF(ISERROR(A147),"Check date",IF(NOT(ISNUMBER(A147)),"Check date",IF(OR(A147&lt;1,A147&gt;=2958466,INT(A147)=60),"Check date",IF(ISERROR(B147),"Check account ID",IF(OR(NOT(EXACT(B147,UPPER(B147))),COUNTIFS('Accounts'!$A$10:$A$39,B147,'Accounts'!$H$10:$H$39,"OK")&lt;&gt;1),"Check account ID",IF(ISERROR(D147),"Check description",IF(LEN(TRIM(SUBSTITUTE(CLEAN(D147),CHAR(160)," ")))=0,"Check description",IF(ISERROR(E147),"Check type",IF(NOT(OR(EXACT(E147,"Charge"),EXACT(E147,"Payment"))),"Check type",IF(ISERROR(F147),"Check amount",IF(NOT(ISNUMBER(F147)),"Check amount",IF(OR(F147&lt;=0,ROUND(F147,2)&lt;&gt;F147),"Check amount","OK")))))))))))))</x:f>
      </x:c>
    </x:row>
    <x:row r="148" ht="34" customHeight="1">
      <x:c r="A148" s="23"/>
      <x:c r="B148" s="15"/>
      <x:c r="C148" s="15"/>
      <x:c r="D148" s="15"/>
      <x:c r="E148" s="15"/>
      <x:c r="F148" s="16"/>
      <x:c r="G148" s="15"/>
      <x:c r="H148" s="10" t="str">
        <x:f>IF(COUNTA(A148:G148)=0,"",IF(ISERROR(A148),"Check date",IF(NOT(ISNUMBER(A148)),"Check date",IF(OR(A148&lt;1,A148&gt;=2958466,INT(A148)=60),"Check date",IF(ISERROR(B148),"Check account ID",IF(OR(NOT(EXACT(B148,UPPER(B148))),COUNTIFS('Accounts'!$A$10:$A$39,B148,'Accounts'!$H$10:$H$39,"OK")&lt;&gt;1),"Check account ID",IF(ISERROR(D148),"Check description",IF(LEN(TRIM(SUBSTITUTE(CLEAN(D148),CHAR(160)," ")))=0,"Check description",IF(ISERROR(E148),"Check type",IF(NOT(OR(EXACT(E148,"Charge"),EXACT(E148,"Payment"))),"Check type",IF(ISERROR(F148),"Check amount",IF(NOT(ISNUMBER(F148)),"Check amount",IF(OR(F148&lt;=0,ROUND(F148,2)&lt;&gt;F148),"Check amount","OK")))))))))))))</x:f>
      </x:c>
    </x:row>
    <x:row r="149" ht="34" customHeight="1">
      <x:c r="A149" s="25"/>
      <x:c r="B149" s="17"/>
      <x:c r="C149" s="17"/>
      <x:c r="D149" s="17"/>
      <x:c r="E149" s="17"/>
      <x:c r="F149" s="18"/>
      <x:c r="G149" s="17"/>
      <x:c r="H149" s="10" t="str">
        <x:f>IF(COUNTA(A149:G149)=0,"",IF(ISERROR(A149),"Check date",IF(NOT(ISNUMBER(A149)),"Check date",IF(OR(A149&lt;1,A149&gt;=2958466,INT(A149)=60),"Check date",IF(ISERROR(B149),"Check account ID",IF(OR(NOT(EXACT(B149,UPPER(B149))),COUNTIFS('Accounts'!$A$10:$A$39,B149,'Accounts'!$H$10:$H$39,"OK")&lt;&gt;1),"Check account ID",IF(ISERROR(D149),"Check description",IF(LEN(TRIM(SUBSTITUTE(CLEAN(D149),CHAR(160)," ")))=0,"Check description",IF(ISERROR(E149),"Check type",IF(NOT(OR(EXACT(E149,"Charge"),EXACT(E149,"Payment"))),"Check type",IF(ISERROR(F149),"Check amount",IF(NOT(ISNUMBER(F149)),"Check amount",IF(OR(F149&lt;=0,ROUND(F149,2)&lt;&gt;F149),"Check amount","OK")))))))))))))</x:f>
      </x:c>
    </x:row>
    <x:row r="150" ht="34" customHeight="1">
      <x:c r="A150" s="23"/>
      <x:c r="B150" s="15"/>
      <x:c r="C150" s="15"/>
      <x:c r="D150" s="15"/>
      <x:c r="E150" s="15"/>
      <x:c r="F150" s="16"/>
      <x:c r="G150" s="15"/>
      <x:c r="H150" s="10" t="str">
        <x:f>IF(COUNTA(A150:G150)=0,"",IF(ISERROR(A150),"Check date",IF(NOT(ISNUMBER(A150)),"Check date",IF(OR(A150&lt;1,A150&gt;=2958466,INT(A150)=60),"Check date",IF(ISERROR(B150),"Check account ID",IF(OR(NOT(EXACT(B150,UPPER(B150))),COUNTIFS('Accounts'!$A$10:$A$39,B150,'Accounts'!$H$10:$H$39,"OK")&lt;&gt;1),"Check account ID",IF(ISERROR(D150),"Check description",IF(LEN(TRIM(SUBSTITUTE(CLEAN(D150),CHAR(160)," ")))=0,"Check description",IF(ISERROR(E150),"Check type",IF(NOT(OR(EXACT(E150,"Charge"),EXACT(E150,"Payment"))),"Check type",IF(ISERROR(F150),"Check amount",IF(NOT(ISNUMBER(F150)),"Check amount",IF(OR(F150&lt;=0,ROUND(F150,2)&lt;&gt;F150),"Check amount","OK")))))))))))))</x:f>
      </x:c>
    </x:row>
    <x:row r="151" ht="34" customHeight="1">
      <x:c r="A151" s="25"/>
      <x:c r="B151" s="17"/>
      <x:c r="C151" s="17"/>
      <x:c r="D151" s="17"/>
      <x:c r="E151" s="17"/>
      <x:c r="F151" s="18"/>
      <x:c r="G151" s="17"/>
      <x:c r="H151" s="10" t="str">
        <x:f>IF(COUNTA(A151:G151)=0,"",IF(ISERROR(A151),"Check date",IF(NOT(ISNUMBER(A151)),"Check date",IF(OR(A151&lt;1,A151&gt;=2958466,INT(A151)=60),"Check date",IF(ISERROR(B151),"Check account ID",IF(OR(NOT(EXACT(B151,UPPER(B151))),COUNTIFS('Accounts'!$A$10:$A$39,B151,'Accounts'!$H$10:$H$39,"OK")&lt;&gt;1),"Check account ID",IF(ISERROR(D151),"Check description",IF(LEN(TRIM(SUBSTITUTE(CLEAN(D151),CHAR(160)," ")))=0,"Check description",IF(ISERROR(E151),"Check type",IF(NOT(OR(EXACT(E151,"Charge"),EXACT(E151,"Payment"))),"Check type",IF(ISERROR(F151),"Check amount",IF(NOT(ISNUMBER(F151)),"Check amount",IF(OR(F151&lt;=0,ROUND(F151,2)&lt;&gt;F151),"Check amount","OK")))))))))))))</x:f>
      </x:c>
    </x:row>
    <x:row r="152" ht="34" customHeight="1">
      <x:c r="A152" s="23"/>
      <x:c r="B152" s="15"/>
      <x:c r="C152" s="15"/>
      <x:c r="D152" s="15"/>
      <x:c r="E152" s="15"/>
      <x:c r="F152" s="16"/>
      <x:c r="G152" s="15"/>
      <x:c r="H152" s="10" t="str">
        <x:f>IF(COUNTA(A152:G152)=0,"",IF(ISERROR(A152),"Check date",IF(NOT(ISNUMBER(A152)),"Check date",IF(OR(A152&lt;1,A152&gt;=2958466,INT(A152)=60),"Check date",IF(ISERROR(B152),"Check account ID",IF(OR(NOT(EXACT(B152,UPPER(B152))),COUNTIFS('Accounts'!$A$10:$A$39,B152,'Accounts'!$H$10:$H$39,"OK")&lt;&gt;1),"Check account ID",IF(ISERROR(D152),"Check description",IF(LEN(TRIM(SUBSTITUTE(CLEAN(D152),CHAR(160)," ")))=0,"Check description",IF(ISERROR(E152),"Check type",IF(NOT(OR(EXACT(E152,"Charge"),EXACT(E152,"Payment"))),"Check type",IF(ISERROR(F152),"Check amount",IF(NOT(ISNUMBER(F152)),"Check amount",IF(OR(F152&lt;=0,ROUND(F152,2)&lt;&gt;F152),"Check amount","OK")))))))))))))</x:f>
      </x:c>
    </x:row>
    <x:row r="153" ht="34" customHeight="1">
      <x:c r="A153" s="25"/>
      <x:c r="B153" s="17"/>
      <x:c r="C153" s="17"/>
      <x:c r="D153" s="17"/>
      <x:c r="E153" s="17"/>
      <x:c r="F153" s="18"/>
      <x:c r="G153" s="17"/>
      <x:c r="H153" s="10" t="str">
        <x:f>IF(COUNTA(A153:G153)=0,"",IF(ISERROR(A153),"Check date",IF(NOT(ISNUMBER(A153)),"Check date",IF(OR(A153&lt;1,A153&gt;=2958466,INT(A153)=60),"Check date",IF(ISERROR(B153),"Check account ID",IF(OR(NOT(EXACT(B153,UPPER(B153))),COUNTIFS('Accounts'!$A$10:$A$39,B153,'Accounts'!$H$10:$H$39,"OK")&lt;&gt;1),"Check account ID",IF(ISERROR(D153),"Check description",IF(LEN(TRIM(SUBSTITUTE(CLEAN(D153),CHAR(160)," ")))=0,"Check description",IF(ISERROR(E153),"Check type",IF(NOT(OR(EXACT(E153,"Charge"),EXACT(E153,"Payment"))),"Check type",IF(ISERROR(F153),"Check amount",IF(NOT(ISNUMBER(F153)),"Check amount",IF(OR(F153&lt;=0,ROUND(F153,2)&lt;&gt;F153),"Check amount","OK")))))))))))))</x:f>
      </x:c>
    </x:row>
    <x:row r="154" ht="34" customHeight="1">
      <x:c r="A154" s="23"/>
      <x:c r="B154" s="15"/>
      <x:c r="C154" s="15"/>
      <x:c r="D154" s="15"/>
      <x:c r="E154" s="15"/>
      <x:c r="F154" s="16"/>
      <x:c r="G154" s="15"/>
      <x:c r="H154" s="10" t="str">
        <x:f>IF(COUNTA(A154:G154)=0,"",IF(ISERROR(A154),"Check date",IF(NOT(ISNUMBER(A154)),"Check date",IF(OR(A154&lt;1,A154&gt;=2958466,INT(A154)=60),"Check date",IF(ISERROR(B154),"Check account ID",IF(OR(NOT(EXACT(B154,UPPER(B154))),COUNTIFS('Accounts'!$A$10:$A$39,B154,'Accounts'!$H$10:$H$39,"OK")&lt;&gt;1),"Check account ID",IF(ISERROR(D154),"Check description",IF(LEN(TRIM(SUBSTITUTE(CLEAN(D154),CHAR(160)," ")))=0,"Check description",IF(ISERROR(E154),"Check type",IF(NOT(OR(EXACT(E154,"Charge"),EXACT(E154,"Payment"))),"Check type",IF(ISERROR(F154),"Check amount",IF(NOT(ISNUMBER(F154)),"Check amount",IF(OR(F154&lt;=0,ROUND(F154,2)&lt;&gt;F154),"Check amount","OK")))))))))))))</x:f>
      </x:c>
    </x:row>
    <x:row r="155" ht="34" customHeight="1">
      <x:c r="A155" s="25"/>
      <x:c r="B155" s="17"/>
      <x:c r="C155" s="17"/>
      <x:c r="D155" s="17"/>
      <x:c r="E155" s="17"/>
      <x:c r="F155" s="18"/>
      <x:c r="G155" s="17"/>
      <x:c r="H155" s="10" t="str">
        <x:f>IF(COUNTA(A155:G155)=0,"",IF(ISERROR(A155),"Check date",IF(NOT(ISNUMBER(A155)),"Check date",IF(OR(A155&lt;1,A155&gt;=2958466,INT(A155)=60),"Check date",IF(ISERROR(B155),"Check account ID",IF(OR(NOT(EXACT(B155,UPPER(B155))),COUNTIFS('Accounts'!$A$10:$A$39,B155,'Accounts'!$H$10:$H$39,"OK")&lt;&gt;1),"Check account ID",IF(ISERROR(D155),"Check description",IF(LEN(TRIM(SUBSTITUTE(CLEAN(D155),CHAR(160)," ")))=0,"Check description",IF(ISERROR(E155),"Check type",IF(NOT(OR(EXACT(E155,"Charge"),EXACT(E155,"Payment"))),"Check type",IF(ISERROR(F155),"Check amount",IF(NOT(ISNUMBER(F155)),"Check amount",IF(OR(F155&lt;=0,ROUND(F155,2)&lt;&gt;F155),"Check amount","OK")))))))))))))</x:f>
      </x:c>
    </x:row>
    <x:row r="156" ht="34" customHeight="1">
      <x:c r="A156" s="23"/>
      <x:c r="B156" s="15"/>
      <x:c r="C156" s="15"/>
      <x:c r="D156" s="15"/>
      <x:c r="E156" s="15"/>
      <x:c r="F156" s="16"/>
      <x:c r="G156" s="15"/>
      <x:c r="H156" s="10" t="str">
        <x:f>IF(COUNTA(A156:G156)=0,"",IF(ISERROR(A156),"Check date",IF(NOT(ISNUMBER(A156)),"Check date",IF(OR(A156&lt;1,A156&gt;=2958466,INT(A156)=60),"Check date",IF(ISERROR(B156),"Check account ID",IF(OR(NOT(EXACT(B156,UPPER(B156))),COUNTIFS('Accounts'!$A$10:$A$39,B156,'Accounts'!$H$10:$H$39,"OK")&lt;&gt;1),"Check account ID",IF(ISERROR(D156),"Check description",IF(LEN(TRIM(SUBSTITUTE(CLEAN(D156),CHAR(160)," ")))=0,"Check description",IF(ISERROR(E156),"Check type",IF(NOT(OR(EXACT(E156,"Charge"),EXACT(E156,"Payment"))),"Check type",IF(ISERROR(F156),"Check amount",IF(NOT(ISNUMBER(F156)),"Check amount",IF(OR(F156&lt;=0,ROUND(F156,2)&lt;&gt;F156),"Check amount","OK")))))))))))))</x:f>
      </x:c>
    </x:row>
    <x:row r="157" ht="34" customHeight="1">
      <x:c r="A157" s="25"/>
      <x:c r="B157" s="17"/>
      <x:c r="C157" s="17"/>
      <x:c r="D157" s="17"/>
      <x:c r="E157" s="17"/>
      <x:c r="F157" s="18"/>
      <x:c r="G157" s="17"/>
      <x:c r="H157" s="10" t="str">
        <x:f>IF(COUNTA(A157:G157)=0,"",IF(ISERROR(A157),"Check date",IF(NOT(ISNUMBER(A157)),"Check date",IF(OR(A157&lt;1,A157&gt;=2958466,INT(A157)=60),"Check date",IF(ISERROR(B157),"Check account ID",IF(OR(NOT(EXACT(B157,UPPER(B157))),COUNTIFS('Accounts'!$A$10:$A$39,B157,'Accounts'!$H$10:$H$39,"OK")&lt;&gt;1),"Check account ID",IF(ISERROR(D157),"Check description",IF(LEN(TRIM(SUBSTITUTE(CLEAN(D157),CHAR(160)," ")))=0,"Check description",IF(ISERROR(E157),"Check type",IF(NOT(OR(EXACT(E157,"Charge"),EXACT(E157,"Payment"))),"Check type",IF(ISERROR(F157),"Check amount",IF(NOT(ISNUMBER(F157)),"Check amount",IF(OR(F157&lt;=0,ROUND(F157,2)&lt;&gt;F157),"Check amount","OK")))))))))))))</x:f>
      </x:c>
    </x:row>
    <x:row r="158" ht="34" customHeight="1">
      <x:c r="A158" s="23"/>
      <x:c r="B158" s="15"/>
      <x:c r="C158" s="15"/>
      <x:c r="D158" s="15"/>
      <x:c r="E158" s="15"/>
      <x:c r="F158" s="16"/>
      <x:c r="G158" s="15"/>
      <x:c r="H158" s="10" t="str">
        <x:f>IF(COUNTA(A158:G158)=0,"",IF(ISERROR(A158),"Check date",IF(NOT(ISNUMBER(A158)),"Check date",IF(OR(A158&lt;1,A158&gt;=2958466,INT(A158)=60),"Check date",IF(ISERROR(B158),"Check account ID",IF(OR(NOT(EXACT(B158,UPPER(B158))),COUNTIFS('Accounts'!$A$10:$A$39,B158,'Accounts'!$H$10:$H$39,"OK")&lt;&gt;1),"Check account ID",IF(ISERROR(D158),"Check description",IF(LEN(TRIM(SUBSTITUTE(CLEAN(D158),CHAR(160)," ")))=0,"Check description",IF(ISERROR(E158),"Check type",IF(NOT(OR(EXACT(E158,"Charge"),EXACT(E158,"Payment"))),"Check type",IF(ISERROR(F158),"Check amount",IF(NOT(ISNUMBER(F158)),"Check amount",IF(OR(F158&lt;=0,ROUND(F158,2)&lt;&gt;F158),"Check amount","OK")))))))))))))</x:f>
      </x:c>
    </x:row>
    <x:row r="159" ht="34" customHeight="1">
      <x:c r="A159" s="25"/>
      <x:c r="B159" s="17"/>
      <x:c r="C159" s="17"/>
      <x:c r="D159" s="17"/>
      <x:c r="E159" s="17"/>
      <x:c r="F159" s="18"/>
      <x:c r="G159" s="17"/>
      <x:c r="H159" s="10" t="str">
        <x:f>IF(COUNTA(A159:G159)=0,"",IF(ISERROR(A159),"Check date",IF(NOT(ISNUMBER(A159)),"Check date",IF(OR(A159&lt;1,A159&gt;=2958466,INT(A159)=60),"Check date",IF(ISERROR(B159),"Check account ID",IF(OR(NOT(EXACT(B159,UPPER(B159))),COUNTIFS('Accounts'!$A$10:$A$39,B159,'Accounts'!$H$10:$H$39,"OK")&lt;&gt;1),"Check account ID",IF(ISERROR(D159),"Check description",IF(LEN(TRIM(SUBSTITUTE(CLEAN(D159),CHAR(160)," ")))=0,"Check description",IF(ISERROR(E159),"Check type",IF(NOT(OR(EXACT(E159,"Charge"),EXACT(E159,"Payment"))),"Check type",IF(ISERROR(F159),"Check amount",IF(NOT(ISNUMBER(F159)),"Check amount",IF(OR(F159&lt;=0,ROUND(F159,2)&lt;&gt;F159),"Check amount","OK")))))))))))))</x:f>
      </x:c>
    </x:row>
    <x:row r="160" ht="34" customHeight="1">
      <x:c r="A160" s="23"/>
      <x:c r="B160" s="15"/>
      <x:c r="C160" s="15"/>
      <x:c r="D160" s="15"/>
      <x:c r="E160" s="15"/>
      <x:c r="F160" s="16"/>
      <x:c r="G160" s="15"/>
      <x:c r="H160" s="10" t="str">
        <x:f>IF(COUNTA(A160:G160)=0,"",IF(ISERROR(A160),"Check date",IF(NOT(ISNUMBER(A160)),"Check date",IF(OR(A160&lt;1,A160&gt;=2958466,INT(A160)=60),"Check date",IF(ISERROR(B160),"Check account ID",IF(OR(NOT(EXACT(B160,UPPER(B160))),COUNTIFS('Accounts'!$A$10:$A$39,B160,'Accounts'!$H$10:$H$39,"OK")&lt;&gt;1),"Check account ID",IF(ISERROR(D160),"Check description",IF(LEN(TRIM(SUBSTITUTE(CLEAN(D160),CHAR(160)," ")))=0,"Check description",IF(ISERROR(E160),"Check type",IF(NOT(OR(EXACT(E160,"Charge"),EXACT(E160,"Payment"))),"Check type",IF(ISERROR(F160),"Check amount",IF(NOT(ISNUMBER(F160)),"Check amount",IF(OR(F160&lt;=0,ROUND(F160,2)&lt;&gt;F160),"Check amount","OK")))))))))))))</x:f>
      </x:c>
    </x:row>
    <x:row r="161" ht="34" customHeight="1">
      <x:c r="A161" s="25"/>
      <x:c r="B161" s="17"/>
      <x:c r="C161" s="17"/>
      <x:c r="D161" s="17"/>
      <x:c r="E161" s="17"/>
      <x:c r="F161" s="18"/>
      <x:c r="G161" s="17"/>
      <x:c r="H161" s="10" t="str">
        <x:f>IF(COUNTA(A161:G161)=0,"",IF(ISERROR(A161),"Check date",IF(NOT(ISNUMBER(A161)),"Check date",IF(OR(A161&lt;1,A161&gt;=2958466,INT(A161)=60),"Check date",IF(ISERROR(B161),"Check account ID",IF(OR(NOT(EXACT(B161,UPPER(B161))),COUNTIFS('Accounts'!$A$10:$A$39,B161,'Accounts'!$H$10:$H$39,"OK")&lt;&gt;1),"Check account ID",IF(ISERROR(D161),"Check description",IF(LEN(TRIM(SUBSTITUTE(CLEAN(D161),CHAR(160)," ")))=0,"Check description",IF(ISERROR(E161),"Check type",IF(NOT(OR(EXACT(E161,"Charge"),EXACT(E161,"Payment"))),"Check type",IF(ISERROR(F161),"Check amount",IF(NOT(ISNUMBER(F161)),"Check amount",IF(OR(F161&lt;=0,ROUND(F161,2)&lt;&gt;F161),"Check amount","OK")))))))))))))</x:f>
      </x:c>
    </x:row>
    <x:row r="162" ht="34" customHeight="1">
      <x:c r="A162" s="23"/>
      <x:c r="B162" s="15"/>
      <x:c r="C162" s="15"/>
      <x:c r="D162" s="15"/>
      <x:c r="E162" s="15"/>
      <x:c r="F162" s="16"/>
      <x:c r="G162" s="15"/>
      <x:c r="H162" s="10" t="str">
        <x:f>IF(COUNTA(A162:G162)=0,"",IF(ISERROR(A162),"Check date",IF(NOT(ISNUMBER(A162)),"Check date",IF(OR(A162&lt;1,A162&gt;=2958466,INT(A162)=60),"Check date",IF(ISERROR(B162),"Check account ID",IF(OR(NOT(EXACT(B162,UPPER(B162))),COUNTIFS('Accounts'!$A$10:$A$39,B162,'Accounts'!$H$10:$H$39,"OK")&lt;&gt;1),"Check account ID",IF(ISERROR(D162),"Check description",IF(LEN(TRIM(SUBSTITUTE(CLEAN(D162),CHAR(160)," ")))=0,"Check description",IF(ISERROR(E162),"Check type",IF(NOT(OR(EXACT(E162,"Charge"),EXACT(E162,"Payment"))),"Check type",IF(ISERROR(F162),"Check amount",IF(NOT(ISNUMBER(F162)),"Check amount",IF(OR(F162&lt;=0,ROUND(F162,2)&lt;&gt;F162),"Check amount","OK")))))))))))))</x:f>
      </x:c>
    </x:row>
    <x:row r="163" ht="34" customHeight="1">
      <x:c r="A163" s="25"/>
      <x:c r="B163" s="17"/>
      <x:c r="C163" s="17"/>
      <x:c r="D163" s="17"/>
      <x:c r="E163" s="17"/>
      <x:c r="F163" s="18"/>
      <x:c r="G163" s="17"/>
      <x:c r="H163" s="10" t="str">
        <x:f>IF(COUNTA(A163:G163)=0,"",IF(ISERROR(A163),"Check date",IF(NOT(ISNUMBER(A163)),"Check date",IF(OR(A163&lt;1,A163&gt;=2958466,INT(A163)=60),"Check date",IF(ISERROR(B163),"Check account ID",IF(OR(NOT(EXACT(B163,UPPER(B163))),COUNTIFS('Accounts'!$A$10:$A$39,B163,'Accounts'!$H$10:$H$39,"OK")&lt;&gt;1),"Check account ID",IF(ISERROR(D163),"Check description",IF(LEN(TRIM(SUBSTITUTE(CLEAN(D163),CHAR(160)," ")))=0,"Check description",IF(ISERROR(E163),"Check type",IF(NOT(OR(EXACT(E163,"Charge"),EXACT(E163,"Payment"))),"Check type",IF(ISERROR(F163),"Check amount",IF(NOT(ISNUMBER(F163)),"Check amount",IF(OR(F163&lt;=0,ROUND(F163,2)&lt;&gt;F163),"Check amount","OK")))))))))))))</x:f>
      </x:c>
    </x:row>
    <x:row r="164" ht="34" customHeight="1">
      <x:c r="A164" s="23"/>
      <x:c r="B164" s="15"/>
      <x:c r="C164" s="15"/>
      <x:c r="D164" s="15"/>
      <x:c r="E164" s="15"/>
      <x:c r="F164" s="16"/>
      <x:c r="G164" s="15"/>
      <x:c r="H164" s="10" t="str">
        <x:f>IF(COUNTA(A164:G164)=0,"",IF(ISERROR(A164),"Check date",IF(NOT(ISNUMBER(A164)),"Check date",IF(OR(A164&lt;1,A164&gt;=2958466,INT(A164)=60),"Check date",IF(ISERROR(B164),"Check account ID",IF(OR(NOT(EXACT(B164,UPPER(B164))),COUNTIFS('Accounts'!$A$10:$A$39,B164,'Accounts'!$H$10:$H$39,"OK")&lt;&gt;1),"Check account ID",IF(ISERROR(D164),"Check description",IF(LEN(TRIM(SUBSTITUTE(CLEAN(D164),CHAR(160)," ")))=0,"Check description",IF(ISERROR(E164),"Check type",IF(NOT(OR(EXACT(E164,"Charge"),EXACT(E164,"Payment"))),"Check type",IF(ISERROR(F164),"Check amount",IF(NOT(ISNUMBER(F164)),"Check amount",IF(OR(F164&lt;=0,ROUND(F164,2)&lt;&gt;F164),"Check amount","OK")))))))))))))</x:f>
      </x:c>
    </x:row>
    <x:row r="165" ht="34" customHeight="1">
      <x:c r="A165" s="25"/>
      <x:c r="B165" s="17"/>
      <x:c r="C165" s="17"/>
      <x:c r="D165" s="17"/>
      <x:c r="E165" s="17"/>
      <x:c r="F165" s="18"/>
      <x:c r="G165" s="17"/>
      <x:c r="H165" s="10" t="str">
        <x:f>IF(COUNTA(A165:G165)=0,"",IF(ISERROR(A165),"Check date",IF(NOT(ISNUMBER(A165)),"Check date",IF(OR(A165&lt;1,A165&gt;=2958466,INT(A165)=60),"Check date",IF(ISERROR(B165),"Check account ID",IF(OR(NOT(EXACT(B165,UPPER(B165))),COUNTIFS('Accounts'!$A$10:$A$39,B165,'Accounts'!$H$10:$H$39,"OK")&lt;&gt;1),"Check account ID",IF(ISERROR(D165),"Check description",IF(LEN(TRIM(SUBSTITUTE(CLEAN(D165),CHAR(160)," ")))=0,"Check description",IF(ISERROR(E165),"Check type",IF(NOT(OR(EXACT(E165,"Charge"),EXACT(E165,"Payment"))),"Check type",IF(ISERROR(F165),"Check amount",IF(NOT(ISNUMBER(F165)),"Check amount",IF(OR(F165&lt;=0,ROUND(F165,2)&lt;&gt;F165),"Check amount","OK")))))))))))))</x:f>
      </x:c>
    </x:row>
    <x:row r="166" ht="34" customHeight="1">
      <x:c r="A166" s="23"/>
      <x:c r="B166" s="15"/>
      <x:c r="C166" s="15"/>
      <x:c r="D166" s="15"/>
      <x:c r="E166" s="15"/>
      <x:c r="F166" s="16"/>
      <x:c r="G166" s="15"/>
      <x:c r="H166" s="10" t="str">
        <x:f>IF(COUNTA(A166:G166)=0,"",IF(ISERROR(A166),"Check date",IF(NOT(ISNUMBER(A166)),"Check date",IF(OR(A166&lt;1,A166&gt;=2958466,INT(A166)=60),"Check date",IF(ISERROR(B166),"Check account ID",IF(OR(NOT(EXACT(B166,UPPER(B166))),COUNTIFS('Accounts'!$A$10:$A$39,B166,'Accounts'!$H$10:$H$39,"OK")&lt;&gt;1),"Check account ID",IF(ISERROR(D166),"Check description",IF(LEN(TRIM(SUBSTITUTE(CLEAN(D166),CHAR(160)," ")))=0,"Check description",IF(ISERROR(E166),"Check type",IF(NOT(OR(EXACT(E166,"Charge"),EXACT(E166,"Payment"))),"Check type",IF(ISERROR(F166),"Check amount",IF(NOT(ISNUMBER(F166)),"Check amount",IF(OR(F166&lt;=0,ROUND(F166,2)&lt;&gt;F166),"Check amount","OK")))))))))))))</x:f>
      </x:c>
    </x:row>
    <x:row r="167" ht="34" customHeight="1">
      <x:c r="A167" s="25"/>
      <x:c r="B167" s="17"/>
      <x:c r="C167" s="17"/>
      <x:c r="D167" s="17"/>
      <x:c r="E167" s="17"/>
      <x:c r="F167" s="18"/>
      <x:c r="G167" s="17"/>
      <x:c r="H167" s="10" t="str">
        <x:f>IF(COUNTA(A167:G167)=0,"",IF(ISERROR(A167),"Check date",IF(NOT(ISNUMBER(A167)),"Check date",IF(OR(A167&lt;1,A167&gt;=2958466,INT(A167)=60),"Check date",IF(ISERROR(B167),"Check account ID",IF(OR(NOT(EXACT(B167,UPPER(B167))),COUNTIFS('Accounts'!$A$10:$A$39,B167,'Accounts'!$H$10:$H$39,"OK")&lt;&gt;1),"Check account ID",IF(ISERROR(D167),"Check description",IF(LEN(TRIM(SUBSTITUTE(CLEAN(D167),CHAR(160)," ")))=0,"Check description",IF(ISERROR(E167),"Check type",IF(NOT(OR(EXACT(E167,"Charge"),EXACT(E167,"Payment"))),"Check type",IF(ISERROR(F167),"Check amount",IF(NOT(ISNUMBER(F167)),"Check amount",IF(OR(F167&lt;=0,ROUND(F167,2)&lt;&gt;F167),"Check amount","OK")))))))))))))</x:f>
      </x:c>
    </x:row>
    <x:row r="168" ht="34" customHeight="1">
      <x:c r="A168" s="23"/>
      <x:c r="B168" s="15"/>
      <x:c r="C168" s="15"/>
      <x:c r="D168" s="15"/>
      <x:c r="E168" s="15"/>
      <x:c r="F168" s="16"/>
      <x:c r="G168" s="15"/>
      <x:c r="H168" s="10" t="str">
        <x:f>IF(COUNTA(A168:G168)=0,"",IF(ISERROR(A168),"Check date",IF(NOT(ISNUMBER(A168)),"Check date",IF(OR(A168&lt;1,A168&gt;=2958466,INT(A168)=60),"Check date",IF(ISERROR(B168),"Check account ID",IF(OR(NOT(EXACT(B168,UPPER(B168))),COUNTIFS('Accounts'!$A$10:$A$39,B168,'Accounts'!$H$10:$H$39,"OK")&lt;&gt;1),"Check account ID",IF(ISERROR(D168),"Check description",IF(LEN(TRIM(SUBSTITUTE(CLEAN(D168),CHAR(160)," ")))=0,"Check description",IF(ISERROR(E168),"Check type",IF(NOT(OR(EXACT(E168,"Charge"),EXACT(E168,"Payment"))),"Check type",IF(ISERROR(F168),"Check amount",IF(NOT(ISNUMBER(F168)),"Check amount",IF(OR(F168&lt;=0,ROUND(F168,2)&lt;&gt;F168),"Check amount","OK")))))))))))))</x:f>
      </x:c>
    </x:row>
    <x:row r="169" ht="34" customHeight="1">
      <x:c r="A169" s="25"/>
      <x:c r="B169" s="17"/>
      <x:c r="C169" s="17"/>
      <x:c r="D169" s="17"/>
      <x:c r="E169" s="17"/>
      <x:c r="F169" s="18"/>
      <x:c r="G169" s="17"/>
      <x:c r="H169" s="10" t="str">
        <x:f>IF(COUNTA(A169:G169)=0,"",IF(ISERROR(A169),"Check date",IF(NOT(ISNUMBER(A169)),"Check date",IF(OR(A169&lt;1,A169&gt;=2958466,INT(A169)=60),"Check date",IF(ISERROR(B169),"Check account ID",IF(OR(NOT(EXACT(B169,UPPER(B169))),COUNTIFS('Accounts'!$A$10:$A$39,B169,'Accounts'!$H$10:$H$39,"OK")&lt;&gt;1),"Check account ID",IF(ISERROR(D169),"Check description",IF(LEN(TRIM(SUBSTITUTE(CLEAN(D169),CHAR(160)," ")))=0,"Check description",IF(ISERROR(E169),"Check type",IF(NOT(OR(EXACT(E169,"Charge"),EXACT(E169,"Payment"))),"Check type",IF(ISERROR(F169),"Check amount",IF(NOT(ISNUMBER(F169)),"Check amount",IF(OR(F169&lt;=0,ROUND(F169,2)&lt;&gt;F169),"Check amount","OK")))))))))))))</x:f>
      </x:c>
    </x:row>
    <x:row r="170" ht="34" customHeight="1">
      <x:c r="A170" s="23"/>
      <x:c r="B170" s="15"/>
      <x:c r="C170" s="15"/>
      <x:c r="D170" s="15"/>
      <x:c r="E170" s="15"/>
      <x:c r="F170" s="16"/>
      <x:c r="G170" s="15"/>
      <x:c r="H170" s="10" t="str">
        <x:f>IF(COUNTA(A170:G170)=0,"",IF(ISERROR(A170),"Check date",IF(NOT(ISNUMBER(A170)),"Check date",IF(OR(A170&lt;1,A170&gt;=2958466,INT(A170)=60),"Check date",IF(ISERROR(B170),"Check account ID",IF(OR(NOT(EXACT(B170,UPPER(B170))),COUNTIFS('Accounts'!$A$10:$A$39,B170,'Accounts'!$H$10:$H$39,"OK")&lt;&gt;1),"Check account ID",IF(ISERROR(D170),"Check description",IF(LEN(TRIM(SUBSTITUTE(CLEAN(D170),CHAR(160)," ")))=0,"Check description",IF(ISERROR(E170),"Check type",IF(NOT(OR(EXACT(E170,"Charge"),EXACT(E170,"Payment"))),"Check type",IF(ISERROR(F170),"Check amount",IF(NOT(ISNUMBER(F170)),"Check amount",IF(OR(F170&lt;=0,ROUND(F170,2)&lt;&gt;F170),"Check amount","OK")))))))))))))</x:f>
      </x:c>
    </x:row>
    <x:row r="171" ht="34" customHeight="1">
      <x:c r="A171" s="25"/>
      <x:c r="B171" s="17"/>
      <x:c r="C171" s="17"/>
      <x:c r="D171" s="17"/>
      <x:c r="E171" s="17"/>
      <x:c r="F171" s="18"/>
      <x:c r="G171" s="17"/>
      <x:c r="H171" s="10" t="str">
        <x:f>IF(COUNTA(A171:G171)=0,"",IF(ISERROR(A171),"Check date",IF(NOT(ISNUMBER(A171)),"Check date",IF(OR(A171&lt;1,A171&gt;=2958466,INT(A171)=60),"Check date",IF(ISERROR(B171),"Check account ID",IF(OR(NOT(EXACT(B171,UPPER(B171))),COUNTIFS('Accounts'!$A$10:$A$39,B171,'Accounts'!$H$10:$H$39,"OK")&lt;&gt;1),"Check account ID",IF(ISERROR(D171),"Check description",IF(LEN(TRIM(SUBSTITUTE(CLEAN(D171),CHAR(160)," ")))=0,"Check description",IF(ISERROR(E171),"Check type",IF(NOT(OR(EXACT(E171,"Charge"),EXACT(E171,"Payment"))),"Check type",IF(ISERROR(F171),"Check amount",IF(NOT(ISNUMBER(F171)),"Check amount",IF(OR(F171&lt;=0,ROUND(F171,2)&lt;&gt;F171),"Check amount","OK")))))))))))))</x:f>
      </x:c>
    </x:row>
    <x:row r="172" ht="34" customHeight="1">
      <x:c r="A172" s="23"/>
      <x:c r="B172" s="15"/>
      <x:c r="C172" s="15"/>
      <x:c r="D172" s="15"/>
      <x:c r="E172" s="15"/>
      <x:c r="F172" s="16"/>
      <x:c r="G172" s="15"/>
      <x:c r="H172" s="10" t="str">
        <x:f>IF(COUNTA(A172:G172)=0,"",IF(ISERROR(A172),"Check date",IF(NOT(ISNUMBER(A172)),"Check date",IF(OR(A172&lt;1,A172&gt;=2958466,INT(A172)=60),"Check date",IF(ISERROR(B172),"Check account ID",IF(OR(NOT(EXACT(B172,UPPER(B172))),COUNTIFS('Accounts'!$A$10:$A$39,B172,'Accounts'!$H$10:$H$39,"OK")&lt;&gt;1),"Check account ID",IF(ISERROR(D172),"Check description",IF(LEN(TRIM(SUBSTITUTE(CLEAN(D172),CHAR(160)," ")))=0,"Check description",IF(ISERROR(E172),"Check type",IF(NOT(OR(EXACT(E172,"Charge"),EXACT(E172,"Payment"))),"Check type",IF(ISERROR(F172),"Check amount",IF(NOT(ISNUMBER(F172)),"Check amount",IF(OR(F172&lt;=0,ROUND(F172,2)&lt;&gt;F172),"Check amount","OK")))))))))))))</x:f>
      </x:c>
    </x:row>
    <x:row r="173" ht="34" customHeight="1">
      <x:c r="A173" s="25"/>
      <x:c r="B173" s="17"/>
      <x:c r="C173" s="17"/>
      <x:c r="D173" s="17"/>
      <x:c r="E173" s="17"/>
      <x:c r="F173" s="18"/>
      <x:c r="G173" s="17"/>
      <x:c r="H173" s="10" t="str">
        <x:f>IF(COUNTA(A173:G173)=0,"",IF(ISERROR(A173),"Check date",IF(NOT(ISNUMBER(A173)),"Check date",IF(OR(A173&lt;1,A173&gt;=2958466,INT(A173)=60),"Check date",IF(ISERROR(B173),"Check account ID",IF(OR(NOT(EXACT(B173,UPPER(B173))),COUNTIFS('Accounts'!$A$10:$A$39,B173,'Accounts'!$H$10:$H$39,"OK")&lt;&gt;1),"Check account ID",IF(ISERROR(D173),"Check description",IF(LEN(TRIM(SUBSTITUTE(CLEAN(D173),CHAR(160)," ")))=0,"Check description",IF(ISERROR(E173),"Check type",IF(NOT(OR(EXACT(E173,"Charge"),EXACT(E173,"Payment"))),"Check type",IF(ISERROR(F173),"Check amount",IF(NOT(ISNUMBER(F173)),"Check amount",IF(OR(F173&lt;=0,ROUND(F173,2)&lt;&gt;F173),"Check amount","OK")))))))))))))</x:f>
      </x:c>
    </x:row>
    <x:row r="174" ht="34" customHeight="1">
      <x:c r="A174" s="23"/>
      <x:c r="B174" s="15"/>
      <x:c r="C174" s="15"/>
      <x:c r="D174" s="15"/>
      <x:c r="E174" s="15"/>
      <x:c r="F174" s="16"/>
      <x:c r="G174" s="15"/>
      <x:c r="H174" s="10" t="str">
        <x:f>IF(COUNTA(A174:G174)=0,"",IF(ISERROR(A174),"Check date",IF(NOT(ISNUMBER(A174)),"Check date",IF(OR(A174&lt;1,A174&gt;=2958466,INT(A174)=60),"Check date",IF(ISERROR(B174),"Check account ID",IF(OR(NOT(EXACT(B174,UPPER(B174))),COUNTIFS('Accounts'!$A$10:$A$39,B174,'Accounts'!$H$10:$H$39,"OK")&lt;&gt;1),"Check account ID",IF(ISERROR(D174),"Check description",IF(LEN(TRIM(SUBSTITUTE(CLEAN(D174),CHAR(160)," ")))=0,"Check description",IF(ISERROR(E174),"Check type",IF(NOT(OR(EXACT(E174,"Charge"),EXACT(E174,"Payment"))),"Check type",IF(ISERROR(F174),"Check amount",IF(NOT(ISNUMBER(F174)),"Check amount",IF(OR(F174&lt;=0,ROUND(F174,2)&lt;&gt;F174),"Check amount","OK")))))))))))))</x:f>
      </x:c>
    </x:row>
    <x:row r="175" ht="34" customHeight="1">
      <x:c r="A175" s="25"/>
      <x:c r="B175" s="17"/>
      <x:c r="C175" s="17"/>
      <x:c r="D175" s="17"/>
      <x:c r="E175" s="17"/>
      <x:c r="F175" s="18"/>
      <x:c r="G175" s="17"/>
      <x:c r="H175" s="10" t="str">
        <x:f>IF(COUNTA(A175:G175)=0,"",IF(ISERROR(A175),"Check date",IF(NOT(ISNUMBER(A175)),"Check date",IF(OR(A175&lt;1,A175&gt;=2958466,INT(A175)=60),"Check date",IF(ISERROR(B175),"Check account ID",IF(OR(NOT(EXACT(B175,UPPER(B175))),COUNTIFS('Accounts'!$A$10:$A$39,B175,'Accounts'!$H$10:$H$39,"OK")&lt;&gt;1),"Check account ID",IF(ISERROR(D175),"Check description",IF(LEN(TRIM(SUBSTITUTE(CLEAN(D175),CHAR(160)," ")))=0,"Check description",IF(ISERROR(E175),"Check type",IF(NOT(OR(EXACT(E175,"Charge"),EXACT(E175,"Payment"))),"Check type",IF(ISERROR(F175),"Check amount",IF(NOT(ISNUMBER(F175)),"Check amount",IF(OR(F175&lt;=0,ROUND(F175,2)&lt;&gt;F175),"Check amount","OK")))))))))))))</x:f>
      </x:c>
    </x:row>
    <x:row r="176" ht="34" customHeight="1">
      <x:c r="A176" s="23"/>
      <x:c r="B176" s="15"/>
      <x:c r="C176" s="15"/>
      <x:c r="D176" s="15"/>
      <x:c r="E176" s="15"/>
      <x:c r="F176" s="16"/>
      <x:c r="G176" s="15"/>
      <x:c r="H176" s="10" t="str">
        <x:f>IF(COUNTA(A176:G176)=0,"",IF(ISERROR(A176),"Check date",IF(NOT(ISNUMBER(A176)),"Check date",IF(OR(A176&lt;1,A176&gt;=2958466,INT(A176)=60),"Check date",IF(ISERROR(B176),"Check account ID",IF(OR(NOT(EXACT(B176,UPPER(B176))),COUNTIFS('Accounts'!$A$10:$A$39,B176,'Accounts'!$H$10:$H$39,"OK")&lt;&gt;1),"Check account ID",IF(ISERROR(D176),"Check description",IF(LEN(TRIM(SUBSTITUTE(CLEAN(D176),CHAR(160)," ")))=0,"Check description",IF(ISERROR(E176),"Check type",IF(NOT(OR(EXACT(E176,"Charge"),EXACT(E176,"Payment"))),"Check type",IF(ISERROR(F176),"Check amount",IF(NOT(ISNUMBER(F176)),"Check amount",IF(OR(F176&lt;=0,ROUND(F176,2)&lt;&gt;F176),"Check amount","OK")))))))))))))</x:f>
      </x:c>
    </x:row>
    <x:row r="177" ht="34" customHeight="1">
      <x:c r="A177" s="25"/>
      <x:c r="B177" s="17"/>
      <x:c r="C177" s="17"/>
      <x:c r="D177" s="17"/>
      <x:c r="E177" s="17"/>
      <x:c r="F177" s="18"/>
      <x:c r="G177" s="17"/>
      <x:c r="H177" s="10" t="str">
        <x:f>IF(COUNTA(A177:G177)=0,"",IF(ISERROR(A177),"Check date",IF(NOT(ISNUMBER(A177)),"Check date",IF(OR(A177&lt;1,A177&gt;=2958466,INT(A177)=60),"Check date",IF(ISERROR(B177),"Check account ID",IF(OR(NOT(EXACT(B177,UPPER(B177))),COUNTIFS('Accounts'!$A$10:$A$39,B177,'Accounts'!$H$10:$H$39,"OK")&lt;&gt;1),"Check account ID",IF(ISERROR(D177),"Check description",IF(LEN(TRIM(SUBSTITUTE(CLEAN(D177),CHAR(160)," ")))=0,"Check description",IF(ISERROR(E177),"Check type",IF(NOT(OR(EXACT(E177,"Charge"),EXACT(E177,"Payment"))),"Check type",IF(ISERROR(F177),"Check amount",IF(NOT(ISNUMBER(F177)),"Check amount",IF(OR(F177&lt;=0,ROUND(F177,2)&lt;&gt;F177),"Check amount","OK")))))))))))))</x:f>
      </x:c>
    </x:row>
    <x:row r="178" ht="34" customHeight="1">
      <x:c r="A178" s="23"/>
      <x:c r="B178" s="15"/>
      <x:c r="C178" s="15"/>
      <x:c r="D178" s="15"/>
      <x:c r="E178" s="15"/>
      <x:c r="F178" s="16"/>
      <x:c r="G178" s="15"/>
      <x:c r="H178" s="10" t="str">
        <x:f>IF(COUNTA(A178:G178)=0,"",IF(ISERROR(A178),"Check date",IF(NOT(ISNUMBER(A178)),"Check date",IF(OR(A178&lt;1,A178&gt;=2958466,INT(A178)=60),"Check date",IF(ISERROR(B178),"Check account ID",IF(OR(NOT(EXACT(B178,UPPER(B178))),COUNTIFS('Accounts'!$A$10:$A$39,B178,'Accounts'!$H$10:$H$39,"OK")&lt;&gt;1),"Check account ID",IF(ISERROR(D178),"Check description",IF(LEN(TRIM(SUBSTITUTE(CLEAN(D178),CHAR(160)," ")))=0,"Check description",IF(ISERROR(E178),"Check type",IF(NOT(OR(EXACT(E178,"Charge"),EXACT(E178,"Payment"))),"Check type",IF(ISERROR(F178),"Check amount",IF(NOT(ISNUMBER(F178)),"Check amount",IF(OR(F178&lt;=0,ROUND(F178,2)&lt;&gt;F178),"Check amount","OK")))))))))))))</x:f>
      </x:c>
    </x:row>
    <x:row r="179" ht="34" customHeight="1">
      <x:c r="A179" s="25"/>
      <x:c r="B179" s="17"/>
      <x:c r="C179" s="17"/>
      <x:c r="D179" s="17"/>
      <x:c r="E179" s="17"/>
      <x:c r="F179" s="18"/>
      <x:c r="G179" s="17"/>
      <x:c r="H179" s="10" t="str">
        <x:f>IF(COUNTA(A179:G179)=0,"",IF(ISERROR(A179),"Check date",IF(NOT(ISNUMBER(A179)),"Check date",IF(OR(A179&lt;1,A179&gt;=2958466,INT(A179)=60),"Check date",IF(ISERROR(B179),"Check account ID",IF(OR(NOT(EXACT(B179,UPPER(B179))),COUNTIFS('Accounts'!$A$10:$A$39,B179,'Accounts'!$H$10:$H$39,"OK")&lt;&gt;1),"Check account ID",IF(ISERROR(D179),"Check description",IF(LEN(TRIM(SUBSTITUTE(CLEAN(D179),CHAR(160)," ")))=0,"Check description",IF(ISERROR(E179),"Check type",IF(NOT(OR(EXACT(E179,"Charge"),EXACT(E179,"Payment"))),"Check type",IF(ISERROR(F179),"Check amount",IF(NOT(ISNUMBER(F179)),"Check amount",IF(OR(F179&lt;=0,ROUND(F179,2)&lt;&gt;F179),"Check amount","OK")))))))))))))</x:f>
      </x:c>
    </x:row>
    <x:row r="180" ht="34" customHeight="1">
      <x:c r="A180" s="23"/>
      <x:c r="B180" s="15"/>
      <x:c r="C180" s="15"/>
      <x:c r="D180" s="15"/>
      <x:c r="E180" s="15"/>
      <x:c r="F180" s="16"/>
      <x:c r="G180" s="15"/>
      <x:c r="H180" s="10" t="str">
        <x:f>IF(COUNTA(A180:G180)=0,"",IF(ISERROR(A180),"Check date",IF(NOT(ISNUMBER(A180)),"Check date",IF(OR(A180&lt;1,A180&gt;=2958466,INT(A180)=60),"Check date",IF(ISERROR(B180),"Check account ID",IF(OR(NOT(EXACT(B180,UPPER(B180))),COUNTIFS('Accounts'!$A$10:$A$39,B180,'Accounts'!$H$10:$H$39,"OK")&lt;&gt;1),"Check account ID",IF(ISERROR(D180),"Check description",IF(LEN(TRIM(SUBSTITUTE(CLEAN(D180),CHAR(160)," ")))=0,"Check description",IF(ISERROR(E180),"Check type",IF(NOT(OR(EXACT(E180,"Charge"),EXACT(E180,"Payment"))),"Check type",IF(ISERROR(F180),"Check amount",IF(NOT(ISNUMBER(F180)),"Check amount",IF(OR(F180&lt;=0,ROUND(F180,2)&lt;&gt;F180),"Check amount","OK")))))))))))))</x:f>
      </x:c>
    </x:row>
    <x:row r="181" ht="34" customHeight="1">
      <x:c r="A181" s="25"/>
      <x:c r="B181" s="17"/>
      <x:c r="C181" s="17"/>
      <x:c r="D181" s="17"/>
      <x:c r="E181" s="17"/>
      <x:c r="F181" s="18"/>
      <x:c r="G181" s="17"/>
      <x:c r="H181" s="10" t="str">
        <x:f>IF(COUNTA(A181:G181)=0,"",IF(ISERROR(A181),"Check date",IF(NOT(ISNUMBER(A181)),"Check date",IF(OR(A181&lt;1,A181&gt;=2958466,INT(A181)=60),"Check date",IF(ISERROR(B181),"Check account ID",IF(OR(NOT(EXACT(B181,UPPER(B181))),COUNTIFS('Accounts'!$A$10:$A$39,B181,'Accounts'!$H$10:$H$39,"OK")&lt;&gt;1),"Check account ID",IF(ISERROR(D181),"Check description",IF(LEN(TRIM(SUBSTITUTE(CLEAN(D181),CHAR(160)," ")))=0,"Check description",IF(ISERROR(E181),"Check type",IF(NOT(OR(EXACT(E181,"Charge"),EXACT(E181,"Payment"))),"Check type",IF(ISERROR(F181),"Check amount",IF(NOT(ISNUMBER(F181)),"Check amount",IF(OR(F181&lt;=0,ROUND(F181,2)&lt;&gt;F181),"Check amount","OK")))))))))))))</x:f>
      </x:c>
    </x:row>
    <x:row r="182" ht="34" customHeight="1">
      <x:c r="A182" s="23"/>
      <x:c r="B182" s="15"/>
      <x:c r="C182" s="15"/>
      <x:c r="D182" s="15"/>
      <x:c r="E182" s="15"/>
      <x:c r="F182" s="16"/>
      <x:c r="G182" s="15"/>
      <x:c r="H182" s="10" t="str">
        <x:f>IF(COUNTA(A182:G182)=0,"",IF(ISERROR(A182),"Check date",IF(NOT(ISNUMBER(A182)),"Check date",IF(OR(A182&lt;1,A182&gt;=2958466,INT(A182)=60),"Check date",IF(ISERROR(B182),"Check account ID",IF(OR(NOT(EXACT(B182,UPPER(B182))),COUNTIFS('Accounts'!$A$10:$A$39,B182,'Accounts'!$H$10:$H$39,"OK")&lt;&gt;1),"Check account ID",IF(ISERROR(D182),"Check description",IF(LEN(TRIM(SUBSTITUTE(CLEAN(D182),CHAR(160)," ")))=0,"Check description",IF(ISERROR(E182),"Check type",IF(NOT(OR(EXACT(E182,"Charge"),EXACT(E182,"Payment"))),"Check type",IF(ISERROR(F182),"Check amount",IF(NOT(ISNUMBER(F182)),"Check amount",IF(OR(F182&lt;=0,ROUND(F182,2)&lt;&gt;F182),"Check amount","OK")))))))))))))</x:f>
      </x:c>
    </x:row>
    <x:row r="183" ht="34" customHeight="1">
      <x:c r="A183" s="25"/>
      <x:c r="B183" s="17"/>
      <x:c r="C183" s="17"/>
      <x:c r="D183" s="17"/>
      <x:c r="E183" s="17"/>
      <x:c r="F183" s="18"/>
      <x:c r="G183" s="17"/>
      <x:c r="H183" s="10" t="str">
        <x:f>IF(COUNTA(A183:G183)=0,"",IF(ISERROR(A183),"Check date",IF(NOT(ISNUMBER(A183)),"Check date",IF(OR(A183&lt;1,A183&gt;=2958466,INT(A183)=60),"Check date",IF(ISERROR(B183),"Check account ID",IF(OR(NOT(EXACT(B183,UPPER(B183))),COUNTIFS('Accounts'!$A$10:$A$39,B183,'Accounts'!$H$10:$H$39,"OK")&lt;&gt;1),"Check account ID",IF(ISERROR(D183),"Check description",IF(LEN(TRIM(SUBSTITUTE(CLEAN(D183),CHAR(160)," ")))=0,"Check description",IF(ISERROR(E183),"Check type",IF(NOT(OR(EXACT(E183,"Charge"),EXACT(E183,"Payment"))),"Check type",IF(ISERROR(F183),"Check amount",IF(NOT(ISNUMBER(F183)),"Check amount",IF(OR(F183&lt;=0,ROUND(F183,2)&lt;&gt;F183),"Check amount","OK")))))))))))))</x:f>
      </x:c>
    </x:row>
    <x:row r="184" ht="34" customHeight="1">
      <x:c r="A184" s="23"/>
      <x:c r="B184" s="15"/>
      <x:c r="C184" s="15"/>
      <x:c r="D184" s="15"/>
      <x:c r="E184" s="15"/>
      <x:c r="F184" s="16"/>
      <x:c r="G184" s="15"/>
      <x:c r="H184" s="10" t="str">
        <x:f>IF(COUNTA(A184:G184)=0,"",IF(ISERROR(A184),"Check date",IF(NOT(ISNUMBER(A184)),"Check date",IF(OR(A184&lt;1,A184&gt;=2958466,INT(A184)=60),"Check date",IF(ISERROR(B184),"Check account ID",IF(OR(NOT(EXACT(B184,UPPER(B184))),COUNTIFS('Accounts'!$A$10:$A$39,B184,'Accounts'!$H$10:$H$39,"OK")&lt;&gt;1),"Check account ID",IF(ISERROR(D184),"Check description",IF(LEN(TRIM(SUBSTITUTE(CLEAN(D184),CHAR(160)," ")))=0,"Check description",IF(ISERROR(E184),"Check type",IF(NOT(OR(EXACT(E184,"Charge"),EXACT(E184,"Payment"))),"Check type",IF(ISERROR(F184),"Check amount",IF(NOT(ISNUMBER(F184)),"Check amount",IF(OR(F184&lt;=0,ROUND(F184,2)&lt;&gt;F184),"Check amount","OK")))))))))))))</x:f>
      </x:c>
    </x:row>
    <x:row r="185" ht="34" customHeight="1">
      <x:c r="A185" s="25"/>
      <x:c r="B185" s="17"/>
      <x:c r="C185" s="17"/>
      <x:c r="D185" s="17"/>
      <x:c r="E185" s="17"/>
      <x:c r="F185" s="18"/>
      <x:c r="G185" s="17"/>
      <x:c r="H185" s="10" t="str">
        <x:f>IF(COUNTA(A185:G185)=0,"",IF(ISERROR(A185),"Check date",IF(NOT(ISNUMBER(A185)),"Check date",IF(OR(A185&lt;1,A185&gt;=2958466,INT(A185)=60),"Check date",IF(ISERROR(B185),"Check account ID",IF(OR(NOT(EXACT(B185,UPPER(B185))),COUNTIFS('Accounts'!$A$10:$A$39,B185,'Accounts'!$H$10:$H$39,"OK")&lt;&gt;1),"Check account ID",IF(ISERROR(D185),"Check description",IF(LEN(TRIM(SUBSTITUTE(CLEAN(D185),CHAR(160)," ")))=0,"Check description",IF(ISERROR(E185),"Check type",IF(NOT(OR(EXACT(E185,"Charge"),EXACT(E185,"Payment"))),"Check type",IF(ISERROR(F185),"Check amount",IF(NOT(ISNUMBER(F185)),"Check amount",IF(OR(F185&lt;=0,ROUND(F185,2)&lt;&gt;F185),"Check amount","OK")))))))))))))</x:f>
      </x:c>
    </x:row>
    <x:row r="186" ht="34" customHeight="1">
      <x:c r="A186" s="23"/>
      <x:c r="B186" s="15"/>
      <x:c r="C186" s="15"/>
      <x:c r="D186" s="15"/>
      <x:c r="E186" s="15"/>
      <x:c r="F186" s="16"/>
      <x:c r="G186" s="15"/>
      <x:c r="H186" s="10" t="str">
        <x:f>IF(COUNTA(A186:G186)=0,"",IF(ISERROR(A186),"Check date",IF(NOT(ISNUMBER(A186)),"Check date",IF(OR(A186&lt;1,A186&gt;=2958466,INT(A186)=60),"Check date",IF(ISERROR(B186),"Check account ID",IF(OR(NOT(EXACT(B186,UPPER(B186))),COUNTIFS('Accounts'!$A$10:$A$39,B186,'Accounts'!$H$10:$H$39,"OK")&lt;&gt;1),"Check account ID",IF(ISERROR(D186),"Check description",IF(LEN(TRIM(SUBSTITUTE(CLEAN(D186),CHAR(160)," ")))=0,"Check description",IF(ISERROR(E186),"Check type",IF(NOT(OR(EXACT(E186,"Charge"),EXACT(E186,"Payment"))),"Check type",IF(ISERROR(F186),"Check amount",IF(NOT(ISNUMBER(F186)),"Check amount",IF(OR(F186&lt;=0,ROUND(F186,2)&lt;&gt;F186),"Check amount","OK")))))))))))))</x:f>
      </x:c>
    </x:row>
    <x:row r="187" ht="34" customHeight="1">
      <x:c r="A187" s="25"/>
      <x:c r="B187" s="17"/>
      <x:c r="C187" s="17"/>
      <x:c r="D187" s="17"/>
      <x:c r="E187" s="17"/>
      <x:c r="F187" s="18"/>
      <x:c r="G187" s="17"/>
      <x:c r="H187" s="10" t="str">
        <x:f>IF(COUNTA(A187:G187)=0,"",IF(ISERROR(A187),"Check date",IF(NOT(ISNUMBER(A187)),"Check date",IF(OR(A187&lt;1,A187&gt;=2958466,INT(A187)=60),"Check date",IF(ISERROR(B187),"Check account ID",IF(OR(NOT(EXACT(B187,UPPER(B187))),COUNTIFS('Accounts'!$A$10:$A$39,B187,'Accounts'!$H$10:$H$39,"OK")&lt;&gt;1),"Check account ID",IF(ISERROR(D187),"Check description",IF(LEN(TRIM(SUBSTITUTE(CLEAN(D187),CHAR(160)," ")))=0,"Check description",IF(ISERROR(E187),"Check type",IF(NOT(OR(EXACT(E187,"Charge"),EXACT(E187,"Payment"))),"Check type",IF(ISERROR(F187),"Check amount",IF(NOT(ISNUMBER(F187)),"Check amount",IF(OR(F187&lt;=0,ROUND(F187,2)&lt;&gt;F187),"Check amount","OK")))))))))))))</x:f>
      </x:c>
    </x:row>
    <x:row r="188" ht="34" customHeight="1">
      <x:c r="A188" s="23"/>
      <x:c r="B188" s="15"/>
      <x:c r="C188" s="15"/>
      <x:c r="D188" s="15"/>
      <x:c r="E188" s="15"/>
      <x:c r="F188" s="16"/>
      <x:c r="G188" s="15"/>
      <x:c r="H188" s="10" t="str">
        <x:f>IF(COUNTA(A188:G188)=0,"",IF(ISERROR(A188),"Check date",IF(NOT(ISNUMBER(A188)),"Check date",IF(OR(A188&lt;1,A188&gt;=2958466,INT(A188)=60),"Check date",IF(ISERROR(B188),"Check account ID",IF(OR(NOT(EXACT(B188,UPPER(B188))),COUNTIFS('Accounts'!$A$10:$A$39,B188,'Accounts'!$H$10:$H$39,"OK")&lt;&gt;1),"Check account ID",IF(ISERROR(D188),"Check description",IF(LEN(TRIM(SUBSTITUTE(CLEAN(D188),CHAR(160)," ")))=0,"Check description",IF(ISERROR(E188),"Check type",IF(NOT(OR(EXACT(E188,"Charge"),EXACT(E188,"Payment"))),"Check type",IF(ISERROR(F188),"Check amount",IF(NOT(ISNUMBER(F188)),"Check amount",IF(OR(F188&lt;=0,ROUND(F188,2)&lt;&gt;F188),"Check amount","OK")))))))))))))</x:f>
      </x:c>
    </x:row>
    <x:row r="189" ht="34" customHeight="1">
      <x:c r="A189" s="25"/>
      <x:c r="B189" s="17"/>
      <x:c r="C189" s="17"/>
      <x:c r="D189" s="17"/>
      <x:c r="E189" s="17"/>
      <x:c r="F189" s="18"/>
      <x:c r="G189" s="17"/>
      <x:c r="H189" s="10" t="str">
        <x:f>IF(COUNTA(A189:G189)=0,"",IF(ISERROR(A189),"Check date",IF(NOT(ISNUMBER(A189)),"Check date",IF(OR(A189&lt;1,A189&gt;=2958466,INT(A189)=60),"Check date",IF(ISERROR(B189),"Check account ID",IF(OR(NOT(EXACT(B189,UPPER(B189))),COUNTIFS('Accounts'!$A$10:$A$39,B189,'Accounts'!$H$10:$H$39,"OK")&lt;&gt;1),"Check account ID",IF(ISERROR(D189),"Check description",IF(LEN(TRIM(SUBSTITUTE(CLEAN(D189),CHAR(160)," ")))=0,"Check description",IF(ISERROR(E189),"Check type",IF(NOT(OR(EXACT(E189,"Charge"),EXACT(E189,"Payment"))),"Check type",IF(ISERROR(F189),"Check amount",IF(NOT(ISNUMBER(F189)),"Check amount",IF(OR(F189&lt;=0,ROUND(F189,2)&lt;&gt;F189),"Check amount","OK")))))))))))))</x:f>
      </x:c>
    </x:row>
    <x:row r="190" ht="34" customHeight="1">
      <x:c r="A190" s="23"/>
      <x:c r="B190" s="15"/>
      <x:c r="C190" s="15"/>
      <x:c r="D190" s="15"/>
      <x:c r="E190" s="15"/>
      <x:c r="F190" s="16"/>
      <x:c r="G190" s="15"/>
      <x:c r="H190" s="10" t="str">
        <x:f>IF(COUNTA(A190:G190)=0,"",IF(ISERROR(A190),"Check date",IF(NOT(ISNUMBER(A190)),"Check date",IF(OR(A190&lt;1,A190&gt;=2958466,INT(A190)=60),"Check date",IF(ISERROR(B190),"Check account ID",IF(OR(NOT(EXACT(B190,UPPER(B190))),COUNTIFS('Accounts'!$A$10:$A$39,B190,'Accounts'!$H$10:$H$39,"OK")&lt;&gt;1),"Check account ID",IF(ISERROR(D190),"Check description",IF(LEN(TRIM(SUBSTITUTE(CLEAN(D190),CHAR(160)," ")))=0,"Check description",IF(ISERROR(E190),"Check type",IF(NOT(OR(EXACT(E190,"Charge"),EXACT(E190,"Payment"))),"Check type",IF(ISERROR(F190),"Check amount",IF(NOT(ISNUMBER(F190)),"Check amount",IF(OR(F190&lt;=0,ROUND(F190,2)&lt;&gt;F190),"Check amount","OK")))))))))))))</x:f>
      </x:c>
    </x:row>
    <x:row r="191" ht="34" customHeight="1">
      <x:c r="A191" s="25"/>
      <x:c r="B191" s="17"/>
      <x:c r="C191" s="17"/>
      <x:c r="D191" s="17"/>
      <x:c r="E191" s="17"/>
      <x:c r="F191" s="18"/>
      <x:c r="G191" s="17"/>
      <x:c r="H191" s="10" t="str">
        <x:f>IF(COUNTA(A191:G191)=0,"",IF(ISERROR(A191),"Check date",IF(NOT(ISNUMBER(A191)),"Check date",IF(OR(A191&lt;1,A191&gt;=2958466,INT(A191)=60),"Check date",IF(ISERROR(B191),"Check account ID",IF(OR(NOT(EXACT(B191,UPPER(B191))),COUNTIFS('Accounts'!$A$10:$A$39,B191,'Accounts'!$H$10:$H$39,"OK")&lt;&gt;1),"Check account ID",IF(ISERROR(D191),"Check description",IF(LEN(TRIM(SUBSTITUTE(CLEAN(D191),CHAR(160)," ")))=0,"Check description",IF(ISERROR(E191),"Check type",IF(NOT(OR(EXACT(E191,"Charge"),EXACT(E191,"Payment"))),"Check type",IF(ISERROR(F191),"Check amount",IF(NOT(ISNUMBER(F191)),"Check amount",IF(OR(F191&lt;=0,ROUND(F191,2)&lt;&gt;F191),"Check amount","OK")))))))))))))</x:f>
      </x:c>
    </x:row>
    <x:row r="192" ht="34" customHeight="1">
      <x:c r="A192" s="23"/>
      <x:c r="B192" s="15"/>
      <x:c r="C192" s="15"/>
      <x:c r="D192" s="15"/>
      <x:c r="E192" s="15"/>
      <x:c r="F192" s="16"/>
      <x:c r="G192" s="15"/>
      <x:c r="H192" s="10" t="str">
        <x:f>IF(COUNTA(A192:G192)=0,"",IF(ISERROR(A192),"Check date",IF(NOT(ISNUMBER(A192)),"Check date",IF(OR(A192&lt;1,A192&gt;=2958466,INT(A192)=60),"Check date",IF(ISERROR(B192),"Check account ID",IF(OR(NOT(EXACT(B192,UPPER(B192))),COUNTIFS('Accounts'!$A$10:$A$39,B192,'Accounts'!$H$10:$H$39,"OK")&lt;&gt;1),"Check account ID",IF(ISERROR(D192),"Check description",IF(LEN(TRIM(SUBSTITUTE(CLEAN(D192),CHAR(160)," ")))=0,"Check description",IF(ISERROR(E192),"Check type",IF(NOT(OR(EXACT(E192,"Charge"),EXACT(E192,"Payment"))),"Check type",IF(ISERROR(F192),"Check amount",IF(NOT(ISNUMBER(F192)),"Check amount",IF(OR(F192&lt;=0,ROUND(F192,2)&lt;&gt;F192),"Check amount","OK")))))))))))))</x:f>
      </x:c>
    </x:row>
    <x:row r="193" ht="34" customHeight="1">
      <x:c r="A193" s="25"/>
      <x:c r="B193" s="17"/>
      <x:c r="C193" s="17"/>
      <x:c r="D193" s="17"/>
      <x:c r="E193" s="17"/>
      <x:c r="F193" s="18"/>
      <x:c r="G193" s="17"/>
      <x:c r="H193" s="10" t="str">
        <x:f>IF(COUNTA(A193:G193)=0,"",IF(ISERROR(A193),"Check date",IF(NOT(ISNUMBER(A193)),"Check date",IF(OR(A193&lt;1,A193&gt;=2958466,INT(A193)=60),"Check date",IF(ISERROR(B193),"Check account ID",IF(OR(NOT(EXACT(B193,UPPER(B193))),COUNTIFS('Accounts'!$A$10:$A$39,B193,'Accounts'!$H$10:$H$39,"OK")&lt;&gt;1),"Check account ID",IF(ISERROR(D193),"Check description",IF(LEN(TRIM(SUBSTITUTE(CLEAN(D193),CHAR(160)," ")))=0,"Check description",IF(ISERROR(E193),"Check type",IF(NOT(OR(EXACT(E193,"Charge"),EXACT(E193,"Payment"))),"Check type",IF(ISERROR(F193),"Check amount",IF(NOT(ISNUMBER(F193)),"Check amount",IF(OR(F193&lt;=0,ROUND(F193,2)&lt;&gt;F193),"Check amount","OK")))))))))))))</x:f>
      </x:c>
    </x:row>
    <x:row r="194" ht="34" customHeight="1">
      <x:c r="A194" s="23"/>
      <x:c r="B194" s="15"/>
      <x:c r="C194" s="15"/>
      <x:c r="D194" s="15"/>
      <x:c r="E194" s="15"/>
      <x:c r="F194" s="16"/>
      <x:c r="G194" s="15"/>
      <x:c r="H194" s="10" t="str">
        <x:f>IF(COUNTA(A194:G194)=0,"",IF(ISERROR(A194),"Check date",IF(NOT(ISNUMBER(A194)),"Check date",IF(OR(A194&lt;1,A194&gt;=2958466,INT(A194)=60),"Check date",IF(ISERROR(B194),"Check account ID",IF(OR(NOT(EXACT(B194,UPPER(B194))),COUNTIFS('Accounts'!$A$10:$A$39,B194,'Accounts'!$H$10:$H$39,"OK")&lt;&gt;1),"Check account ID",IF(ISERROR(D194),"Check description",IF(LEN(TRIM(SUBSTITUTE(CLEAN(D194),CHAR(160)," ")))=0,"Check description",IF(ISERROR(E194),"Check type",IF(NOT(OR(EXACT(E194,"Charge"),EXACT(E194,"Payment"))),"Check type",IF(ISERROR(F194),"Check amount",IF(NOT(ISNUMBER(F194)),"Check amount",IF(OR(F194&lt;=0,ROUND(F194,2)&lt;&gt;F194),"Check amount","OK")))))))))))))</x:f>
      </x:c>
    </x:row>
    <x:row r="195" ht="34" customHeight="1">
      <x:c r="A195" s="25"/>
      <x:c r="B195" s="17"/>
      <x:c r="C195" s="17"/>
      <x:c r="D195" s="17"/>
      <x:c r="E195" s="17"/>
      <x:c r="F195" s="18"/>
      <x:c r="G195" s="17"/>
      <x:c r="H195" s="10" t="str">
        <x:f>IF(COUNTA(A195:G195)=0,"",IF(ISERROR(A195),"Check date",IF(NOT(ISNUMBER(A195)),"Check date",IF(OR(A195&lt;1,A195&gt;=2958466,INT(A195)=60),"Check date",IF(ISERROR(B195),"Check account ID",IF(OR(NOT(EXACT(B195,UPPER(B195))),COUNTIFS('Accounts'!$A$10:$A$39,B195,'Accounts'!$H$10:$H$39,"OK")&lt;&gt;1),"Check account ID",IF(ISERROR(D195),"Check description",IF(LEN(TRIM(SUBSTITUTE(CLEAN(D195),CHAR(160)," ")))=0,"Check description",IF(ISERROR(E195),"Check type",IF(NOT(OR(EXACT(E195,"Charge"),EXACT(E195,"Payment"))),"Check type",IF(ISERROR(F195),"Check amount",IF(NOT(ISNUMBER(F195)),"Check amount",IF(OR(F195&lt;=0,ROUND(F195,2)&lt;&gt;F195),"Check amount","OK")))))))))))))</x:f>
      </x:c>
    </x:row>
    <x:row r="196" ht="34" customHeight="1">
      <x:c r="A196" s="23"/>
      <x:c r="B196" s="15"/>
      <x:c r="C196" s="15"/>
      <x:c r="D196" s="15"/>
      <x:c r="E196" s="15"/>
      <x:c r="F196" s="16"/>
      <x:c r="G196" s="15"/>
      <x:c r="H196" s="10" t="str">
        <x:f>IF(COUNTA(A196:G196)=0,"",IF(ISERROR(A196),"Check date",IF(NOT(ISNUMBER(A196)),"Check date",IF(OR(A196&lt;1,A196&gt;=2958466,INT(A196)=60),"Check date",IF(ISERROR(B196),"Check account ID",IF(OR(NOT(EXACT(B196,UPPER(B196))),COUNTIFS('Accounts'!$A$10:$A$39,B196,'Accounts'!$H$10:$H$39,"OK")&lt;&gt;1),"Check account ID",IF(ISERROR(D196),"Check description",IF(LEN(TRIM(SUBSTITUTE(CLEAN(D196),CHAR(160)," ")))=0,"Check description",IF(ISERROR(E196),"Check type",IF(NOT(OR(EXACT(E196,"Charge"),EXACT(E196,"Payment"))),"Check type",IF(ISERROR(F196),"Check amount",IF(NOT(ISNUMBER(F196)),"Check amount",IF(OR(F196&lt;=0,ROUND(F196,2)&lt;&gt;F196),"Check amount","OK")))))))))))))</x:f>
      </x:c>
    </x:row>
    <x:row r="197" ht="34" customHeight="1">
      <x:c r="A197" s="25"/>
      <x:c r="B197" s="17"/>
      <x:c r="C197" s="17"/>
      <x:c r="D197" s="17"/>
      <x:c r="E197" s="17"/>
      <x:c r="F197" s="18"/>
      <x:c r="G197" s="17"/>
      <x:c r="H197" s="10" t="str">
        <x:f>IF(COUNTA(A197:G197)=0,"",IF(ISERROR(A197),"Check date",IF(NOT(ISNUMBER(A197)),"Check date",IF(OR(A197&lt;1,A197&gt;=2958466,INT(A197)=60),"Check date",IF(ISERROR(B197),"Check account ID",IF(OR(NOT(EXACT(B197,UPPER(B197))),COUNTIFS('Accounts'!$A$10:$A$39,B197,'Accounts'!$H$10:$H$39,"OK")&lt;&gt;1),"Check account ID",IF(ISERROR(D197),"Check description",IF(LEN(TRIM(SUBSTITUTE(CLEAN(D197),CHAR(160)," ")))=0,"Check description",IF(ISERROR(E197),"Check type",IF(NOT(OR(EXACT(E197,"Charge"),EXACT(E197,"Payment"))),"Check type",IF(ISERROR(F197),"Check amount",IF(NOT(ISNUMBER(F197)),"Check amount",IF(OR(F197&lt;=0,ROUND(F197,2)&lt;&gt;F197),"Check amount","OK")))))))))))))</x:f>
      </x:c>
    </x:row>
    <x:row r="198" ht="34" customHeight="1">
      <x:c r="A198" s="23"/>
      <x:c r="B198" s="15"/>
      <x:c r="C198" s="15"/>
      <x:c r="D198" s="15"/>
      <x:c r="E198" s="15"/>
      <x:c r="F198" s="16"/>
      <x:c r="G198" s="15"/>
      <x:c r="H198" s="10" t="str">
        <x:f>IF(COUNTA(A198:G198)=0,"",IF(ISERROR(A198),"Check date",IF(NOT(ISNUMBER(A198)),"Check date",IF(OR(A198&lt;1,A198&gt;=2958466,INT(A198)=60),"Check date",IF(ISERROR(B198),"Check account ID",IF(OR(NOT(EXACT(B198,UPPER(B198))),COUNTIFS('Accounts'!$A$10:$A$39,B198,'Accounts'!$H$10:$H$39,"OK")&lt;&gt;1),"Check account ID",IF(ISERROR(D198),"Check description",IF(LEN(TRIM(SUBSTITUTE(CLEAN(D198),CHAR(160)," ")))=0,"Check description",IF(ISERROR(E198),"Check type",IF(NOT(OR(EXACT(E198,"Charge"),EXACT(E198,"Payment"))),"Check type",IF(ISERROR(F198),"Check amount",IF(NOT(ISNUMBER(F198)),"Check amount",IF(OR(F198&lt;=0,ROUND(F198,2)&lt;&gt;F198),"Check amount","OK")))))))))))))</x:f>
      </x:c>
    </x:row>
    <x:row r="199" ht="34" customHeight="1">
      <x:c r="A199" s="25"/>
      <x:c r="B199" s="17"/>
      <x:c r="C199" s="17"/>
      <x:c r="D199" s="17"/>
      <x:c r="E199" s="17"/>
      <x:c r="F199" s="18"/>
      <x:c r="G199" s="17"/>
      <x:c r="H199" s="10" t="str">
        <x:f>IF(COUNTA(A199:G199)=0,"",IF(ISERROR(A199),"Check date",IF(NOT(ISNUMBER(A199)),"Check date",IF(OR(A199&lt;1,A199&gt;=2958466,INT(A199)=60),"Check date",IF(ISERROR(B199),"Check account ID",IF(OR(NOT(EXACT(B199,UPPER(B199))),COUNTIFS('Accounts'!$A$10:$A$39,B199,'Accounts'!$H$10:$H$39,"OK")&lt;&gt;1),"Check account ID",IF(ISERROR(D199),"Check description",IF(LEN(TRIM(SUBSTITUTE(CLEAN(D199),CHAR(160)," ")))=0,"Check description",IF(ISERROR(E199),"Check type",IF(NOT(OR(EXACT(E199,"Charge"),EXACT(E199,"Payment"))),"Check type",IF(ISERROR(F199),"Check amount",IF(NOT(ISNUMBER(F199)),"Check amount",IF(OR(F199&lt;=0,ROUND(F199,2)&lt;&gt;F199),"Check amount","OK")))))))))))))</x:f>
      </x:c>
    </x:row>
    <x:row r="200" ht="34" customHeight="1">
      <x:c r="A200" s="23"/>
      <x:c r="B200" s="15"/>
      <x:c r="C200" s="15"/>
      <x:c r="D200" s="15"/>
      <x:c r="E200" s="15"/>
      <x:c r="F200" s="16"/>
      <x:c r="G200" s="15"/>
      <x:c r="H200" s="10" t="str">
        <x:f>IF(COUNTA(A200:G200)=0,"",IF(ISERROR(A200),"Check date",IF(NOT(ISNUMBER(A200)),"Check date",IF(OR(A200&lt;1,A200&gt;=2958466,INT(A200)=60),"Check date",IF(ISERROR(B200),"Check account ID",IF(OR(NOT(EXACT(B200,UPPER(B200))),COUNTIFS('Accounts'!$A$10:$A$39,B200,'Accounts'!$H$10:$H$39,"OK")&lt;&gt;1),"Check account ID",IF(ISERROR(D200),"Check description",IF(LEN(TRIM(SUBSTITUTE(CLEAN(D200),CHAR(160)," ")))=0,"Check description",IF(ISERROR(E200),"Check type",IF(NOT(OR(EXACT(E200,"Charge"),EXACT(E200,"Payment"))),"Check type",IF(ISERROR(F200),"Check amount",IF(NOT(ISNUMBER(F200)),"Check amount",IF(OR(F200&lt;=0,ROUND(F200,2)&lt;&gt;F200),"Check amount","OK")))))))))))))</x:f>
      </x:c>
    </x:row>
    <x:row r="201" ht="34" customHeight="1">
      <x:c r="A201" s="25"/>
      <x:c r="B201" s="17"/>
      <x:c r="C201" s="17"/>
      <x:c r="D201" s="17"/>
      <x:c r="E201" s="17"/>
      <x:c r="F201" s="18"/>
      <x:c r="G201" s="17"/>
      <x:c r="H201" s="10" t="str">
        <x:f>IF(COUNTA(A201:G201)=0,"",IF(ISERROR(A201),"Check date",IF(NOT(ISNUMBER(A201)),"Check date",IF(OR(A201&lt;1,A201&gt;=2958466,INT(A201)=60),"Check date",IF(ISERROR(B201),"Check account ID",IF(OR(NOT(EXACT(B201,UPPER(B201))),COUNTIFS('Accounts'!$A$10:$A$39,B201,'Accounts'!$H$10:$H$39,"OK")&lt;&gt;1),"Check account ID",IF(ISERROR(D201),"Check description",IF(LEN(TRIM(SUBSTITUTE(CLEAN(D201),CHAR(160)," ")))=0,"Check description",IF(ISERROR(E201),"Check type",IF(NOT(OR(EXACT(E201,"Charge"),EXACT(E201,"Payment"))),"Check type",IF(ISERROR(F201),"Check amount",IF(NOT(ISNUMBER(F201)),"Check amount",IF(OR(F201&lt;=0,ROUND(F201,2)&lt;&gt;F201),"Check amount","OK")))))))))))))</x:f>
      </x:c>
    </x:row>
    <x:row r="202" ht="34" customHeight="1">
      <x:c r="A202" s="23"/>
      <x:c r="B202" s="15"/>
      <x:c r="C202" s="15"/>
      <x:c r="D202" s="15"/>
      <x:c r="E202" s="15"/>
      <x:c r="F202" s="16"/>
      <x:c r="G202" s="15"/>
      <x:c r="H202" s="10" t="str">
        <x:f>IF(COUNTA(A202:G202)=0,"",IF(ISERROR(A202),"Check date",IF(NOT(ISNUMBER(A202)),"Check date",IF(OR(A202&lt;1,A202&gt;=2958466,INT(A202)=60),"Check date",IF(ISERROR(B202),"Check account ID",IF(OR(NOT(EXACT(B202,UPPER(B202))),COUNTIFS('Accounts'!$A$10:$A$39,B202,'Accounts'!$H$10:$H$39,"OK")&lt;&gt;1),"Check account ID",IF(ISERROR(D202),"Check description",IF(LEN(TRIM(SUBSTITUTE(CLEAN(D202),CHAR(160)," ")))=0,"Check description",IF(ISERROR(E202),"Check type",IF(NOT(OR(EXACT(E202,"Charge"),EXACT(E202,"Payment"))),"Check type",IF(ISERROR(F202),"Check amount",IF(NOT(ISNUMBER(F202)),"Check amount",IF(OR(F202&lt;=0,ROUND(F202,2)&lt;&gt;F202),"Check amount","OK")))))))))))))</x:f>
      </x:c>
    </x:row>
    <x:row r="203" ht="34" customHeight="1">
      <x:c r="A203" s="25"/>
      <x:c r="B203" s="17"/>
      <x:c r="C203" s="17"/>
      <x:c r="D203" s="17"/>
      <x:c r="E203" s="17"/>
      <x:c r="F203" s="18"/>
      <x:c r="G203" s="17"/>
      <x:c r="H203" s="10" t="str">
        <x:f>IF(COUNTA(A203:G203)=0,"",IF(ISERROR(A203),"Check date",IF(NOT(ISNUMBER(A203)),"Check date",IF(OR(A203&lt;1,A203&gt;=2958466,INT(A203)=60),"Check date",IF(ISERROR(B203),"Check account ID",IF(OR(NOT(EXACT(B203,UPPER(B203))),COUNTIFS('Accounts'!$A$10:$A$39,B203,'Accounts'!$H$10:$H$39,"OK")&lt;&gt;1),"Check account ID",IF(ISERROR(D203),"Check description",IF(LEN(TRIM(SUBSTITUTE(CLEAN(D203),CHAR(160)," ")))=0,"Check description",IF(ISERROR(E203),"Check type",IF(NOT(OR(EXACT(E203,"Charge"),EXACT(E203,"Payment"))),"Check type",IF(ISERROR(F203),"Check amount",IF(NOT(ISNUMBER(F203)),"Check amount",IF(OR(F203&lt;=0,ROUND(F203,2)&lt;&gt;F203),"Check amount","OK")))))))))))))</x:f>
      </x:c>
    </x:row>
    <x:row r="204" ht="34" customHeight="1">
      <x:c r="A204" s="23"/>
      <x:c r="B204" s="15"/>
      <x:c r="C204" s="15"/>
      <x:c r="D204" s="15"/>
      <x:c r="E204" s="15"/>
      <x:c r="F204" s="16"/>
      <x:c r="G204" s="15"/>
      <x:c r="H204" s="10" t="str">
        <x:f>IF(COUNTA(A204:G204)=0,"",IF(ISERROR(A204),"Check date",IF(NOT(ISNUMBER(A204)),"Check date",IF(OR(A204&lt;1,A204&gt;=2958466,INT(A204)=60),"Check date",IF(ISERROR(B204),"Check account ID",IF(OR(NOT(EXACT(B204,UPPER(B204))),COUNTIFS('Accounts'!$A$10:$A$39,B204,'Accounts'!$H$10:$H$39,"OK")&lt;&gt;1),"Check account ID",IF(ISERROR(D204),"Check description",IF(LEN(TRIM(SUBSTITUTE(CLEAN(D204),CHAR(160)," ")))=0,"Check description",IF(ISERROR(E204),"Check type",IF(NOT(OR(EXACT(E204,"Charge"),EXACT(E204,"Payment"))),"Check type",IF(ISERROR(F204),"Check amount",IF(NOT(ISNUMBER(F204)),"Check amount",IF(OR(F204&lt;=0,ROUND(F204,2)&lt;&gt;F204),"Check amount","OK")))))))))))))</x:f>
      </x:c>
    </x:row>
    <x:row r="205" ht="34" customHeight="1">
      <x:c r="A205" s="25"/>
      <x:c r="B205" s="17"/>
      <x:c r="C205" s="17"/>
      <x:c r="D205" s="17"/>
      <x:c r="E205" s="17"/>
      <x:c r="F205" s="18"/>
      <x:c r="G205" s="17"/>
      <x:c r="H205" s="10" t="str">
        <x:f>IF(COUNTA(A205:G205)=0,"",IF(ISERROR(A205),"Check date",IF(NOT(ISNUMBER(A205)),"Check date",IF(OR(A205&lt;1,A205&gt;=2958466,INT(A205)=60),"Check date",IF(ISERROR(B205),"Check account ID",IF(OR(NOT(EXACT(B205,UPPER(B205))),COUNTIFS('Accounts'!$A$10:$A$39,B205,'Accounts'!$H$10:$H$39,"OK")&lt;&gt;1),"Check account ID",IF(ISERROR(D205),"Check description",IF(LEN(TRIM(SUBSTITUTE(CLEAN(D205),CHAR(160)," ")))=0,"Check description",IF(ISERROR(E205),"Check type",IF(NOT(OR(EXACT(E205,"Charge"),EXACT(E205,"Payment"))),"Check type",IF(ISERROR(F205),"Check amount",IF(NOT(ISNUMBER(F205)),"Check amount",IF(OR(F205&lt;=0,ROUND(F205,2)&lt;&gt;F205),"Check amount","OK")))))))))))))</x:f>
      </x:c>
    </x:row>
    <x:row r="206" ht="34" customHeight="1">
      <x:c r="A206" s="23"/>
      <x:c r="B206" s="15"/>
      <x:c r="C206" s="15"/>
      <x:c r="D206" s="15"/>
      <x:c r="E206" s="15"/>
      <x:c r="F206" s="16"/>
      <x:c r="G206" s="15"/>
      <x:c r="H206" s="10" t="str">
        <x:f>IF(COUNTA(A206:G206)=0,"",IF(ISERROR(A206),"Check date",IF(NOT(ISNUMBER(A206)),"Check date",IF(OR(A206&lt;1,A206&gt;=2958466,INT(A206)=60),"Check date",IF(ISERROR(B206),"Check account ID",IF(OR(NOT(EXACT(B206,UPPER(B206))),COUNTIFS('Accounts'!$A$10:$A$39,B206,'Accounts'!$H$10:$H$39,"OK")&lt;&gt;1),"Check account ID",IF(ISERROR(D206),"Check description",IF(LEN(TRIM(SUBSTITUTE(CLEAN(D206),CHAR(160)," ")))=0,"Check description",IF(ISERROR(E206),"Check type",IF(NOT(OR(EXACT(E206,"Charge"),EXACT(E206,"Payment"))),"Check type",IF(ISERROR(F206),"Check amount",IF(NOT(ISNUMBER(F206)),"Check amount",IF(OR(F206&lt;=0,ROUND(F206,2)&lt;&gt;F206),"Check amount","OK")))))))))))))</x:f>
      </x:c>
    </x:row>
    <x:row r="207" ht="34" customHeight="1">
      <x:c r="A207" s="25"/>
      <x:c r="B207" s="17"/>
      <x:c r="C207" s="17"/>
      <x:c r="D207" s="17"/>
      <x:c r="E207" s="17"/>
      <x:c r="F207" s="18"/>
      <x:c r="G207" s="17"/>
      <x:c r="H207" s="10" t="str">
        <x:f>IF(COUNTA(A207:G207)=0,"",IF(ISERROR(A207),"Check date",IF(NOT(ISNUMBER(A207)),"Check date",IF(OR(A207&lt;1,A207&gt;=2958466,INT(A207)=60),"Check date",IF(ISERROR(B207),"Check account ID",IF(OR(NOT(EXACT(B207,UPPER(B207))),COUNTIFS('Accounts'!$A$10:$A$39,B207,'Accounts'!$H$10:$H$39,"OK")&lt;&gt;1),"Check account ID",IF(ISERROR(D207),"Check description",IF(LEN(TRIM(SUBSTITUTE(CLEAN(D207),CHAR(160)," ")))=0,"Check description",IF(ISERROR(E207),"Check type",IF(NOT(OR(EXACT(E207,"Charge"),EXACT(E207,"Payment"))),"Check type",IF(ISERROR(F207),"Check amount",IF(NOT(ISNUMBER(F207)),"Check amount",IF(OR(F207&lt;=0,ROUND(F207,2)&lt;&gt;F207),"Check amount","OK")))))))))))))</x:f>
      </x:c>
    </x:row>
    <x:row r="208" ht="34" customHeight="1">
      <x:c r="A208" s="23"/>
      <x:c r="B208" s="15"/>
      <x:c r="C208" s="15"/>
      <x:c r="D208" s="15"/>
      <x:c r="E208" s="15"/>
      <x:c r="F208" s="16"/>
      <x:c r="G208" s="15"/>
      <x:c r="H208" s="10" t="str">
        <x:f>IF(COUNTA(A208:G208)=0,"",IF(ISERROR(A208),"Check date",IF(NOT(ISNUMBER(A208)),"Check date",IF(OR(A208&lt;1,A208&gt;=2958466,INT(A208)=60),"Check date",IF(ISERROR(B208),"Check account ID",IF(OR(NOT(EXACT(B208,UPPER(B208))),COUNTIFS('Accounts'!$A$10:$A$39,B208,'Accounts'!$H$10:$H$39,"OK")&lt;&gt;1),"Check account ID",IF(ISERROR(D208),"Check description",IF(LEN(TRIM(SUBSTITUTE(CLEAN(D208),CHAR(160)," ")))=0,"Check description",IF(ISERROR(E208),"Check type",IF(NOT(OR(EXACT(E208,"Charge"),EXACT(E208,"Payment"))),"Check type",IF(ISERROR(F208),"Check amount",IF(NOT(ISNUMBER(F208)),"Check amount",IF(OR(F208&lt;=0,ROUND(F208,2)&lt;&gt;F208),"Check amount","OK")))))))))))))</x:f>
      </x:c>
    </x:row>
    <x:row r="209" ht="34" customHeight="1">
      <x:c r="A209" s="25"/>
      <x:c r="B209" s="17"/>
      <x:c r="C209" s="17"/>
      <x:c r="D209" s="17"/>
      <x:c r="E209" s="17"/>
      <x:c r="F209" s="18"/>
      <x:c r="G209" s="17"/>
      <x:c r="H209" s="10" t="str">
        <x:f>IF(COUNTA(A209:G209)=0,"",IF(ISERROR(A209),"Check date",IF(NOT(ISNUMBER(A209)),"Check date",IF(OR(A209&lt;1,A209&gt;=2958466,INT(A209)=60),"Check date",IF(ISERROR(B209),"Check account ID",IF(OR(NOT(EXACT(B209,UPPER(B209))),COUNTIFS('Accounts'!$A$10:$A$39,B209,'Accounts'!$H$10:$H$39,"OK")&lt;&gt;1),"Check account ID",IF(ISERROR(D209),"Check description",IF(LEN(TRIM(SUBSTITUTE(CLEAN(D209),CHAR(160)," ")))=0,"Check description",IF(ISERROR(E209),"Check type",IF(NOT(OR(EXACT(E209,"Charge"),EXACT(E209,"Payment"))),"Check type",IF(ISERROR(F209),"Check amount",IF(NOT(ISNUMBER(F209)),"Check amount",IF(OR(F209&lt;=0,ROUND(F209,2)&lt;&gt;F209),"Check amount","OK")))))))))))))</x:f>
      </x:c>
    </x:row>
  </x:sheetData>
  <x:mergeCells>
    <x:mergeCell ref="A1:H1"/>
    <x:mergeCell ref="A2:H2"/>
    <x:mergeCell ref="A3:H3"/>
    <x:mergeCell ref="A4:H4"/>
    <x:mergeCell ref="A5:H5"/>
    <x:mergeCell ref="A6:H6"/>
    <x:mergeCell ref="A8:H8"/>
  </x:mergeCells>
  <x:conditionalFormatting sqref="H10:H209">
    <x:cfRule type="expression" dxfId="6" priority="1">
      <x:formula>LEFT(H10,5)="Check"</x:formula>
    </x:cfRule>
  </x:conditionalFormatting>
  <x:dataValidations count="2">
    <x:dataValidation type="list" sqref="B10:B209">
      <x:formula1>",A001,A002,A003,A004,A005,A006,A007,A008,A009,A010,A011,A012,A013,A014,A015,A016,A017,A018,A019,A020,A021,A022,A023,A024,A025,A026,A027,A028,A029,A030"</x:formula1>
    </x:dataValidation>
    <x:dataValidation type="list" sqref="E10:E209">
      <x:formula1>",Charge,Payment"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59e11d8734d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5" hidden="0" customWidth="1"/>
    <x:col min="7" max="7" width="17" hidden="0" customWidth="1"/>
    <x:col min="8" max="8" width="17" hidden="0" customWidth="1"/>
  </x:cols>
  <x:sheetData>
    <x:row r="1" ht="42" customHeight="1">
      <x:c r="A1" s="4" t="str">
        <x:v>Example: charges and part-payments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3" t="str">
        <x:v>Fictional record: Alex Morgan pays tutor Taylor Reed. Currency: USD. Opening balance: 0.00.</x:v>
      </x:c>
      <x:c r="B2" s="3"/>
      <x:c r="C2" s="3"/>
      <x:c r="D2" s="3"/>
      <x:c r="E2" s="3"/>
      <x:c r="F2" s="3"/>
      <x:c r="G2" s="3"/>
      <x:c r="H2" s="3"/>
    </x:row>
    <x:row r="3" ht="30" customHeight="1">
      <x:c r="A3" s="3" t="str">
        <x:v>The five rows below match the worked example on the guide and the app's example statement.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 t="str">
        <x:v>This example is separate from Accounts and Entries. Delete or change it without affecting your working records.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38" customHeight="1">
      <x:c r="A6" s="8" t="str">
        <x:v>Date</x:v>
      </x:c>
      <x:c r="B6" s="8" t="str">
        <x:v>Record</x:v>
      </x:c>
      <x:c r="C6" s="8" t="str">
        <x:v>Charge (USD)</x:v>
      </x:c>
      <x:c r="D6" s="8" t="str">
        <x:v>Payment (USD)</x:v>
      </x:c>
      <x:c r="E6" s="8" t="str">
        <x:v>Balance (USD)</x:v>
      </x:c>
      <x:c r="F6" s="8" t="str">
        <x:v>Context</x:v>
      </x:c>
      <x:c r="G6" s="3"/>
      <x:c r="H6" s="3"/>
    </x:row>
    <x:row r="7" ht="34" customHeight="1">
      <x:c r="A7" s="27" t="d">
        <x:v>2026-10-02T00:00:00.000Z</x:v>
      </x:c>
      <x:c r="B7" s="3" t="str">
        <x:v>Two sessions</x:v>
      </x:c>
      <x:c r="C7" s="29" t="n">
        <x:v>80</x:v>
      </x:c>
      <x:c r="D7" s="29"/>
      <x:c r="E7" s="14" t="n">
        <x:f>SUM(C7)-SUM(D7)</x:f>
        <x:v>80</x:v>
      </x:c>
      <x:c r="F7" s="3" t="str">
        <x:v>Alex Morgan</x:v>
      </x:c>
      <x:c r="G7" s="3"/>
      <x:c r="H7" s="3"/>
    </x:row>
    <x:row r="8" ht="34" customHeight="1">
      <x:c r="A8" s="27" t="d">
        <x:v>2026-10-06T00:00:00.000Z</x:v>
      </x:c>
      <x:c r="B8" s="3" t="str">
        <x:v>Two sessions</x:v>
      </x:c>
      <x:c r="C8" s="29" t="n">
        <x:v>80</x:v>
      </x:c>
      <x:c r="D8" s="29"/>
      <x:c r="E8" s="14" t="n">
        <x:f>SUM(E7,C8)-SUM(D8)</x:f>
        <x:v>160</x:v>
      </x:c>
      <x:c r="F8" s="3" t="str">
        <x:v>Alex Morgan</x:v>
      </x:c>
      <x:c r="G8" s="3"/>
      <x:c r="H8" s="3"/>
    </x:row>
    <x:row r="9" ht="34" customHeight="1">
      <x:c r="A9" s="27" t="d">
        <x:v>2026-10-08T00:00:00.000Z</x:v>
      </x:c>
      <x:c r="B9" s="3" t="str">
        <x:v>Payment received</x:v>
      </x:c>
      <x:c r="C9" s="29"/>
      <x:c r="D9" s="29" t="n">
        <x:v>50</x:v>
      </x:c>
      <x:c r="E9" s="14" t="n">
        <x:f>SUM(E8,C9)-SUM(D9)</x:f>
        <x:v>110</x:v>
      </x:c>
      <x:c r="F9" s="3" t="str">
        <x:v>Alex Morgan</x:v>
      </x:c>
      <x:c r="G9" s="3"/>
      <x:c r="H9" s="3"/>
    </x:row>
    <x:row r="10" ht="34" customHeight="1">
      <x:c r="A10" s="27" t="d">
        <x:v>2026-10-11T00:00:00.000Z</x:v>
      </x:c>
      <x:c r="B10" s="3" t="str">
        <x:v>Payment received</x:v>
      </x:c>
      <x:c r="C10" s="29"/>
      <x:c r="D10" s="29" t="n">
        <x:v>30</x:v>
      </x:c>
      <x:c r="E10" s="14" t="n">
        <x:f>SUM(E9,C10)-SUM(D10)</x:f>
        <x:v>80</x:v>
      </x:c>
      <x:c r="F10" s="3" t="str">
        <x:v>Alex Morgan</x:v>
      </x:c>
      <x:c r="G10" s="3"/>
      <x:c r="H10" s="3"/>
    </x:row>
    <x:row r="11" ht="34" customHeight="1">
      <x:c r="A11" s="27" t="d">
        <x:v>2026-10-15T00:00:00.000Z</x:v>
      </x:c>
      <x:c r="B11" s="3" t="str">
        <x:v>Another session</x:v>
      </x:c>
      <x:c r="C11" s="29" t="n">
        <x:v>40</x:v>
      </x:c>
      <x:c r="D11" s="29"/>
      <x:c r="E11" s="14" t="n">
        <x:f>SUM(E10,C11)-SUM(D11)</x:f>
        <x:v>120</x:v>
      </x:c>
      <x:c r="F11" s="3" t="str">
        <x:v>Alex Morgan</x:v>
      </x:c>
      <x:c r="G11" s="3"/>
      <x:c r="H11" s="3"/>
    </x:row>
    <x:row r="12">
      <x:c r="A12" s="3"/>
      <x:c r="B12" s="3"/>
      <x:c r="C12" s="29"/>
      <x:c r="D12" s="29"/>
      <x:c r="E12" s="29"/>
      <x:c r="F12" s="3"/>
      <x:c r="G12" s="3"/>
      <x:c r="H12" s="3"/>
    </x:row>
    <x:row r="13" ht="34" customHeight="1">
      <x:c r="A13" s="3"/>
      <x:c r="B13" s="7" t="str">
        <x:v>Totals</x:v>
      </x:c>
      <x:c r="C13" s="31" t="n">
        <x:f>SUM(C7:C11)</x:f>
        <x:v>200</x:v>
      </x:c>
      <x:c r="D13" s="31" t="n">
        <x:f>SUM(D7:D11)</x:f>
        <x:v>80</x:v>
      </x:c>
      <x:c r="E13" s="31" t="n">
        <x:f>E11</x:f>
        <x:v>120</x:v>
      </x:c>
      <x:c r="F13" s="7"/>
      <x:c r="G13" s="3"/>
      <x:c r="H13" s="3"/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 ht="30" customHeight="1">
      <x:c r="A15" s="3" t="str">
        <x:v>The payments total 80 USD; they are not extra charges. The later session raises the balance from 80 USD to 120 USD.</x:v>
      </x:c>
      <x:c r="B15" s="3"/>
      <x:c r="C15" s="3"/>
      <x:c r="D15" s="3"/>
      <x:c r="E15" s="3"/>
      <x:c r="F15" s="3"/>
      <x:c r="G15" s="3"/>
      <x:c r="H15" s="3"/>
    </x:row>
    <x:row r="16" ht="30" customHeight="1">
      <x:c r="A16" s="3" t="str">
        <x:v>Record one payment once. This is a money balance, not a count of prepaid lessons.</x:v>
      </x:c>
      <x:c r="B16" s="3"/>
      <x:c r="C16" s="3"/>
      <x:c r="D16" s="3"/>
      <x:c r="E16" s="3"/>
      <x:c r="F16" s="3"/>
      <x:c r="G16" s="3"/>
      <x:c r="H16" s="3"/>
    </x:row>
    <x:row r="17" ht="30" customHeight="1">
      <x:c r="A17" s="3" t="str">
        <x:v>Example statement from the app: https://you-owe-me.com/downloads/samples/you-owe-me-fictional-client-statement.pdf</x:v>
      </x:c>
      <x:c r="B17" s="3"/>
      <x:c r="C17" s="3"/>
      <x:c r="D17" s="3"/>
      <x:c r="E17" s="3"/>
      <x:c r="F17" s="3"/>
      <x:c r="G17" s="3"/>
      <x:c r="H17" s="3"/>
    </x:row>
    <x:row r="18" ht="30" customHeight="1">
      <x:c r="A18" s="3" t="str">
        <x:v>The workbook does not generate this PDF automatically. It is a payment-record summary, not a formal invoice.</x:v>
      </x:c>
      <x:c r="B18" s="3"/>
      <x:c r="C18" s="3"/>
      <x:c r="D18" s="3"/>
      <x:c r="E18" s="3"/>
      <x:c r="F18" s="3"/>
      <x:c r="G18" s="3"/>
      <x:c r="H18" s="3"/>
    </x:row>
  </x:sheetData>
  <x:mergeCells>
    <x:mergeCell ref="A1:H1"/>
    <x:mergeCell ref="A2:H2"/>
    <x:mergeCell ref="A3:H3"/>
    <x:mergeCell ref="A4:H4"/>
    <x:mergeCell ref="A15:H15"/>
    <x:mergeCell ref="A16:H16"/>
    <x:mergeCell ref="A17:H17"/>
    <x:mergeCell ref="A18:H18"/>
  </x:mergeCells>
  <x:pageMargins left="0.7" right="0.7" top="0.75" bottom="0.75" header="0.3" footer="0.3"/>
</x:worksheet>
</file>