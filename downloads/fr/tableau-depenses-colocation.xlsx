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6815afe1874f7b" /></Relationships>
</file>

<file path=xl/workbook.xml><?xml version="1.0" encoding="utf-8"?>
<workbook xmlns="http://schemas.openxmlformats.org/spreadsheetml/2006/main" xmlns:ns1="http://schemas.openxmlformats.org/officeDocument/2006/relationships">
  <sheets>
    <sheet name="Démarrage" sheetId="1" ns1:id="R567285b6430e4146"/>
    <sheet name="Configuration" sheetId="2" ns1:id="Rb39030bfdd434e73"/>
    <sheet name="Dépenses" sheetId="3" ns1:id="R57682885bf83438f"/>
    <sheet name="Remboursements" sheetId="4" ns1:id="Rd9b61797e2c34e80"/>
    <sheet name="Bilan" sheetId="5" ns1:id="Re6dc107ee3e74749"/>
    <sheet name="Exemple" sheetId="6" ns1:id="R711d2e8396e24c79"/>
    <sheet name="Listes" sheetId="7" ns1:id="Ra83c08515cc14e5a"/>
  </sheets>
  <definedNames>
    <definedName name="CategoriesList">'Listes'!$A$5:$A$12</definedName>
    <definedName name="SplitMethodsList">'Listes'!$B$5:$B$6</definedName>
    <definedName name="YesNoList">'Listes'!$C$5:$C$6</definedName>
    <definedName name="CurrenciesList">'Listes'!$D$5:$D$15</definedName>
    <definedName name="RoommateNames">'Configuration'!$B$9:$B$14</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Red]-#,##0.00;0.00"/>
    <x:numFmt numFmtId="201" formatCode="dd/mm/yyyy"/>
  </x:numFmts>
  <x:fonts count="7">
    <x:font>
      <x:sz val="11"/>
      <x:name val="Carlito"/>
    </x:font>
    <x:font>
      <x:b/>
      <x:sz val="20"/>
      <x:color rgb="FF18212B"/>
      <x:name val="Carlito"/>
    </x:font>
    <x:font>
      <x:sz val="11"/>
      <x:color rgb="FF344054"/>
      <x:name val="Carlito"/>
    </x:font>
    <x:font>
      <x:b/>
      <x:sz val="12"/>
      <x:color rgb="FF18212B"/>
      <x:name val="Carlito"/>
    </x:font>
    <x:font>
      <x:b/>
      <x:sz val="11"/>
      <x:color rgb="FF355428"/>
      <x:name val="Carlito"/>
    </x:font>
    <x:font>
      <x:b/>
      <x:sz val="11"/>
      <x:color rgb="FF18212B"/>
      <x:name val="Carlito"/>
    </x:font>
    <x:font>
      <x:i/>
      <x:sz val="11"/>
      <x:color rgb="FF344054"/>
      <x:name val="Carlito"/>
    </x:font>
  </x:fonts>
  <x:fills count="8">
    <x:fill>
      <x:patternFill patternType="none"/>
    </x:fill>
    <x:fill>
      <x:patternFill patternType="gray125"/>
    </x:fill>
    <x:fill>
      <x:patternFill patternType="solid">
        <x:fgColor rgb="FFAFE67E"/>
      </x:patternFill>
    </x:fill>
    <x:fill>
      <x:patternFill patternType="solid">
        <x:fgColor rgb="FFF8FAFC"/>
      </x:patternFill>
    </x:fill>
    <x:fill>
      <x:patternFill patternType="solid">
        <x:fgColor rgb="FFDFEAF4"/>
      </x:patternFill>
    </x:fill>
    <x:fill>
      <x:patternFill patternType="solid">
        <x:fgColor rgb="FFEAF7DF"/>
      </x:patternFill>
    </x:fill>
    <x:fill>
      <x:patternFill patternType="solid">
        <x:fgColor rgb="FFFFFFFF"/>
      </x:patternFill>
    </x:fill>
    <x:fill>
      <x:patternFill patternType="solid">
        <x:fgColor rgb="FFFFF4C2"/>
      </x:patternFill>
    </x:fill>
  </x:fills>
  <x:borders count="15">
    <x:border>
      <x:left/>
      <x:right/>
      <x:top/>
      <x:bottom/>
      <x:diagonal/>
    </x:border>
    <x:border>
      <x:left/>
      <x:right style="thin">
        <x:color rgb="FFD8E2E8"/>
      </x:right>
      <x:top/>
      <x:bottom style="thin">
        <x:color rgb="FFD8E2E8"/>
      </x:bottom>
      <x:diagonal/>
    </x:border>
    <x:border>
      <x:left style="thin">
        <x:color rgb="FFD8E2E8"/>
      </x:left>
      <x:right style="thin">
        <x:color rgb="FFD8E2E8"/>
      </x:right>
      <x:top/>
      <x:bottom style="thin">
        <x:color rgb="FFD8E2E8"/>
      </x:bottom>
      <x:diagonal/>
    </x:border>
    <x:border>
      <x:left style="thin">
        <x:color rgb="FFD8E2E8"/>
      </x:left>
      <x:right/>
      <x:top/>
      <x:bottom style="thin">
        <x:color rgb="FFD8E2E8"/>
      </x:bottom>
      <x:diagonal/>
    </x:border>
    <x:border>
      <x:left/>
      <x:right style="thin">
        <x:color rgb="FFD8E2E8"/>
      </x:right>
      <x:top style="thin">
        <x:color rgb="FFD8E2E8"/>
      </x:top>
      <x:bottom style="thin">
        <x:color rgb="FFD8E2E8"/>
      </x:bottom>
      <x:diagonal/>
    </x:border>
    <x:border>
      <x:left style="thin">
        <x:color rgb="FFD8E2E8"/>
      </x:left>
      <x:right style="thin">
        <x:color rgb="FFD8E2E8"/>
      </x:right>
      <x:top style="thin">
        <x:color rgb="FFD8E2E8"/>
      </x:top>
      <x:bottom style="thin">
        <x:color rgb="FFD8E2E8"/>
      </x:bottom>
      <x:diagonal/>
    </x:border>
    <x:border>
      <x:left style="thin">
        <x:color rgb="FFD8E2E8"/>
      </x:left>
      <x:right/>
      <x:top style="thin">
        <x:color rgb="FFD8E2E8"/>
      </x:top>
      <x:bottom style="thin">
        <x:color rgb="FFD8E2E8"/>
      </x:bottom>
      <x:diagonal/>
    </x:border>
    <x:border>
      <x:left/>
      <x:right style="thin">
        <x:color rgb="FFD8E2E8"/>
      </x:right>
      <x:top style="thin">
        <x:color rgb="FFD8E2E8"/>
      </x:top>
      <x:bottom/>
      <x:diagonal/>
    </x:border>
    <x:border>
      <x:left style="thin">
        <x:color rgb="FFD8E2E8"/>
      </x:left>
      <x:right style="thin">
        <x:color rgb="FFD8E2E8"/>
      </x:right>
      <x:top style="thin">
        <x:color rgb="FFD8E2E8"/>
      </x:top>
      <x:bottom/>
      <x:diagonal/>
    </x:border>
    <x:border>
      <x:left style="thin">
        <x:color rgb="FFD8E2E8"/>
      </x:left>
      <x:right/>
      <x:top style="thin">
        <x:color rgb="FFD8E2E8"/>
      </x:top>
      <x:bottom/>
      <x:diagonal/>
    </x:border>
    <x:border>
      <x:left/>
      <x:right/>
      <x:top/>
      <x:bottom style="thin">
        <x:color rgb="FFD8E2E8"/>
      </x:bottom>
      <x:diagonal/>
    </x:border>
    <x:border>
      <x:left/>
      <x:right/>
      <x:top style="thin">
        <x:color rgb="FFD8E2E8"/>
      </x:top>
      <x:bottom style="thin">
        <x:color rgb="FFD8E2E8"/>
      </x:bottom>
      <x:diagonal/>
    </x:border>
    <x:border>
      <x:left/>
      <x:right/>
      <x:top style="thin">
        <x:color rgb="FFD8E2E8"/>
      </x:top>
      <x:bottom/>
      <x:diagonal/>
    </x:border>
    <x:border>
      <x:left style="thin">
        <x:color rgb="FFD8E2E8"/>
      </x:left>
      <x:right/>
      <x:top/>
      <x:bottom/>
      <x:diagonal/>
    </x:border>
    <x:border>
      <x:left/>
      <x:right style="thin">
        <x:color rgb="FFD8E2E8"/>
      </x:right>
      <x:top/>
      <x:bottom/>
      <x:diagonal/>
    </x:border>
  </x:borders>
  <x:cellStyleXfs count="1">
    <x:xf numFmtId="0" fontId="0" fillId="0" borderId="0"/>
  </x:cellStyleXfs>
  <x:cellXfs count="10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1" xfId="0" applyNumberFormat="1" applyFont="1" applyFill="1" applyBorder="1"/>
    <x:xf numFmtId="0" fontId="2" fillId="6" borderId="2" xfId="0" applyNumberFormat="1" applyFont="1" applyFill="1" applyBorder="1"/>
    <x:xf numFmtId="0" fontId="2" fillId="6" borderId="3" xfId="0" applyNumberFormat="1" applyFont="1" applyFill="1" applyBorder="1"/>
    <x:xf numFmtId="0" fontId="2" fillId="6" borderId="4" xfId="0" applyNumberFormat="1" applyFont="1" applyFill="1" applyBorder="1"/>
    <x:xf numFmtId="0" fontId="2" fillId="6" borderId="5" xfId="0" applyNumberFormat="1" applyFont="1" applyFill="1" applyBorder="1"/>
    <x:xf numFmtId="0" fontId="2" fillId="6" borderId="6" xfId="0" applyNumberFormat="1" applyFont="1" applyFill="1" applyBorder="1"/>
    <x:xf numFmtId="0" fontId="2" fillId="6" borderId="7" xfId="0" applyNumberFormat="1" applyFont="1" applyFill="1" applyBorder="1"/>
    <x:xf numFmtId="0" fontId="2" fillId="6" borderId="8" xfId="0" applyNumberFormat="1" applyFont="1" applyFill="1" applyBorder="1"/>
    <x:xf numFmtId="0" fontId="2" fillId="6" borderId="9" xfId="0" applyNumberFormat="1" applyFont="1" applyFill="1" applyBorder="1"/>
    <x:xf numFmtId="0" fontId="2" fillId="6" borderId="1" xfId="0" applyNumberFormat="1" applyFont="1" applyFill="1" applyBorder="1" applyAlignment="1">
      <x:alignment wrapText="1"/>
    </x:xf>
    <x:xf numFmtId="0" fontId="2" fillId="6" borderId="2" xfId="0" applyNumberFormat="1" applyFont="1" applyFill="1" applyBorder="1" applyAlignment="1">
      <x:alignment wrapText="1"/>
    </x:xf>
    <x:xf numFmtId="0" fontId="2" fillId="6" borderId="3" xfId="0" applyNumberFormat="1" applyFont="1" applyFill="1" applyBorder="1" applyAlignment="1">
      <x:alignment wrapText="1"/>
    </x:xf>
    <x:xf numFmtId="0" fontId="2" fillId="6" borderId="4" xfId="0" applyNumberFormat="1" applyFont="1" applyFill="1" applyBorder="1" applyAlignment="1">
      <x:alignment wrapText="1"/>
    </x:xf>
    <x:xf numFmtId="0" fontId="2" fillId="6" borderId="5" xfId="0" applyNumberFormat="1" applyFont="1" applyFill="1" applyBorder="1" applyAlignment="1">
      <x:alignment wrapText="1"/>
    </x:xf>
    <x:xf numFmtId="0" fontId="2" fillId="6" borderId="6" xfId="0" applyNumberFormat="1" applyFont="1" applyFill="1" applyBorder="1" applyAlignment="1">
      <x:alignment wrapText="1"/>
    </x:xf>
    <x:xf numFmtId="0" fontId="2" fillId="6" borderId="7" xfId="0" applyNumberFormat="1" applyFont="1" applyFill="1" applyBorder="1" applyAlignment="1">
      <x:alignment wrapText="1"/>
    </x:xf>
    <x:xf numFmtId="0" fontId="2" fillId="6" borderId="8" xfId="0" applyNumberFormat="1" applyFont="1" applyFill="1" applyBorder="1" applyAlignment="1">
      <x:alignment wrapText="1"/>
    </x:xf>
    <x:xf numFmtId="0" fontId="2" fillId="6" borderId="9" xfId="0" applyNumberFormat="1" applyFont="1" applyFill="1" applyBorder="1" applyAlignment="1">
      <x:alignment wrapText="1"/>
    </x:xf>
    <x:xf numFmtId="0" fontId="2" fillId="6" borderId="1" xfId="0" applyNumberFormat="1" applyFont="1" applyFill="1" applyBorder="1" applyAlignment="1">
      <x:alignment vertical="center" wrapText="1"/>
    </x:xf>
    <x:xf numFmtId="0" fontId="2" fillId="6" borderId="2" xfId="0" applyNumberFormat="1" applyFont="1" applyFill="1" applyBorder="1" applyAlignment="1">
      <x:alignment vertical="center" wrapText="1"/>
    </x:xf>
    <x:xf numFmtId="0" fontId="2" fillId="6" borderId="3" xfId="0" applyNumberFormat="1" applyFont="1" applyFill="1" applyBorder="1" applyAlignment="1">
      <x:alignment vertical="center" wrapText="1"/>
    </x:xf>
    <x:xf numFmtId="0" fontId="2" fillId="6" borderId="4" xfId="0" applyNumberFormat="1" applyFont="1" applyFill="1" applyBorder="1" applyAlignment="1">
      <x:alignment vertical="center" wrapText="1"/>
    </x:xf>
    <x:xf numFmtId="0" fontId="2" fillId="6" borderId="5" xfId="0" applyNumberFormat="1" applyFont="1" applyFill="1" applyBorder="1" applyAlignment="1">
      <x:alignment vertical="center" wrapText="1"/>
    </x:xf>
    <x:xf numFmtId="0" fontId="2" fillId="6" borderId="6" xfId="0" applyNumberFormat="1" applyFont="1" applyFill="1" applyBorder="1" applyAlignment="1">
      <x:alignment vertical="center" wrapText="1"/>
    </x:xf>
    <x:xf numFmtId="0" fontId="2" fillId="6" borderId="7" xfId="0" applyNumberFormat="1" applyFont="1" applyFill="1" applyBorder="1" applyAlignment="1">
      <x:alignment vertical="center" wrapText="1"/>
    </x:xf>
    <x:xf numFmtId="0" fontId="2" fillId="6" borderId="8" xfId="0" applyNumberFormat="1" applyFont="1" applyFill="1" applyBorder="1" applyAlignment="1">
      <x:alignment vertical="center" wrapText="1"/>
    </x:xf>
    <x:xf numFmtId="0" fontId="2" fillId="6" borderId="9" xfId="0" applyNumberFormat="1" applyFont="1" applyFill="1" applyBorder="1" applyAlignment="1">
      <x:alignment vertical="center" wrapText="1"/>
    </x:xf>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2" borderId="0" xfId="0" applyNumberFormat="1" applyFont="1" applyFill="1" applyBorder="1"/>
    <x:xf numFmtId="0" fontId="5" fillId="2" borderId="5" xfId="0" applyNumberFormat="1" applyFont="1" applyFill="1" applyBorder="1"/>
    <x:xf numFmtId="0" fontId="5" fillId="2" borderId="5" xfId="0" applyNumberFormat="1" applyFont="1" applyFill="1" applyBorder="1" applyAlignment="1">
      <x:alignment wrapText="1"/>
    </x:xf>
    <x:xf numFmtId="0" fontId="5" fillId="2" borderId="5" xfId="0" applyNumberFormat="1" applyFont="1" applyFill="1" applyBorder="1" applyAlignment="1">
      <x:alignment horizontal="center" wrapText="1"/>
    </x:xf>
    <x:xf numFmtId="0" fontId="5" fillId="2" borderId="5" xfId="0" applyNumberFormat="1" applyFont="1" applyFill="1" applyBorder="1" applyAlignment="1">
      <x:alignment horizontal="center" vertical="center" wrapText="1"/>
    </x:xf>
    <x:xf numFmtId="0" fontId="2" fillId="6" borderId="10" xfId="0" applyNumberFormat="1" applyFont="1" applyFill="1" applyBorder="1"/>
    <x:xf numFmtId="0" fontId="2" fillId="6" borderId="11" xfId="0" applyNumberFormat="1" applyFont="1" applyFill="1" applyBorder="1"/>
    <x:xf numFmtId="0" fontId="2" fillId="6" borderId="10" xfId="0" applyNumberFormat="1" applyFont="1" applyFill="1" applyBorder="1" applyAlignment="1">
      <x:alignment wrapText="1"/>
    </x:xf>
    <x:xf numFmtId="0" fontId="2" fillId="6" borderId="11" xfId="0" applyNumberFormat="1" applyFont="1" applyFill="1" applyBorder="1" applyAlignment="1">
      <x:alignment wrapText="1"/>
    </x:xf>
    <x:xf numFmtId="0" fontId="2" fillId="6" borderId="10"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5" fillId="4" borderId="0" xfId="0" applyNumberFormat="1" applyFont="1" applyFill="1" applyBorder="1"/>
    <x:xf numFmtId="0" fontId="0" fillId="6" borderId="9" xfId="0" applyNumberFormat="1" applyFont="1" applyFill="1" applyBorder="1"/>
    <x:xf numFmtId="0" fontId="0" fillId="6" borderId="12" xfId="0" applyNumberFormat="1" applyFont="1" applyFill="1" applyBorder="1"/>
    <x:xf numFmtId="0" fontId="0" fillId="6" borderId="7"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3" xfId="0" applyNumberFormat="1" applyFont="1" applyFill="1" applyBorder="1"/>
    <x:xf numFmtId="0" fontId="0" fillId="6" borderId="10" xfId="0" applyNumberFormat="1" applyFont="1" applyFill="1" applyBorder="1"/>
    <x:xf numFmtId="0" fontId="0" fillId="6" borderId="1" xfId="0" applyNumberFormat="1" applyFont="1" applyFill="1" applyBorder="1"/>
    <x:xf numFmtId="0" fontId="2" fillId="7" borderId="10" xfId="0" applyNumberFormat="1" applyFont="1" applyFill="1" applyBorder="1" applyAlignment="1">
      <x:alignment vertical="top" wrapText="1"/>
    </x:xf>
    <x:xf numFmtId="0" fontId="2" fillId="7" borderId="11" xfId="0" applyNumberFormat="1" applyFont="1" applyFill="1" applyBorder="1" applyAlignment="1">
      <x:alignment vertical="top" wrapText="1"/>
    </x:xf>
    <x:xf numFmtId="200" fontId="2" fillId="7" borderId="10" xfId="0" applyNumberFormat="1" applyFont="1" applyFill="1" applyBorder="1" applyAlignment="1">
      <x:alignment vertical="top" wrapText="1"/>
    </x:xf>
    <x:xf numFmtId="200" fontId="2" fillId="7" borderId="11" xfId="0" applyNumberFormat="1" applyFont="1" applyFill="1" applyBorder="1" applyAlignment="1">
      <x:alignment vertical="top" wrapText="1"/>
    </x:xf>
    <x:xf numFmtId="200" fontId="0" fillId="0"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201" fontId="2" fillId="6" borderId="10" xfId="0" applyNumberFormat="1" applyFont="1" applyFill="1" applyBorder="1" applyAlignment="1">
      <x:alignment vertical="top" wrapText="1"/>
    </x:xf>
    <x:xf numFmtId="201" fontId="2" fillId="6" borderId="11" xfId="0" applyNumberFormat="1" applyFont="1" applyFill="1" applyBorder="1" applyAlignment="1">
      <x:alignment vertical="top" wrapText="1"/>
    </x:xf>
    <x:xf numFmtId="200" fontId="2" fillId="6" borderId="10" xfId="0" applyNumberFormat="1" applyFont="1" applyFill="1" applyBorder="1" applyAlignment="1">
      <x:alignment vertical="top" wrapText="1"/>
    </x:xf>
    <x:xf numFmtId="200" fontId="2" fillId="6" borderId="11" xfId="0" applyNumberFormat="1" applyFont="1" applyFill="1" applyBorder="1" applyAlignment="1">
      <x:alignment vertical="top" wrapText="1"/>
    </x:xf>
    <x:xf numFmtId="200" fontId="2" fillId="3" borderId="10" xfId="0" applyNumberFormat="1" applyFont="1" applyFill="1" applyBorder="1" applyAlignment="1">
      <x:alignment vertical="top" wrapText="1"/>
    </x:xf>
    <x:xf numFmtId="200" fontId="2" fillId="3" borderId="11" xfId="0" applyNumberFormat="1" applyFont="1" applyFill="1" applyBorder="1" applyAlignment="1">
      <x:alignment vertical="top" wrapText="1"/>
    </x:xf>
    <x:xf numFmtId="0" fontId="5" fillId="3" borderId="0" xfId="0" applyNumberFormat="1" applyFont="1" applyFill="1" applyBorder="1"/>
    <x:xf numFmtId="200" fontId="0" fillId="6" borderId="0" xfId="0" applyNumberFormat="1" applyFont="1" applyFill="1" applyBorder="1"/>
    <x:xf numFmtId="200" fontId="0" fillId="6" borderId="5" xfId="0" applyNumberFormat="1" applyFont="1" applyFill="1" applyBorder="1"/>
    <x:xf numFmtId="0" fontId="0" fillId="6" borderId="5" xfId="0" applyNumberFormat="1" applyFont="1" applyFill="1" applyBorder="1"/>
    <x:xf numFmtId="200" fontId="0" fillId="6" borderId="5" xfId="0" applyNumberFormat="1" applyFont="1" applyFill="1" applyBorder="1" applyAlignment="1">
      <x:alignment wrapText="1"/>
    </x:xf>
    <x:xf numFmtId="0" fontId="0" fillId="6" borderId="5" xfId="0" applyNumberFormat="1" applyFont="1" applyFill="1" applyBorder="1" applyAlignment="1">
      <x:alignment wrapText="1"/>
    </x:xf>
    <x:xf numFmtId="0" fontId="0" fillId="7" borderId="5" xfId="0" applyNumberFormat="1" applyFont="1" applyFill="1" applyBorder="1" applyAlignment="1">
      <x:alignment wrapText="1"/>
    </x:xf>
    <x:xf numFmtId="0" fontId="5" fillId="7" borderId="5" xfId="0" applyNumberFormat="1" applyFont="1" applyFill="1" applyBorder="1" applyAlignment="1">
      <x:alignment wrapText="1"/>
    </x:xf>
    <x:xf numFmtId="0" fontId="5" fillId="7" borderId="5" xfId="0" applyNumberFormat="1" applyFont="1" applyFill="1" applyBorder="1" applyAlignment="1">
      <x:alignment vertical="center" wrapText="1"/>
    </x:xf>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201" fontId="2" fillId="6" borderId="10" xfId="0" applyNumberFormat="1" applyFont="1" applyFill="1" applyBorder="1" applyAlignment="1">
      <x:alignment horizontal="center" vertical="top" wrapText="1"/>
    </x:xf>
    <x:xf numFmtId="201" fontId="2" fillId="6" borderId="11" xfId="0" applyNumberFormat="1" applyFont="1" applyFill="1" applyBorder="1" applyAlignment="1">
      <x:alignment horizontal="center" vertical="top" wrapText="1"/>
    </x:xf>
    <x:xf numFmtId="200" fontId="2" fillId="6" borderId="10" xfId="0" applyNumberFormat="1" applyFont="1" applyFill="1" applyBorder="1" applyAlignment="1">
      <x:alignment horizontal="center" vertical="top" wrapText="1"/>
    </x:xf>
    <x:xf numFmtId="200" fontId="2" fillId="6" borderId="11" xfId="0" applyNumberFormat="1" applyFont="1" applyFill="1" applyBorder="1" applyAlignment="1">
      <x:alignment horizontal="center" vertical="top" wrapText="1"/>
    </x:xf>
    <x:xf numFmtId="200" fontId="5" fillId="6" borderId="10" xfId="0" applyNumberFormat="1" applyFont="1" applyFill="1" applyBorder="1" applyAlignment="1">
      <x:alignment vertical="top" wrapText="1"/>
    </x:xf>
    <x:xf numFmtId="200" fontId="5" fillId="6" borderId="11" xfId="0" applyNumberFormat="1" applyFont="1" applyFill="1" applyBorder="1" applyAlignment="1">
      <x:alignment vertical="top" wrapText="1"/>
    </x:xf>
    <x:xf numFmtId="200" fontId="0" fillId="5" borderId="0" xfId="0" applyNumberFormat="1" applyFont="1" applyFill="1" applyBorder="1"/>
    <x:xf numFmtId="200" fontId="4" fillId="5" borderId="0" xfId="0" applyNumberFormat="1" applyFont="1" applyFill="1" applyBorder="1"/>
    <x:xf numFmtId="0" fontId="4" fillId="5" borderId="5" xfId="0" applyNumberFormat="1" applyFont="1" applyFill="1" applyBorder="1"/>
    <x:xf numFmtId="200" fontId="4" fillId="5" borderId="5" xfId="0" applyNumberFormat="1" applyFont="1" applyFill="1" applyBorder="1"/>
  </x:cellXfs>
  <x:cellStyles count="1">
    <x:cellStyle name="Normal" xfId="0"/>
  </x:cellStyles>
  <x:dxfs count="10">
    <x:dxf>
      <x:font>
        <x:b/>
        <x:color rgb="FF355428"/>
      </x:font>
      <x:fill>
        <x:patternFill patternType="solid">
          <x:bgColor rgb="FFEAF7DF"/>
        </x:patternFill>
      </x:fill>
    </x:dxf>
    <x:dxf>
      <x:font>
        <x:color rgb="FF18212B"/>
      </x:font>
      <x:fill>
        <x:patternFill patternType="solid">
          <x:bgColor rgb="FFFFF4C2"/>
        </x:patternFill>
      </x:fill>
    </x:dxf>
    <x:dxf>
      <x:font>
        <x:b/>
        <x:color rgb="FF355428"/>
      </x:font>
      <x:fill>
        <x:patternFill patternType="solid">
          <x:bgColor rgb="FFEAF7DF"/>
        </x:patternFill>
      </x:fill>
    </x:dxf>
    <x:dxf>
      <x:font>
        <x:color rgb="FF18212B"/>
      </x:font>
      <x:fill>
        <x:patternFill patternType="solid">
          <x:bgColor rgb="FFFFF4C2"/>
        </x:patternFill>
      </x:fill>
    </x:dxf>
    <x:dxf>
      <x:font>
        <x:b/>
        <x:color rgb="FF355428"/>
      </x:font>
      <x:fill>
        <x:patternFill patternType="solid">
          <x:bgColor rgb="FFEAF7DF"/>
        </x:patternFill>
      </x:fill>
    </x:dxf>
    <x:dxf>
      <x:font>
        <x:color rgb="FF18212B"/>
      </x:font>
      <x:fill>
        <x:patternFill patternType="solid">
          <x:bgColor rgb="FFFFF4C2"/>
        </x:patternFill>
      </x:fill>
    </x:dxf>
    <x:dxf>
      <x:font>
        <x:b/>
        <x:color rgb="FF355428"/>
      </x:font>
      <x:fill>
        <x:patternFill patternType="solid">
          <x:bgColor rgb="FFEAF7DF"/>
        </x:patternFill>
      </x:fill>
    </x:dxf>
    <x:dxf>
      <x:font>
        <x:b/>
        <x:color rgb="FF18212B"/>
      </x:font>
      <x:fill>
        <x:patternFill patternType="solid">
          <x:bgColor rgb="FFFFF4C2"/>
        </x:patternFill>
      </x:fill>
    </x:dxf>
    <x:dxf>
      <x:font>
        <x:b/>
        <x:color rgb="FF355428"/>
      </x:font>
      <x:fill>
        <x:patternFill patternType="solid">
          <x:bgColor rgb="FFEAF7DF"/>
        </x:patternFill>
      </x:fill>
    </x:dxf>
    <x:dxf>
      <x:font>
        <x:color rgb="FF18212B"/>
      </x:font>
      <x:fill>
        <x:patternFill patternType="solid">
          <x:bgColor rgb="FFFFF4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6f0bf7793b4011" /><Relationship Type="http://schemas.openxmlformats.org/officeDocument/2006/relationships/theme" Target="/xl/theme/theme1.xml" Id="R9898fc7078ff4005" /><Relationship Type="http://schemas.openxmlformats.org/officeDocument/2006/relationships/sharedStrings" Target="/xl/sharedStrings.xml" Id="R830e269babb141e2" /><Relationship Type="http://schemas.openxmlformats.org/officeDocument/2006/relationships/worksheet" Target="/xl/worksheets/sheet1.xml" Id="R567285b6430e4146" /><Relationship Type="http://schemas.openxmlformats.org/officeDocument/2006/relationships/worksheet" Target="/xl/worksheets/sheet2.xml" Id="Rb39030bfdd434e73" /><Relationship Type="http://schemas.openxmlformats.org/officeDocument/2006/relationships/worksheet" Target="/xl/worksheets/sheet3.xml" Id="R57682885bf83438f" /><Relationship Type="http://schemas.openxmlformats.org/officeDocument/2006/relationships/worksheet" Target="/xl/worksheets/sheet4.xml" Id="Rd9b61797e2c34e80" /><Relationship Type="http://schemas.openxmlformats.org/officeDocument/2006/relationships/worksheet" Target="/xl/worksheets/sheet5.xml" Id="Re6dc107ee3e74749" /><Relationship Type="http://schemas.openxmlformats.org/officeDocument/2006/relationships/worksheet" Target="/xl/worksheets/sheet6.xml" Id="R711d2e8396e24c79" /><Relationship Type="http://schemas.openxmlformats.org/officeDocument/2006/relationships/worksheet" Target="/xl/worksheets/sheet7.xml" Id="Ra83c08515cc14e5a" /></Relationships>
</file>

<file path=xl/tables/table1.xml><?xml version="1.0" encoding="utf-8"?>
<x:table xmlns:x="http://schemas.openxmlformats.org/spreadsheetml/2006/main" id="1" name="RoommateRepayments" displayName="RoommateRepayments" ref="A4:F204" headerRowCount="1" totalsRowCount="0" totalsRowShown="0">
  <x:tableColumns count="6">
    <x:tableColumn id="1" name="Date"/>
    <x:tableColumn id="2" name="De"/>
    <x:tableColumn id="3" name="À"/>
    <x:tableColumn id="4" name="Montant"/>
    <x:tableColumn id="5" name="Note"/>
    <x:tableColumn id="6" name="Vér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28404f9df3d7499b" /></Relationships>
</file>

<file path=xl/worksheets/sheet1.xml><?xml version="1.0" encoding="utf-8"?>
<worksheet xmlns="http://schemas.openxmlformats.org/spreadsheetml/2006/main">
  <sheetViews>
    <sheetView showGridLines="0" workbookViewId="0">
      <pane ySplit="2" topLeftCell="A3" activePane="bottomLeft" state="frozen"/>
    </sheetView>
  </sheetViews>
  <sheetFormatPr defaultRowHeight="15"/>
  <cols>
    <col min="1" max="1" width="8" hidden="0" customWidth="1"/>
    <col min="2" max="2" width="22"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34" customHeight="1">
      <c r="A1" s="4" t="str">
        <v>Dépenses et remboursements en colocation</v>
      </c>
      <c r="B1" s="4" t="str">
        <v>Dépenses et remboursements en colocation</v>
      </c>
      <c r="C1" s="4" t="str">
        <v>Dépenses et remboursements en colocation</v>
      </c>
      <c r="D1" s="4" t="str">
        <v>Dépenses et remboursements en colocation</v>
      </c>
      <c r="E1" s="4" t="str">
        <v>Dépenses et remboursements en colocation</v>
      </c>
      <c r="F1" s="4" t="str">
        <v>Dépenses et remboursements en colocation</v>
      </c>
      <c r="G1" s="4" t="str">
        <v>Dépenses et remboursements en colocation</v>
      </c>
      <c r="H1" s="4" t="str">
        <v>Dépenses et remboursements en colocation</v>
      </c>
    </row>
    <row r="2" ht="30" customHeight="1">
      <c r="A2" s="8" t="str">
        <v>Un tableau réutilisable pour les dépenses convenues entre colocataires, les remboursements, les soldes de départ et le bilan de chaque période.</v>
      </c>
      <c r="B2" s="8" t="str">
        <v>Un tableau réutilisable pour les dépenses convenues entre colocataires, les remboursements, les soldes de départ et le bilan de chaque période.</v>
      </c>
      <c r="C2" s="8" t="str">
        <v>Un tableau réutilisable pour les dépenses convenues entre colocataires, les remboursements, les soldes de départ et le bilan de chaque période.</v>
      </c>
      <c r="D2" s="8" t="str">
        <v>Un tableau réutilisable pour les dépenses convenues entre colocataires, les remboursements, les soldes de départ et le bilan de chaque période.</v>
      </c>
      <c r="E2" s="8" t="str">
        <v>Un tableau réutilisable pour les dépenses convenues entre colocataires, les remboursements, les soldes de départ et le bilan de chaque période.</v>
      </c>
      <c r="F2" s="8" t="str">
        <v>Un tableau réutilisable pour les dépenses convenues entre colocataires, les remboursements, les soldes de départ et le bilan de chaque période.</v>
      </c>
      <c r="G2" s="8" t="str">
        <v>Un tableau réutilisable pour les dépenses convenues entre colocataires, les remboursements, les soldes de départ et le bilan de chaque période.</v>
      </c>
      <c r="H2" s="8" t="str">
        <v>Un tableau réutilisable pour les dépenses convenues entre colocataires, les remboursements, les soldes de départ et le bilan de chaque période.</v>
      </c>
    </row>
    <row r="4">
      <c r="A4" s="11" t="str">
        <v>Préparez votre copie</v>
      </c>
      <c r="B4" s="11" t="str">
        <v>Préparez votre copie</v>
      </c>
      <c r="C4" s="11" t="str">
        <v>Préparez votre copie</v>
      </c>
      <c r="D4" s="11" t="str">
        <v>Préparez votre copie</v>
      </c>
      <c r="E4" s="11" t="str">
        <v>Préparez votre copie</v>
      </c>
      <c r="F4" s="11" t="str">
        <v>Préparez votre copie</v>
      </c>
      <c r="G4" s="11" t="str">
        <v>Préparez votre copie</v>
      </c>
      <c r="H4" s="11" t="str">
        <v>Préparez votre copie</v>
      </c>
    </row>
    <row r="5" ht="34" customHeight="1">
      <c r="A5" s="15" t="n">
        <v>1</v>
      </c>
      <c r="B5" s="36" t="str">
        <v>Ouvrez Configuration et indiquez deux à six noms distincts, une période et une devise.</v>
      </c>
      <c r="C5" s="37"/>
      <c r="D5" s="37"/>
      <c r="E5" s="37"/>
      <c r="F5" s="37"/>
      <c r="G5" s="37"/>
      <c r="H5" s="38"/>
    </row>
    <row r="6" ht="34" customHeight="1">
      <c r="A6" s="15" t="n">
        <v>2</v>
      </c>
      <c r="B6" s="39" t="str">
        <v>Renseignez les soldes de départ uniquement à partir d’un bilan précédent déjà vérifié ensemble.</v>
      </c>
      <c r="C6" s="40"/>
      <c r="D6" s="40"/>
      <c r="E6" s="40"/>
      <c r="F6" s="40"/>
      <c r="G6" s="40"/>
      <c r="H6" s="41"/>
    </row>
    <row r="7" ht="34" customHeight="1">
      <c r="A7" s="15" t="n">
        <v>3</v>
      </c>
      <c r="B7" s="39" t="str">
        <v>Saisissez chaque dépense une seule fois dans Dépenses. Indiquez qui a payé, qui participe et si les parts sont égales ou correspondent à des montants convenus.</v>
      </c>
      <c r="C7" s="40"/>
      <c r="D7" s="40"/>
      <c r="E7" s="40"/>
      <c r="F7" s="40"/>
      <c r="G7" s="40"/>
      <c r="H7" s="41"/>
    </row>
    <row r="8" ht="34" customHeight="1">
      <c r="A8" s="15" t="n">
        <v>4</v>
      </c>
      <c r="B8" s="39" t="str">
        <v>Saisissez les sommes versées entre colocataires dans Remboursements. Ne modifiez pas la dépense d’origine pour y faire apparaître un remboursement.</v>
      </c>
      <c r="C8" s="40"/>
      <c r="D8" s="40"/>
      <c r="E8" s="40"/>
      <c r="F8" s="40"/>
      <c r="G8" s="40"/>
      <c r="H8" s="41"/>
    </row>
    <row r="9" ht="34" customHeight="1">
      <c r="A9" s="15" t="n">
        <v>5</v>
      </c>
      <c r="B9" s="42" t="str">
        <v>Ouvrez Bilan et corrigez tous les points signalés avant d’effectuer les versements proposés.</v>
      </c>
      <c r="C9" s="43"/>
      <c r="D9" s="43"/>
      <c r="E9" s="43"/>
      <c r="F9" s="43"/>
      <c r="G9" s="43"/>
      <c r="H9" s="44"/>
    </row>
    <row r="11">
      <c r="A11" s="11" t="str">
        <v>Comment lire les soldes</v>
      </c>
      <c r="B11" s="11" t="str">
        <v>Comment lire les soldes</v>
      </c>
      <c r="C11" s="11" t="str">
        <v>Comment lire les soldes</v>
      </c>
      <c r="D11" s="11" t="str">
        <v>Comment lire les soldes</v>
      </c>
      <c r="E11" s="11" t="str">
        <v>Comment lire les soldes</v>
      </c>
      <c r="F11" s="11" t="str">
        <v>Comment lire les soldes</v>
      </c>
      <c r="G11" s="11" t="str">
        <v>Comment lire les soldes</v>
      </c>
      <c r="H11" s="11" t="str">
        <v>Comment lire les soldes</v>
      </c>
    </row>
    <row r="12">
      <c r="A12" s="46" t="str">
        <v>Un solde positif correspond à une somme à recevoir. Un solde négatif correspond à une somme à verser. La somme de tous les soldes doit être nulle.</v>
      </c>
      <c r="B12" s="46" t="str">
        <v>Un solde positif correspond à une somme à recevoir. Un solde négatif correspond à une somme à verser. La somme de tous les soldes doit être nulle.</v>
      </c>
      <c r="C12" s="46" t="str">
        <v>Un solde positif correspond à une somme à recevoir. Un solde négatif correspond à une somme à verser. La somme de tous les soldes doit être nulle.</v>
      </c>
      <c r="D12" s="46" t="str">
        <v>Un solde positif correspond à une somme à recevoir. Un solde négatif correspond à une somme à verser. La somme de tous les soldes doit être nulle.</v>
      </c>
      <c r="E12" s="46" t="str">
        <v>Un solde positif correspond à une somme à recevoir. Un solde négatif correspond à une somme à verser. La somme de tous les soldes doit être nulle.</v>
      </c>
      <c r="F12" s="46" t="str">
        <v>Un solde positif correspond à une somme à recevoir. Un solde négatif correspond à une somme à verser. La somme de tous les soldes doit être nulle.</v>
      </c>
      <c r="G12" s="46" t="str">
        <v>Un solde positif correspond à une somme à recevoir. Un solde négatif correspond à une somme à verser. La somme de tous les soldes doit être nulle.</v>
      </c>
      <c r="H12" s="46" t="str">
        <v>Un solde positif correspond à une somme à recevoir. Un solde négatif correspond à une somme à verser. La somme de tous les soldes doit être nulle.</v>
      </c>
    </row>
    <row r="13">
      <c r="A13" s="46" t="str">
        <v>Un solde positif correspond à une somme à recevoir. Un solde négatif correspond à une somme à verser. La somme de tous les soldes doit être nulle.</v>
      </c>
      <c r="B13" s="46" t="str">
        <v>Un solde positif correspond à une somme à recevoir. Un solde négatif correspond à une somme à verser. La somme de tous les soldes doit être nulle.</v>
      </c>
      <c r="C13" s="46" t="str">
        <v>Un solde positif correspond à une somme à recevoir. Un solde négatif correspond à une somme à verser. La somme de tous les soldes doit être nulle.</v>
      </c>
      <c r="D13" s="46" t="str">
        <v>Un solde positif correspond à une somme à recevoir. Un solde négatif correspond à une somme à verser. La somme de tous les soldes doit être nulle.</v>
      </c>
      <c r="E13" s="46" t="str">
        <v>Un solde positif correspond à une somme à recevoir. Un solde négatif correspond à une somme à verser. La somme de tous les soldes doit être nulle.</v>
      </c>
      <c r="F13" s="46" t="str">
        <v>Un solde positif correspond à une somme à recevoir. Un solde négatif correspond à une somme à verser. La somme de tous les soldes doit être nulle.</v>
      </c>
      <c r="G13" s="46" t="str">
        <v>Un solde positif correspond à une somme à recevoir. Un solde négatif correspond à une somme à verser. La somme de tous les soldes doit être nulle.</v>
      </c>
      <c r="H13" s="46" t="str">
        <v>Un solde positif correspond à une somme à recevoir. Un solde négatif correspond à une somme à verser. La somme de tous les soldes doit être nulle.</v>
      </c>
    </row>
    <row r="15">
      <c r="A15" s="11" t="str">
        <v>Confidentialité</v>
      </c>
      <c r="B15" s="11" t="str">
        <v>Confidentialité</v>
      </c>
      <c r="C15" s="11" t="str">
        <v>Confidentialité</v>
      </c>
      <c r="D15" s="11" t="str">
        <v>Confidentialité</v>
      </c>
      <c r="E15" s="11" t="str">
        <v>Confidentialité</v>
      </c>
      <c r="F15" s="11" t="str">
        <v>Confidentialité</v>
      </c>
      <c r="G15" s="11" t="str">
        <v>Confidentialité</v>
      </c>
      <c r="H15" s="11" t="str">
        <v>Confidentialité</v>
      </c>
    </row>
    <row r="16">
      <c r="A16" s="46" t="str">
        <v>Les informations saisies restent dans ce fichier, sauf si vous choisissez de le mettre en ligne ou de le partager.</v>
      </c>
      <c r="B16" s="46" t="str">
        <v>Les informations saisies restent dans ce fichier, sauf si vous choisissez de le mettre en ligne ou de le partager.</v>
      </c>
      <c r="C16" s="46" t="str">
        <v>Les informations saisies restent dans ce fichier, sauf si vous choisissez de le mettre en ligne ou de le partager.</v>
      </c>
      <c r="D16" s="46" t="str">
        <v>Les informations saisies restent dans ce fichier, sauf si vous choisissez de le mettre en ligne ou de le partager.</v>
      </c>
      <c r="E16" s="46" t="str">
        <v>Les informations saisies restent dans ce fichier, sauf si vous choisissez de le mettre en ligne ou de le partager.</v>
      </c>
      <c r="F16" s="46" t="str">
        <v>Les informations saisies restent dans ce fichier, sauf si vous choisissez de le mettre en ligne ou de le partager.</v>
      </c>
      <c r="G16" s="46" t="str">
        <v>Les informations saisies restent dans ce fichier, sauf si vous choisissez de le mettre en ligne ou de le partager.</v>
      </c>
      <c r="H16" s="46" t="str">
        <v>Les informations saisies restent dans ce fichier, sauf si vous choisissez de le mettre en ligne ou de le partager.</v>
      </c>
    </row>
    <row r="17">
      <c r="A17" s="46" t="str">
        <v>Les informations saisies restent dans ce fichier, sauf si vous choisissez de le mettre en ligne ou de le partager.</v>
      </c>
      <c r="B17" s="46" t="str">
        <v>Les informations saisies restent dans ce fichier, sauf si vous choisissez de le mettre en ligne ou de le partager.</v>
      </c>
      <c r="C17" s="46" t="str">
        <v>Les informations saisies restent dans ce fichier, sauf si vous choisissez de le mettre en ligne ou de le partager.</v>
      </c>
      <c r="D17" s="46" t="str">
        <v>Les informations saisies restent dans ce fichier, sauf si vous choisissez de le mettre en ligne ou de le partager.</v>
      </c>
      <c r="E17" s="46" t="str">
        <v>Les informations saisies restent dans ce fichier, sauf si vous choisissez de le mettre en ligne ou de le partager.</v>
      </c>
      <c r="F17" s="46" t="str">
        <v>Les informations saisies restent dans ce fichier, sauf si vous choisissez de le mettre en ligne ou de le partager.</v>
      </c>
      <c r="G17" s="46" t="str">
        <v>Les informations saisies restent dans ce fichier, sauf si vous choisissez de le mettre en ligne ou de le partager.</v>
      </c>
      <c r="H17" s="46" t="str">
        <v>Les informations saisies restent dans ce fichier, sauf si vous choisissez de le mettre en ligne ou de le partager.</v>
      </c>
    </row>
    <row r="19">
      <c r="A19" s="11" t="str">
        <v>Ce que fait ce modèle</v>
      </c>
      <c r="B19" s="11" t="str">
        <v>Ce que fait ce modèle</v>
      </c>
      <c r="C19" s="11" t="str">
        <v>Ce que fait ce modèle</v>
      </c>
      <c r="D19" s="11" t="str">
        <v>Ce que fait ce modèle</v>
      </c>
      <c r="E19" s="11" t="str">
        <v>Ce que fait ce modèle</v>
      </c>
      <c r="F19" s="11" t="str">
        <v>Ce que fait ce modèle</v>
      </c>
      <c r="G19" s="11" t="str">
        <v>Ce que fait ce modèle</v>
      </c>
      <c r="H19" s="11" t="str">
        <v>Ce que fait ce modèle</v>
      </c>
    </row>
    <row r="20">
      <c r="A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B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C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D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E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F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G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H20"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row>
    <row r="21">
      <c r="A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B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C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D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E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F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G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H21"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row>
    <row r="22">
      <c r="A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B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C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D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E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F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G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c r="H22" s="46" t="str">
        <v>Ce modèle consigne des dépenses et des parts déjà comprises et acceptées par les colocataires. Il ne détermine pas un loyer équitable, ne crée ni ne prouve une obligation juridique de paiement, n’effectue aucun paiement ou recouvrement et ne remplace ni un bail ni un accord de colocation.</v>
      </c>
    </row>
  </sheetData>
  <mergeCells>
    <mergeCell ref="A1:H1"/>
    <mergeCell ref="A2:H2"/>
    <mergeCell ref="A4:H4"/>
    <mergeCell ref="B5:H5"/>
    <mergeCell ref="B6:H6"/>
    <mergeCell ref="B7:H7"/>
    <mergeCell ref="B8:H8"/>
    <mergeCell ref="B9:H9"/>
    <mergeCell ref="A11:H11"/>
    <mergeCell ref="A12:H13"/>
    <mergeCell ref="A15:H15"/>
    <mergeCell ref="A16:H17"/>
    <mergeCell ref="A19:H19"/>
    <mergeCell ref="A20:H22"/>
  </mergeCells>
  <pageMargins left="0.7" right="0.7" top="0.75" bottom="0.75" header="0.3" footer="0.3"/>
</worksheet>
</file>

<file path=xl/worksheets/sheet2.xml><?xml version="1.0" encoding="utf-8"?>
<worksheet xmlns="http://schemas.openxmlformats.org/spreadsheetml/2006/main">
  <sheetViews>
    <sheetView showGridLines="0" workbookViewId="0">
      <pane ySplit="8" topLeftCell="A9" activePane="bottomLeft" state="frozen"/>
    </sheetView>
  </sheetViews>
  <sheetFormatPr defaultRowHeight="15"/>
  <cols>
    <col min="1" max="1" width="30" hidden="0" customWidth="1"/>
    <col min="2" max="2" width="24" hidden="0" customWidth="1"/>
    <col min="3" max="3" width="20" hidden="0" customWidth="1"/>
    <col min="4" max="4" width="16" hidden="0" customWidth="1"/>
    <col min="5" max="5" width="16" hidden="0" customWidth="1"/>
    <col min="6" max="6" width="16" hidden="0" customWidth="1"/>
  </cols>
  <sheetData>
    <row r="1" ht="34" customHeight="1">
      <c r="A1" s="4" t="str">
        <v>Configurer la colocation</v>
      </c>
      <c r="B1" s="4" t="str">
        <v>Configurer la colocation</v>
      </c>
      <c r="C1" s="4" t="str">
        <v>Configurer la colocation</v>
      </c>
      <c r="D1" s="4" t="str">
        <v>Configurer la colocation</v>
      </c>
      <c r="E1" s="4" t="str">
        <v>Configurer la colocation</v>
      </c>
      <c r="F1" s="4" t="str">
        <v>Configurer la colocation</v>
      </c>
    </row>
    <row r="2" ht="30" customHeight="1">
      <c r="A2" s="8" t="str">
        <v>Indiquez deux à six noms distincts. Utilisez une seule devise pour l’ensemble du fichier.</v>
      </c>
      <c r="B2" s="8" t="str">
        <v>Indiquez deux à six noms distincts. Utilisez une seule devise pour l’ensemble du fichier.</v>
      </c>
      <c r="C2" s="8" t="str">
        <v>Indiquez deux à six noms distincts. Utilisez une seule devise pour l’ensemble du fichier.</v>
      </c>
      <c r="D2" s="8" t="str">
        <v>Indiquez deux à six noms distincts. Utilisez une seule devise pour l’ensemble du fichier.</v>
      </c>
      <c r="E2" s="8" t="str">
        <v>Indiquez deux à six noms distincts. Utilisez une seule devise pour l’ensemble du fichier.</v>
      </c>
      <c r="F2" s="8" t="str">
        <v>Indiquez deux à six noms distincts. Utilisez une seule devise pour l’ensemble du fichier.</v>
      </c>
    </row>
    <row r="4">
      <c r="A4" s="58" t="str">
        <v>Nom de la colocation (facultatif)</v>
      </c>
      <c r="B4" s="59"/>
      <c r="C4" s="60"/>
      <c r="D4" s="61"/>
    </row>
    <row r="5">
      <c r="A5" s="58" t="str">
        <v>Période</v>
      </c>
      <c r="B5" s="62"/>
      <c r="C5" s="16"/>
      <c r="D5" s="63"/>
    </row>
    <row r="6">
      <c r="A6" s="58" t="str">
        <v>Devise</v>
      </c>
      <c r="B6" s="64"/>
      <c r="C6" s="65"/>
      <c r="D6" s="66"/>
    </row>
    <row r="8" ht="34" customHeight="1">
      <c r="A8" s="51" t="str">
        <v>Colocataire</v>
      </c>
      <c r="B8" s="51" t="str">
        <v>Nom</v>
      </c>
      <c r="C8" s="51" t="str">
        <v>Solde de départ</v>
      </c>
    </row>
    <row r="9">
      <c r="A9" s="56" t="str">
        <v>Nom de la personne 1</v>
      </c>
      <c r="B9" s="67"/>
      <c r="C9" s="69" t="n">
        <v>0</v>
      </c>
    </row>
    <row r="10">
      <c r="A10" s="57" t="str">
        <v>Nom de la personne 2</v>
      </c>
      <c r="B10" s="68"/>
      <c r="C10" s="70" t="n">
        <v>0</v>
      </c>
    </row>
    <row r="11">
      <c r="A11" s="57" t="str">
        <v>Nom de la personne 3</v>
      </c>
      <c r="B11" s="68"/>
      <c r="C11" s="70" t="n">
        <v>0</v>
      </c>
    </row>
    <row r="12">
      <c r="A12" s="57" t="str">
        <v>Nom de la personne 4</v>
      </c>
      <c r="B12" s="68"/>
      <c r="C12" s="70" t="n">
        <v>0</v>
      </c>
    </row>
    <row r="13">
      <c r="A13" s="57" t="str">
        <v>Nom de la personne 5</v>
      </c>
      <c r="B13" s="68"/>
      <c r="C13" s="70" t="n">
        <v>0</v>
      </c>
    </row>
    <row r="14">
      <c r="A14" s="57" t="str">
        <v>Nom de la personne 6</v>
      </c>
      <c r="B14" s="68"/>
      <c r="C14" s="70" t="n">
        <v>0</v>
      </c>
    </row>
    <row r="16">
      <c r="A16" t="str">
        <v>Total des soldes de départ</v>
      </c>
      <c r="B16"/>
      <c r="C16" s="71" t="n">
        <f>SUM(C9:C14)</f>
        <v>0</v>
      </c>
    </row>
    <row r="17">
      <c r="A17" s="75" t="str">
        <f>IF(COUNTIF(B9:B14,"&lt;&gt;")&lt;2,"Indiquez au moins deux noms.",IF(OR(AND(B9&lt;&gt;"",COUNTIF($B$9:$B$14,B9)&gt;1),AND(B10&lt;&gt;"",COUNTIF($B$9:$B$14,B10)&gt;1),AND(B11&lt;&gt;"",COUNTIF($B$9:$B$14,B11)&gt;1),AND(B12&lt;&gt;"",COUNTIF($B$9:$B$14,B12)&gt;1),AND(B13&lt;&gt;"",COUNTIF($B$9:$B$14,B13)&gt;1),AND(B14&lt;&gt;"",COUNTIF($B$9:$B$14,B14)&gt;1)),"Utilisez un nom distinct pour chaque personne.",IF(ABS(C16)&gt;0.01,"Les soldes de départ ne s’équilibrent pas. Vérifiez que leur total est égal à 0,00.","Vérifié : le total des soldes de départ est égal à 0,00.")))</f>
        <v>Indiquez au moins deux noms.</v>
      </c>
      <c r="B17" s="75"/>
      <c r="C17" s="75"/>
      <c r="D17" s="75"/>
      <c r="E17" s="75"/>
      <c r="F17" s="75"/>
    </row>
    <row r="18">
      <c r="A18" s="75"/>
      <c r="B18" s="75"/>
      <c r="C18" s="75"/>
      <c r="D18" s="75"/>
      <c r="E18" s="75"/>
      <c r="F18" s="75"/>
    </row>
    <row r="20">
      <c r="A20" s="77" t="str">
        <v>Saisissez un solde de départ positif si la personne doit recevoir de l’argent, et négatif si elle doit en verser.</v>
      </c>
      <c r="B20" s="77" t="str">
        <v>Saisissez un solde de départ positif si la personne doit recevoir de l’argent, et négatif si elle doit en verser.</v>
      </c>
      <c r="C20" s="77" t="str">
        <v>Saisissez un solde de départ positif si la personne doit recevoir de l’argent, et négatif si elle doit en verser.</v>
      </c>
      <c r="D20" s="77" t="str">
        <v>Saisissez un solde de départ positif si la personne doit recevoir de l’argent, et négatif si elle doit en verser.</v>
      </c>
      <c r="E20" s="77" t="str">
        <v>Saisissez un solde de départ positif si la personne doit recevoir de l’argent, et négatif si elle doit en verser.</v>
      </c>
      <c r="F20" s="77" t="str">
        <v>Saisissez un solde de départ positif si la personne doit recevoir de l’argent, et négatif si elle doit en verser.</v>
      </c>
    </row>
    <row r="21">
      <c r="A21" s="77" t="str">
        <v>Reprenez les soldes de départ d’un seul bilan précédent déjà vérifié. Leur somme doit être nulle.</v>
      </c>
      <c r="B21" s="77" t="str">
        <v>Reprenez les soldes de départ d’un seul bilan précédent déjà vérifié. Leur somme doit être nulle.</v>
      </c>
      <c r="C21" s="77" t="str">
        <v>Reprenez les soldes de départ d’un seul bilan précédent déjà vérifié. Leur somme doit être nulle.</v>
      </c>
      <c r="D21" s="77" t="str">
        <v>Reprenez les soldes de départ d’un seul bilan précédent déjà vérifié. Leur somme doit être nulle.</v>
      </c>
      <c r="E21" s="77" t="str">
        <v>Reprenez les soldes de départ d’un seul bilan précédent déjà vérifié. Leur somme doit être nulle.</v>
      </c>
      <c r="F21" s="77" t="str">
        <v>Reprenez les soldes de départ d’un seul bilan précédent déjà vérifié. Leur somme doit être nulle.</v>
      </c>
    </row>
    <row r="22">
      <c r="A22" s="77" t="str">
        <v>Reprenez les soldes de départ d’un seul bilan précédent déjà vérifié. Leur somme doit être nulle.</v>
      </c>
      <c r="B22" s="77" t="str">
        <v>Reprenez les soldes de départ d’un seul bilan précédent déjà vérifié. Leur somme doit être nulle.</v>
      </c>
      <c r="C22" s="77" t="str">
        <v>Reprenez les soldes de départ d’un seul bilan précédent déjà vérifié. Leur somme doit être nulle.</v>
      </c>
      <c r="D22" s="77" t="str">
        <v>Reprenez les soldes de départ d’un seul bilan précédent déjà vérifié. Leur somme doit être nulle.</v>
      </c>
      <c r="E22" s="77" t="str">
        <v>Reprenez les soldes de départ d’un seul bilan précédent déjà vérifié. Leur somme doit être nulle.</v>
      </c>
      <c r="F22" s="77" t="str">
        <v>Reprenez les soldes de départ d’un seul bilan précédent déjà vérifié. Leur somme doit être nulle.</v>
      </c>
    </row>
  </sheetData>
  <mergeCells>
    <mergeCell ref="A1:F1"/>
    <mergeCell ref="A2:F2"/>
    <mergeCell ref="B4:D4"/>
    <mergeCell ref="B5:D5"/>
    <mergeCell ref="B6:D6"/>
    <mergeCell ref="A17:F18"/>
    <mergeCell ref="A20:F20"/>
    <mergeCell ref="A21:F22"/>
  </mergeCells>
  <conditionalFormatting sqref="A17:F18">
    <cfRule type="containsText" dxfId="0" priority="1" operator="containsText" text="Vérifié"/>
    <cfRule type="notContainsText" dxfId="1" priority="2" text="Vérifié"/>
  </conditionalFormatting>
  <dataValidations count="1">
    <dataValidation type="list" sqref="B6">
      <formula1>CurrenciesList</formula1>
    </dataValidation>
  </dataValidations>
  <pageMargins left="0.7" right="0.7" top="0.75" bottom="0.75" header="0.3" footer="0.3"/>
</worksheet>
</file>

<file path=xl/worksheets/sheet3.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13" hidden="0" customWidth="1"/>
    <col min="2" max="2" width="24" hidden="0" customWidth="1"/>
    <col min="3" max="3" width="22" hidden="0" customWidth="1"/>
    <col min="4" max="4" width="15" hidden="0" customWidth="1"/>
    <col min="5" max="5" width="19" hidden="0" customWidth="1"/>
    <col min="6" max="6" width="31" hidden="0" customWidth="1"/>
    <col min="7" max="7" width="15" hidden="0" customWidth="1"/>
    <col min="8" max="8" width="15" hidden="0" customWidth="1"/>
    <col min="9" max="9" width="15" hidden="0" customWidth="1"/>
    <col min="10" max="10" width="15" hidden="0" customWidth="1"/>
    <col min="11" max="11" width="15" hidden="0" customWidth="1"/>
    <col min="12" max="12" width="15" hidden="0" customWidth="1"/>
    <col min="13" max="13" width="16" hidden="0" customWidth="1"/>
    <col min="14" max="14" width="16" hidden="0" customWidth="1"/>
    <col min="15" max="15" width="16" hidden="0" customWidth="1"/>
    <col min="16" max="16" width="16" hidden="0" customWidth="1"/>
    <col min="17" max="17" width="16" hidden="0" customWidth="1"/>
    <col min="18" max="18" width="16" hidden="0" customWidth="1"/>
    <col min="19" max="19" width="30" hidden="0" customWidth="1"/>
    <col min="20" max="20" width="16" hidden="0" customWidth="1"/>
    <col min="21" max="21" width="16" hidden="0" customWidth="1"/>
    <col min="22" max="22" width="16" hidden="0" customWidth="1"/>
    <col min="23" max="23" width="16" hidden="0" customWidth="1"/>
    <col min="24" max="24" width="16" hidden="0" customWidth="1"/>
    <col min="25" max="25" width="16" hidden="0" customWidth="1"/>
    <col min="26" max="26" width="43" hidden="0" customWidth="1"/>
  </cols>
  <sheetData>
    <row r="1" ht="34" customHeight="1">
      <c r="A1" s="4" t="str">
        <v>Dépenses communes</v>
      </c>
      <c r="B1" s="4" t="str">
        <v>Dépenses communes</v>
      </c>
      <c r="C1" s="4" t="str">
        <v>Dépenses communes</v>
      </c>
      <c r="D1" s="4" t="str">
        <v>Dépenses communes</v>
      </c>
      <c r="E1" s="4" t="str">
        <v>Dépenses communes</v>
      </c>
      <c r="F1" s="4" t="str">
        <v>Dépenses communes</v>
      </c>
      <c r="G1" s="4" t="str">
        <v>Dépenses communes</v>
      </c>
      <c r="H1" s="4" t="str">
        <v>Dépenses communes</v>
      </c>
      <c r="I1" s="4" t="str">
        <v>Dépenses communes</v>
      </c>
      <c r="J1" s="4" t="str">
        <v>Dépenses communes</v>
      </c>
      <c r="K1" s="4" t="str">
        <v>Dépenses communes</v>
      </c>
      <c r="L1" s="4" t="str">
        <v>Dépenses communes</v>
      </c>
      <c r="M1" s="4" t="str">
        <v>Dépenses communes</v>
      </c>
      <c r="N1" s="4" t="str">
        <v>Dépenses communes</v>
      </c>
      <c r="O1" s="4" t="str">
        <v>Dépenses communes</v>
      </c>
      <c r="P1" s="4" t="str">
        <v>Dépenses communes</v>
      </c>
      <c r="Q1" s="4" t="str">
        <v>Dépenses communes</v>
      </c>
      <c r="R1" s="4" t="str">
        <v>Dépenses communes</v>
      </c>
      <c r="S1" s="4" t="str">
        <v>Dépenses communes</v>
      </c>
      <c r="T1" s="4" t="str">
        <v>Dépenses communes</v>
      </c>
      <c r="U1" s="4" t="str">
        <v>Dépenses communes</v>
      </c>
      <c r="V1" s="4" t="str">
        <v>Dépenses communes</v>
      </c>
      <c r="W1" s="4" t="str">
        <v>Dépenses communes</v>
      </c>
      <c r="X1" s="4" t="str">
        <v>Dépenses communes</v>
      </c>
      <c r="Y1" s="4" t="str">
        <v>Dépenses communes</v>
      </c>
      <c r="Z1" s="4" t="str">
        <v>Dépenses communes</v>
      </c>
    </row>
    <row r="2" ht="30" customHeight="1">
      <c r="A2" s="8" t="str">
        <v>Saisissez chaque dépense une seule fois. Répartissez-la à parts égales entre les personnes concernées, ou indiquez les montants déjà convenus ensemble.</v>
      </c>
      <c r="B2" s="8" t="str">
        <v>Saisissez chaque dépense une seule fois. Répartissez-la à parts égales entre les personnes concernées, ou indiquez les montants déjà convenus ensemble.</v>
      </c>
      <c r="C2" s="8" t="str">
        <v>Saisissez chaque dépense une seule fois. Répartissez-la à parts égales entre les personnes concernées, ou indiquez les montants déjà convenus ensemble.</v>
      </c>
      <c r="D2" s="8" t="str">
        <v>Saisissez chaque dépense une seule fois. Répartissez-la à parts égales entre les personnes concernées, ou indiquez les montants déjà convenus ensemble.</v>
      </c>
      <c r="E2" s="8" t="str">
        <v>Saisissez chaque dépense une seule fois. Répartissez-la à parts égales entre les personnes concernées, ou indiquez les montants déjà convenus ensemble.</v>
      </c>
      <c r="F2" s="8" t="str">
        <v>Saisissez chaque dépense une seule fois. Répartissez-la à parts égales entre les personnes concernées, ou indiquez les montants déjà convenus ensemble.</v>
      </c>
      <c r="G2" s="8" t="str">
        <v>Saisissez chaque dépense une seule fois. Répartissez-la à parts égales entre les personnes concernées, ou indiquez les montants déjà convenus ensemble.</v>
      </c>
      <c r="H2" s="8" t="str">
        <v>Saisissez chaque dépense une seule fois. Répartissez-la à parts égales entre les personnes concernées, ou indiquez les montants déjà convenus ensemble.</v>
      </c>
      <c r="I2" s="8" t="str">
        <v>Saisissez chaque dépense une seule fois. Répartissez-la à parts égales entre les personnes concernées, ou indiquez les montants déjà convenus ensemble.</v>
      </c>
      <c r="J2" s="8" t="str">
        <v>Saisissez chaque dépense une seule fois. Répartissez-la à parts égales entre les personnes concernées, ou indiquez les montants déjà convenus ensemble.</v>
      </c>
      <c r="K2" s="8" t="str">
        <v>Saisissez chaque dépense une seule fois. Répartissez-la à parts égales entre les personnes concernées, ou indiquez les montants déjà convenus ensemble.</v>
      </c>
      <c r="L2" s="8" t="str">
        <v>Saisissez chaque dépense une seule fois. Répartissez-la à parts égales entre les personnes concernées, ou indiquez les montants déjà convenus ensemble.</v>
      </c>
      <c r="M2" s="8" t="str">
        <v>Saisissez chaque dépense une seule fois. Répartissez-la à parts égales entre les personnes concernées, ou indiquez les montants déjà convenus ensemble.</v>
      </c>
      <c r="N2" s="8" t="str">
        <v>Saisissez chaque dépense une seule fois. Répartissez-la à parts égales entre les personnes concernées, ou indiquez les montants déjà convenus ensemble.</v>
      </c>
      <c r="O2" s="8" t="str">
        <v>Saisissez chaque dépense une seule fois. Répartissez-la à parts égales entre les personnes concernées, ou indiquez les montants déjà convenus ensemble.</v>
      </c>
      <c r="P2" s="8" t="str">
        <v>Saisissez chaque dépense une seule fois. Répartissez-la à parts égales entre les personnes concernées, ou indiquez les montants déjà convenus ensemble.</v>
      </c>
      <c r="Q2" s="8" t="str">
        <v>Saisissez chaque dépense une seule fois. Répartissez-la à parts égales entre les personnes concernées, ou indiquez les montants déjà convenus ensemble.</v>
      </c>
      <c r="R2" s="8" t="str">
        <v>Saisissez chaque dépense une seule fois. Répartissez-la à parts égales entre les personnes concernées, ou indiquez les montants déjà convenus ensemble.</v>
      </c>
      <c r="S2" s="8" t="str">
        <v>Saisissez chaque dépense une seule fois. Répartissez-la à parts égales entre les personnes concernées, ou indiquez les montants déjà convenus ensemble.</v>
      </c>
      <c r="T2" s="8" t="str">
        <v>Saisissez chaque dépense une seule fois. Répartissez-la à parts égales entre les personnes concernées, ou indiquez les montants déjà convenus ensemble.</v>
      </c>
      <c r="U2" s="8" t="str">
        <v>Saisissez chaque dépense une seule fois. Répartissez-la à parts égales entre les personnes concernées, ou indiquez les montants déjà convenus ensemble.</v>
      </c>
      <c r="V2" s="8" t="str">
        <v>Saisissez chaque dépense une seule fois. Répartissez-la à parts égales entre les personnes concernées, ou indiquez les montants déjà convenus ensemble.</v>
      </c>
      <c r="W2" s="8" t="str">
        <v>Saisissez chaque dépense une seule fois. Répartissez-la à parts égales entre les personnes concernées, ou indiquez les montants déjà convenus ensemble.</v>
      </c>
      <c r="X2" s="8" t="str">
        <v>Saisissez chaque dépense une seule fois. Répartissez-la à parts égales entre les personnes concernées, ou indiquez les montants déjà convenus ensemble.</v>
      </c>
      <c r="Y2" s="8" t="str">
        <v>Saisissez chaque dépense une seule fois. Répartissez-la à parts égales entre les personnes concernées, ou indiquez les montants déjà convenus ensemble.</v>
      </c>
      <c r="Z2" s="8" t="str">
        <v>Saisissez chaque dépense une seule fois. Répartissez-la à parts égales entre les personnes concernées, ou indiquez les montants déjà convenus ensemble.</v>
      </c>
    </row>
    <row r="3">
      <c r="A3" s="79" t="str">
        <v>Détails de la dépense</v>
      </c>
      <c r="B3" s="79"/>
      <c r="C3" s="79"/>
      <c r="D3" s="79"/>
      <c r="E3" s="79"/>
      <c r="F3" s="79"/>
      <c r="G3" s="79" t="str">
        <v>Participe ?</v>
      </c>
      <c r="H3" s="79"/>
      <c r="I3" s="79"/>
      <c r="J3" s="79"/>
      <c r="K3" s="79"/>
      <c r="L3" s="79"/>
      <c r="M3" s="79" t="str">
        <v>Montants convenus</v>
      </c>
      <c r="N3" s="79"/>
      <c r="O3" s="79"/>
      <c r="P3" s="79"/>
      <c r="Q3" s="79"/>
      <c r="R3" s="79"/>
      <c r="S3" s="79" t="str">
        <v>Notes</v>
      </c>
      <c r="T3" s="79" t="str">
        <v>Parts calculées</v>
      </c>
      <c r="U3" s="79"/>
      <c r="V3" s="79"/>
      <c r="W3" s="79"/>
      <c r="X3" s="79"/>
      <c r="Y3" s="79"/>
      <c r="Z3" s="79" t="str">
        <v>Vérification</v>
      </c>
    </row>
    <row r="4" ht="34" customHeight="1">
      <c r="A4" s="51" t="str">
        <v>Date</v>
      </c>
      <c r="B4" s="51" t="str">
        <v>Dépense</v>
      </c>
      <c r="C4" s="51" t="str">
        <v>Catégorie</v>
      </c>
      <c r="D4" s="51" t="str">
        <v>Montant</v>
      </c>
      <c r="E4" s="51" t="str">
        <v>Payé par</v>
      </c>
      <c r="F4" s="51" t="str">
        <v>Répartition</v>
      </c>
      <c r="G4" s="51" t="str">
        <f>IF('Configuration'!B9="","Personne 1",'Configuration'!B9)</f>
        <v>Personne 1</v>
      </c>
      <c r="H4" s="51" t="str">
        <f>IF('Configuration'!B10="","Personne 2",'Configuration'!B10)</f>
        <v>Personne 2</v>
      </c>
      <c r="I4" s="51" t="str">
        <f>IF('Configuration'!B11="","Personne 3",'Configuration'!B11)</f>
        <v>Personne 3</v>
      </c>
      <c r="J4" s="51" t="str">
        <f>IF('Configuration'!B12="","Personne 4",'Configuration'!B12)</f>
        <v>Personne 4</v>
      </c>
      <c r="K4" s="51" t="str">
        <f>IF('Configuration'!B13="","Personne 5",'Configuration'!B13)</f>
        <v>Personne 5</v>
      </c>
      <c r="L4" s="51" t="str">
        <f>IF('Configuration'!B14="","Personne 6",'Configuration'!B14)</f>
        <v>Personne 6</v>
      </c>
      <c r="M4" s="51" t="str">
        <f>IF('Configuration'!B9="","Personne 1",'Configuration'!B9)</f>
        <v>Personne 1</v>
      </c>
      <c r="N4" s="51" t="str">
        <f>IF('Configuration'!B10="","Personne 2",'Configuration'!B10)</f>
        <v>Personne 2</v>
      </c>
      <c r="O4" s="51" t="str">
        <f>IF('Configuration'!B11="","Personne 3",'Configuration'!B11)</f>
        <v>Personne 3</v>
      </c>
      <c r="P4" s="51" t="str">
        <f>IF('Configuration'!B12="","Personne 4",'Configuration'!B12)</f>
        <v>Personne 4</v>
      </c>
      <c r="Q4" s="51" t="str">
        <f>IF('Configuration'!B13="","Personne 5",'Configuration'!B13)</f>
        <v>Personne 5</v>
      </c>
      <c r="R4" s="51" t="str">
        <f>IF('Configuration'!B14="","Personne 6",'Configuration'!B14)</f>
        <v>Personne 6</v>
      </c>
      <c r="S4" s="51" t="str">
        <v>Notes</v>
      </c>
      <c r="T4" s="51" t="str">
        <f>IF('Configuration'!B9="","Personne 1",'Configuration'!B9)</f>
        <v>Personne 1</v>
      </c>
      <c r="U4" s="51" t="str">
        <f>IF('Configuration'!B10="","Personne 2",'Configuration'!B10)</f>
        <v>Personne 2</v>
      </c>
      <c r="V4" s="51" t="str">
        <f>IF('Configuration'!B11="","Personne 3",'Configuration'!B11)</f>
        <v>Personne 3</v>
      </c>
      <c r="W4" s="51" t="str">
        <f>IF('Configuration'!B12="","Personne 4",'Configuration'!B12)</f>
        <v>Personne 4</v>
      </c>
      <c r="X4" s="51" t="str">
        <f>IF('Configuration'!B13="","Personne 5",'Configuration'!B13)</f>
        <v>Personne 5</v>
      </c>
      <c r="Y4" s="51" t="str">
        <f>IF('Configuration'!B14="","Personne 6",'Configuration'!B14)</f>
        <v>Personne 6</v>
      </c>
      <c r="Z4" s="51" t="str">
        <v>Vérifier les parts</v>
      </c>
    </row>
    <row r="5">
      <c r="A5" s="82"/>
      <c r="B5" s="56"/>
      <c r="C5" s="56"/>
      <c r="D5" s="84"/>
      <c r="E5" s="56"/>
      <c r="F5" s="56"/>
      <c r="G5" s="56"/>
      <c r="H5" s="56"/>
      <c r="I5" s="56"/>
      <c r="J5" s="56"/>
      <c r="K5" s="56"/>
      <c r="L5" s="56"/>
      <c r="M5" s="84"/>
      <c r="N5" s="84"/>
      <c r="O5" s="84"/>
      <c r="P5" s="84"/>
      <c r="Q5" s="84"/>
      <c r="R5" s="84"/>
      <c r="S5" s="56"/>
      <c r="T5" s="86" t="str">
        <f>IF(COUNTIF($A5:$S5,"&lt;&gt;")=0,"",IF($F5="À parts égales entre participants",IF(G5&lt;&gt;"Oui",0,IF(COUNTIF($H5:$L5,"Oui")=0,$D5-0,ROUND($D5/COUNTIF($G5:$L5,"Oui"),2))),IF($F5="Montants convenus",IF(G5="Oui",M5,0),"")))</f>
      </c>
      <c r="U5" s="86" t="str">
        <f>IF(COUNTIF($A5:$S5,"&lt;&gt;")=0,"",IF($F5="À parts égales entre participants",IF(H5&lt;&gt;"Oui",0,IF(COUNTIF($I5:$L5,"Oui")=0,$D5-SUM($T5:T5),ROUND($D5/COUNTIF($G5:$L5,"Oui"),2))),IF($F5="Montants convenus",IF(H5="Oui",N5,0),"")))</f>
      </c>
      <c r="V5" s="86" t="str">
        <f>IF(COUNTIF($A5:$S5,"&lt;&gt;")=0,"",IF($F5="À parts égales entre participants",IF(I5&lt;&gt;"Oui",0,IF(COUNTIF($J5:$L5,"Oui")=0,$D5-SUM($T5:U5),ROUND($D5/COUNTIF($G5:$L5,"Oui"),2))),IF($F5="Montants convenus",IF(I5="Oui",O5,0),"")))</f>
      </c>
      <c r="W5" s="86" t="str">
        <f>IF(COUNTIF($A5:$S5,"&lt;&gt;")=0,"",IF($F5="À parts égales entre participants",IF(J5&lt;&gt;"Oui",0,IF(COUNTIF($K5:$L5,"Oui")=0,$D5-SUM($T5:V5),ROUND($D5/COUNTIF($G5:$L5,"Oui"),2))),IF($F5="Montants convenus",IF(J5="Oui",P5,0),"")))</f>
      </c>
      <c r="X5" s="86" t="str">
        <f>IF(COUNTIF($A5:$S5,"&lt;&gt;")=0,"",IF($F5="À parts égales entre participants",IF(K5&lt;&gt;"Oui",0,IF(COUNTIF($L5:$L5,"Oui")=0,$D5-SUM($T5:W5),ROUND($D5/COUNTIF($G5:$L5,"Oui"),2))),IF($F5="Montants convenus",IF(K5="Oui",Q5,0),"")))</f>
      </c>
      <c r="Y5" s="86" t="str">
        <f>IF(COUNTIF($A5:$S5,"&lt;&gt;")=0,"",IF($F5="À parts égales entre participants",IF(L5&lt;&gt;"Oui",0,IF(0=0,$D5-SUM($T5:X5),ROUND($D5/COUNTIF($G5:$L5,"Oui"),2))),IF($F5="Montants convenus",IF(L5="Oui",R5,0),"")))</f>
      </c>
      <c r="Z5" s="80" t="str">
        <f>IF(COUNTIF($A5:$S5,"&lt;&gt;")=0,"",IF(OR($D5="",$D5&lt;=0),"Saisissez un montant supérieur à zéro.",IF($E5="","Sélectionnez la personne qui a payé.",IF(COUNTIF($G5:$L5,"Oui")=0,"Sélectionnez au moins une personne participante.",IF($F5="À parts égales entre participants","Vérifié",IF($F5="Montants convenus",IF(OR(AND(G5="Oui",M5=""),AND(H5="Oui",N5=""),AND(I5="Oui",O5=""),AND(J5="Oui",P5=""),AND(K5="Oui",Q5=""),AND(L5="Oui",R5="")),"Saisissez les montants convenus pour que leur somme corresponde à la dépense.",IF(ABS(SUM($M5:$R5))&lt;0.005,"Saisissez les montants convenus pour que leur somme corresponde à la dépense.",IF(SUM($M5:$R5)&lt;$D5-0.005,"Montant restant à répartir : "&amp;ROUND($D5-SUM($M5:$R5),2)&amp;".",IF(SUM($M5:$R5)&gt;$D5+0.005,"Montant réparti en trop : "&amp;ROUND(SUM($M5:$R5)-$D5,2)&amp;".","Vérifié")))),"Saisissez les montants convenus pour que leur somme corresponde à la dépense."))))))</f>
      </c>
    </row>
    <row r="6">
      <c r="A6" s="83"/>
      <c r="B6" s="57"/>
      <c r="C6" s="57"/>
      <c r="D6" s="85"/>
      <c r="E6" s="57"/>
      <c r="F6" s="57"/>
      <c r="G6" s="57"/>
      <c r="H6" s="57"/>
      <c r="I6" s="57"/>
      <c r="J6" s="57"/>
      <c r="K6" s="57"/>
      <c r="L6" s="57"/>
      <c r="M6" s="85"/>
      <c r="N6" s="85"/>
      <c r="O6" s="85"/>
      <c r="P6" s="85"/>
      <c r="Q6" s="85"/>
      <c r="R6" s="85"/>
      <c r="S6" s="57"/>
      <c r="T6" s="87" t="str">
        <f>IF(COUNTIF($A6:$S6,"&lt;&gt;")=0,"",IF($F6="À parts égales entre participants",IF(G6&lt;&gt;"Oui",0,IF(COUNTIF($H6:$L6,"Oui")=0,$D6-0,ROUND($D6/COUNTIF($G6:$L6,"Oui"),2))),IF($F6="Montants convenus",IF(G6="Oui",M6,0),"")))</f>
      </c>
      <c r="U6" s="87" t="str">
        <f>IF(COUNTIF($A6:$S6,"&lt;&gt;")=0,"",IF($F6="À parts égales entre participants",IF(H6&lt;&gt;"Oui",0,IF(COUNTIF($I6:$L6,"Oui")=0,$D6-SUM($T6:T6),ROUND($D6/COUNTIF($G6:$L6,"Oui"),2))),IF($F6="Montants convenus",IF(H6="Oui",N6,0),"")))</f>
      </c>
      <c r="V6" s="87" t="str">
        <f>IF(COUNTIF($A6:$S6,"&lt;&gt;")=0,"",IF($F6="À parts égales entre participants",IF(I6&lt;&gt;"Oui",0,IF(COUNTIF($J6:$L6,"Oui")=0,$D6-SUM($T6:U6),ROUND($D6/COUNTIF($G6:$L6,"Oui"),2))),IF($F6="Montants convenus",IF(I6="Oui",O6,0),"")))</f>
      </c>
      <c r="W6" s="87" t="str">
        <f>IF(COUNTIF($A6:$S6,"&lt;&gt;")=0,"",IF($F6="À parts égales entre participants",IF(J6&lt;&gt;"Oui",0,IF(COUNTIF($K6:$L6,"Oui")=0,$D6-SUM($T6:V6),ROUND($D6/COUNTIF($G6:$L6,"Oui"),2))),IF($F6="Montants convenus",IF(J6="Oui",P6,0),"")))</f>
      </c>
      <c r="X6" s="87" t="str">
        <f>IF(COUNTIF($A6:$S6,"&lt;&gt;")=0,"",IF($F6="À parts égales entre participants",IF(K6&lt;&gt;"Oui",0,IF(COUNTIF($L6:$L6,"Oui")=0,$D6-SUM($T6:W6),ROUND($D6/COUNTIF($G6:$L6,"Oui"),2))),IF($F6="Montants convenus",IF(K6="Oui",Q6,0),"")))</f>
      </c>
      <c r="Y6" s="87" t="str">
        <f>IF(COUNTIF($A6:$S6,"&lt;&gt;")=0,"",IF($F6="À parts égales entre participants",IF(L6&lt;&gt;"Oui",0,IF(0=0,$D6-SUM($T6:X6),ROUND($D6/COUNTIF($G6:$L6,"Oui"),2))),IF($F6="Montants convenus",IF(L6="Oui",R6,0),"")))</f>
      </c>
      <c r="Z6" s="81" t="str">
        <f>IF(COUNTIF($A6:$S6,"&lt;&gt;")=0,"",IF(OR($D6="",$D6&lt;=0),"Saisissez un montant supérieur à zéro.",IF($E6="","Sélectionnez la personne qui a payé.",IF(COUNTIF($G6:$L6,"Oui")=0,"Sélectionnez au moins une personne participante.",IF($F6="À parts égales entre participants","Vérifié",IF($F6="Montants convenus",IF(OR(AND(G6="Oui",M6=""),AND(H6="Oui",N6=""),AND(I6="Oui",O6=""),AND(J6="Oui",P6=""),AND(K6="Oui",Q6=""),AND(L6="Oui",R6="")),"Saisissez les montants convenus pour que leur somme corresponde à la dépense.",IF(ABS(SUM($M6:$R6))&lt;0.005,"Saisissez les montants convenus pour que leur somme corresponde à la dépense.",IF(SUM($M6:$R6)&lt;$D6-0.005,"Montant restant à répartir : "&amp;ROUND($D6-SUM($M6:$R6),2)&amp;".",IF(SUM($M6:$R6)&gt;$D6+0.005,"Montant réparti en trop : "&amp;ROUND(SUM($M6:$R6)-$D6,2)&amp;".","Vérifié")))),"Saisissez les montants convenus pour que leur somme corresponde à la dépense."))))))</f>
      </c>
    </row>
    <row r="7">
      <c r="A7" s="83"/>
      <c r="B7" s="57"/>
      <c r="C7" s="57"/>
      <c r="D7" s="85"/>
      <c r="E7" s="57"/>
      <c r="F7" s="57"/>
      <c r="G7" s="57"/>
      <c r="H7" s="57"/>
      <c r="I7" s="57"/>
      <c r="J7" s="57"/>
      <c r="K7" s="57"/>
      <c r="L7" s="57"/>
      <c r="M7" s="85"/>
      <c r="N7" s="85"/>
      <c r="O7" s="85"/>
      <c r="P7" s="85"/>
      <c r="Q7" s="85"/>
      <c r="R7" s="85"/>
      <c r="S7" s="57"/>
      <c r="T7" s="87" t="str">
        <f>IF(COUNTIF($A7:$S7,"&lt;&gt;")=0,"",IF($F7="À parts égales entre participants",IF(G7&lt;&gt;"Oui",0,IF(COUNTIF($H7:$L7,"Oui")=0,$D7-0,ROUND($D7/COUNTIF($G7:$L7,"Oui"),2))),IF($F7="Montants convenus",IF(G7="Oui",M7,0),"")))</f>
      </c>
      <c r="U7" s="87" t="str">
        <f>IF(COUNTIF($A7:$S7,"&lt;&gt;")=0,"",IF($F7="À parts égales entre participants",IF(H7&lt;&gt;"Oui",0,IF(COUNTIF($I7:$L7,"Oui")=0,$D7-SUM($T7:T7),ROUND($D7/COUNTIF($G7:$L7,"Oui"),2))),IF($F7="Montants convenus",IF(H7="Oui",N7,0),"")))</f>
      </c>
      <c r="V7" s="87" t="str">
        <f>IF(COUNTIF($A7:$S7,"&lt;&gt;")=0,"",IF($F7="À parts égales entre participants",IF(I7&lt;&gt;"Oui",0,IF(COUNTIF($J7:$L7,"Oui")=0,$D7-SUM($T7:U7),ROUND($D7/COUNTIF($G7:$L7,"Oui"),2))),IF($F7="Montants convenus",IF(I7="Oui",O7,0),"")))</f>
      </c>
      <c r="W7" s="87" t="str">
        <f>IF(COUNTIF($A7:$S7,"&lt;&gt;")=0,"",IF($F7="À parts égales entre participants",IF(J7&lt;&gt;"Oui",0,IF(COUNTIF($K7:$L7,"Oui")=0,$D7-SUM($T7:V7),ROUND($D7/COUNTIF($G7:$L7,"Oui"),2))),IF($F7="Montants convenus",IF(J7="Oui",P7,0),"")))</f>
      </c>
      <c r="X7" s="87" t="str">
        <f>IF(COUNTIF($A7:$S7,"&lt;&gt;")=0,"",IF($F7="À parts égales entre participants",IF(K7&lt;&gt;"Oui",0,IF(COUNTIF($L7:$L7,"Oui")=0,$D7-SUM($T7:W7),ROUND($D7/COUNTIF($G7:$L7,"Oui"),2))),IF($F7="Montants convenus",IF(K7="Oui",Q7,0),"")))</f>
      </c>
      <c r="Y7" s="87" t="str">
        <f>IF(COUNTIF($A7:$S7,"&lt;&gt;")=0,"",IF($F7="À parts égales entre participants",IF(L7&lt;&gt;"Oui",0,IF(0=0,$D7-SUM($T7:X7),ROUND($D7/COUNTIF($G7:$L7,"Oui"),2))),IF($F7="Montants convenus",IF(L7="Oui",R7,0),"")))</f>
      </c>
      <c r="Z7" s="81" t="str">
        <f>IF(COUNTIF($A7:$S7,"&lt;&gt;")=0,"",IF(OR($D7="",$D7&lt;=0),"Saisissez un montant supérieur à zéro.",IF($E7="","Sélectionnez la personne qui a payé.",IF(COUNTIF($G7:$L7,"Oui")=0,"Sélectionnez au moins une personne participante.",IF($F7="À parts égales entre participants","Vérifié",IF($F7="Montants convenus",IF(OR(AND(G7="Oui",M7=""),AND(H7="Oui",N7=""),AND(I7="Oui",O7=""),AND(J7="Oui",P7=""),AND(K7="Oui",Q7=""),AND(L7="Oui",R7="")),"Saisissez les montants convenus pour que leur somme corresponde à la dépense.",IF(ABS(SUM($M7:$R7))&lt;0.005,"Saisissez les montants convenus pour que leur somme corresponde à la dépense.",IF(SUM($M7:$R7)&lt;$D7-0.005,"Montant restant à répartir : "&amp;ROUND($D7-SUM($M7:$R7),2)&amp;".",IF(SUM($M7:$R7)&gt;$D7+0.005,"Montant réparti en trop : "&amp;ROUND(SUM($M7:$R7)-$D7,2)&amp;".","Vérifié")))),"Saisissez les montants convenus pour que leur somme corresponde à la dépense."))))))</f>
      </c>
    </row>
    <row r="8">
      <c r="A8" s="83"/>
      <c r="B8" s="57"/>
      <c r="C8" s="57"/>
      <c r="D8" s="85"/>
      <c r="E8" s="57"/>
      <c r="F8" s="57"/>
      <c r="G8" s="57"/>
      <c r="H8" s="57"/>
      <c r="I8" s="57"/>
      <c r="J8" s="57"/>
      <c r="K8" s="57"/>
      <c r="L8" s="57"/>
      <c r="M8" s="85"/>
      <c r="N8" s="85"/>
      <c r="O8" s="85"/>
      <c r="P8" s="85"/>
      <c r="Q8" s="85"/>
      <c r="R8" s="85"/>
      <c r="S8" s="57"/>
      <c r="T8" s="87" t="str">
        <f>IF(COUNTIF($A8:$S8,"&lt;&gt;")=0,"",IF($F8="À parts égales entre participants",IF(G8&lt;&gt;"Oui",0,IF(COUNTIF($H8:$L8,"Oui")=0,$D8-0,ROUND($D8/COUNTIF($G8:$L8,"Oui"),2))),IF($F8="Montants convenus",IF(G8="Oui",M8,0),"")))</f>
      </c>
      <c r="U8" s="87" t="str">
        <f>IF(COUNTIF($A8:$S8,"&lt;&gt;")=0,"",IF($F8="À parts égales entre participants",IF(H8&lt;&gt;"Oui",0,IF(COUNTIF($I8:$L8,"Oui")=0,$D8-SUM($T8:T8),ROUND($D8/COUNTIF($G8:$L8,"Oui"),2))),IF($F8="Montants convenus",IF(H8="Oui",N8,0),"")))</f>
      </c>
      <c r="V8" s="87" t="str">
        <f>IF(COUNTIF($A8:$S8,"&lt;&gt;")=0,"",IF($F8="À parts égales entre participants",IF(I8&lt;&gt;"Oui",0,IF(COUNTIF($J8:$L8,"Oui")=0,$D8-SUM($T8:U8),ROUND($D8/COUNTIF($G8:$L8,"Oui"),2))),IF($F8="Montants convenus",IF(I8="Oui",O8,0),"")))</f>
      </c>
      <c r="W8" s="87" t="str">
        <f>IF(COUNTIF($A8:$S8,"&lt;&gt;")=0,"",IF($F8="À parts égales entre participants",IF(J8&lt;&gt;"Oui",0,IF(COUNTIF($K8:$L8,"Oui")=0,$D8-SUM($T8:V8),ROUND($D8/COUNTIF($G8:$L8,"Oui"),2))),IF($F8="Montants convenus",IF(J8="Oui",P8,0),"")))</f>
      </c>
      <c r="X8" s="87" t="str">
        <f>IF(COUNTIF($A8:$S8,"&lt;&gt;")=0,"",IF($F8="À parts égales entre participants",IF(K8&lt;&gt;"Oui",0,IF(COUNTIF($L8:$L8,"Oui")=0,$D8-SUM($T8:W8),ROUND($D8/COUNTIF($G8:$L8,"Oui"),2))),IF($F8="Montants convenus",IF(K8="Oui",Q8,0),"")))</f>
      </c>
      <c r="Y8" s="87" t="str">
        <f>IF(COUNTIF($A8:$S8,"&lt;&gt;")=0,"",IF($F8="À parts égales entre participants",IF(L8&lt;&gt;"Oui",0,IF(0=0,$D8-SUM($T8:X8),ROUND($D8/COUNTIF($G8:$L8,"Oui"),2))),IF($F8="Montants convenus",IF(L8="Oui",R8,0),"")))</f>
      </c>
      <c r="Z8" s="81" t="str">
        <f>IF(COUNTIF($A8:$S8,"&lt;&gt;")=0,"",IF(OR($D8="",$D8&lt;=0),"Saisissez un montant supérieur à zéro.",IF($E8="","Sélectionnez la personne qui a payé.",IF(COUNTIF($G8:$L8,"Oui")=0,"Sélectionnez au moins une personne participante.",IF($F8="À parts égales entre participants","Vérifié",IF($F8="Montants convenus",IF(OR(AND(G8="Oui",M8=""),AND(H8="Oui",N8=""),AND(I8="Oui",O8=""),AND(J8="Oui",P8=""),AND(K8="Oui",Q8=""),AND(L8="Oui",R8="")),"Saisissez les montants convenus pour que leur somme corresponde à la dépense.",IF(ABS(SUM($M8:$R8))&lt;0.005,"Saisissez les montants convenus pour que leur somme corresponde à la dépense.",IF(SUM($M8:$R8)&lt;$D8-0.005,"Montant restant à répartir : "&amp;ROUND($D8-SUM($M8:$R8),2)&amp;".",IF(SUM($M8:$R8)&gt;$D8+0.005,"Montant réparti en trop : "&amp;ROUND(SUM($M8:$R8)-$D8,2)&amp;".","Vérifié")))),"Saisissez les montants convenus pour que leur somme corresponde à la dépense."))))))</f>
      </c>
    </row>
    <row r="9">
      <c r="A9" s="83"/>
      <c r="B9" s="57"/>
      <c r="C9" s="57"/>
      <c r="D9" s="85"/>
      <c r="E9" s="57"/>
      <c r="F9" s="57"/>
      <c r="G9" s="57"/>
      <c r="H9" s="57"/>
      <c r="I9" s="57"/>
      <c r="J9" s="57"/>
      <c r="K9" s="57"/>
      <c r="L9" s="57"/>
      <c r="M9" s="85"/>
      <c r="N9" s="85"/>
      <c r="O9" s="85"/>
      <c r="P9" s="85"/>
      <c r="Q9" s="85"/>
      <c r="R9" s="85"/>
      <c r="S9" s="57"/>
      <c r="T9" s="87" t="str">
        <f>IF(COUNTIF($A9:$S9,"&lt;&gt;")=0,"",IF($F9="À parts égales entre participants",IF(G9&lt;&gt;"Oui",0,IF(COUNTIF($H9:$L9,"Oui")=0,$D9-0,ROUND($D9/COUNTIF($G9:$L9,"Oui"),2))),IF($F9="Montants convenus",IF(G9="Oui",M9,0),"")))</f>
      </c>
      <c r="U9" s="87" t="str">
        <f>IF(COUNTIF($A9:$S9,"&lt;&gt;")=0,"",IF($F9="À parts égales entre participants",IF(H9&lt;&gt;"Oui",0,IF(COUNTIF($I9:$L9,"Oui")=0,$D9-SUM($T9:T9),ROUND($D9/COUNTIF($G9:$L9,"Oui"),2))),IF($F9="Montants convenus",IF(H9="Oui",N9,0),"")))</f>
      </c>
      <c r="V9" s="87" t="str">
        <f>IF(COUNTIF($A9:$S9,"&lt;&gt;")=0,"",IF($F9="À parts égales entre participants",IF(I9&lt;&gt;"Oui",0,IF(COUNTIF($J9:$L9,"Oui")=0,$D9-SUM($T9:U9),ROUND($D9/COUNTIF($G9:$L9,"Oui"),2))),IF($F9="Montants convenus",IF(I9="Oui",O9,0),"")))</f>
      </c>
      <c r="W9" s="87" t="str">
        <f>IF(COUNTIF($A9:$S9,"&lt;&gt;")=0,"",IF($F9="À parts égales entre participants",IF(J9&lt;&gt;"Oui",0,IF(COUNTIF($K9:$L9,"Oui")=0,$D9-SUM($T9:V9),ROUND($D9/COUNTIF($G9:$L9,"Oui"),2))),IF($F9="Montants convenus",IF(J9="Oui",P9,0),"")))</f>
      </c>
      <c r="X9" s="87" t="str">
        <f>IF(COUNTIF($A9:$S9,"&lt;&gt;")=0,"",IF($F9="À parts égales entre participants",IF(K9&lt;&gt;"Oui",0,IF(COUNTIF($L9:$L9,"Oui")=0,$D9-SUM($T9:W9),ROUND($D9/COUNTIF($G9:$L9,"Oui"),2))),IF($F9="Montants convenus",IF(K9="Oui",Q9,0),"")))</f>
      </c>
      <c r="Y9" s="87" t="str">
        <f>IF(COUNTIF($A9:$S9,"&lt;&gt;")=0,"",IF($F9="À parts égales entre participants",IF(L9&lt;&gt;"Oui",0,IF(0=0,$D9-SUM($T9:X9),ROUND($D9/COUNTIF($G9:$L9,"Oui"),2))),IF($F9="Montants convenus",IF(L9="Oui",R9,0),"")))</f>
      </c>
      <c r="Z9" s="81" t="str">
        <f>IF(COUNTIF($A9:$S9,"&lt;&gt;")=0,"",IF(OR($D9="",$D9&lt;=0),"Saisissez un montant supérieur à zéro.",IF($E9="","Sélectionnez la personne qui a payé.",IF(COUNTIF($G9:$L9,"Oui")=0,"Sélectionnez au moins une personne participante.",IF($F9="À parts égales entre participants","Vérifié",IF($F9="Montants convenus",IF(OR(AND(G9="Oui",M9=""),AND(H9="Oui",N9=""),AND(I9="Oui",O9=""),AND(J9="Oui",P9=""),AND(K9="Oui",Q9=""),AND(L9="Oui",R9="")),"Saisissez les montants convenus pour que leur somme corresponde à la dépense.",IF(ABS(SUM($M9:$R9))&lt;0.005,"Saisissez les montants convenus pour que leur somme corresponde à la dépense.",IF(SUM($M9:$R9)&lt;$D9-0.005,"Montant restant à répartir : "&amp;ROUND($D9-SUM($M9:$R9),2)&amp;".",IF(SUM($M9:$R9)&gt;$D9+0.005,"Montant réparti en trop : "&amp;ROUND(SUM($M9:$R9)-$D9,2)&amp;".","Vérifié")))),"Saisissez les montants convenus pour que leur somme corresponde à la dépense."))))))</f>
      </c>
    </row>
    <row r="10">
      <c r="A10" s="83"/>
      <c r="B10" s="57"/>
      <c r="C10" s="57"/>
      <c r="D10" s="85"/>
      <c r="E10" s="57"/>
      <c r="F10" s="57"/>
      <c r="G10" s="57"/>
      <c r="H10" s="57"/>
      <c r="I10" s="57"/>
      <c r="J10" s="57"/>
      <c r="K10" s="57"/>
      <c r="L10" s="57"/>
      <c r="M10" s="85"/>
      <c r="N10" s="85"/>
      <c r="O10" s="85"/>
      <c r="P10" s="85"/>
      <c r="Q10" s="85"/>
      <c r="R10" s="85"/>
      <c r="S10" s="57"/>
      <c r="T10" s="87" t="str">
        <f>IF(COUNTIF($A10:$S10,"&lt;&gt;")=0,"",IF($F10="À parts égales entre participants",IF(G10&lt;&gt;"Oui",0,IF(COUNTIF($H10:$L10,"Oui")=0,$D10-0,ROUND($D10/COUNTIF($G10:$L10,"Oui"),2))),IF($F10="Montants convenus",IF(G10="Oui",M10,0),"")))</f>
      </c>
      <c r="U10" s="87" t="str">
        <f>IF(COUNTIF($A10:$S10,"&lt;&gt;")=0,"",IF($F10="À parts égales entre participants",IF(H10&lt;&gt;"Oui",0,IF(COUNTIF($I10:$L10,"Oui")=0,$D10-SUM($T10:T10),ROUND($D10/COUNTIF($G10:$L10,"Oui"),2))),IF($F10="Montants convenus",IF(H10="Oui",N10,0),"")))</f>
      </c>
      <c r="V10" s="87" t="str">
        <f>IF(COUNTIF($A10:$S10,"&lt;&gt;")=0,"",IF($F10="À parts égales entre participants",IF(I10&lt;&gt;"Oui",0,IF(COUNTIF($J10:$L10,"Oui")=0,$D10-SUM($T10:U10),ROUND($D10/COUNTIF($G10:$L10,"Oui"),2))),IF($F10="Montants convenus",IF(I10="Oui",O10,0),"")))</f>
      </c>
      <c r="W10" s="87" t="str">
        <f>IF(COUNTIF($A10:$S10,"&lt;&gt;")=0,"",IF($F10="À parts égales entre participants",IF(J10&lt;&gt;"Oui",0,IF(COUNTIF($K10:$L10,"Oui")=0,$D10-SUM($T10:V10),ROUND($D10/COUNTIF($G10:$L10,"Oui"),2))),IF($F10="Montants convenus",IF(J10="Oui",P10,0),"")))</f>
      </c>
      <c r="X10" s="87" t="str">
        <f>IF(COUNTIF($A10:$S10,"&lt;&gt;")=0,"",IF($F10="À parts égales entre participants",IF(K10&lt;&gt;"Oui",0,IF(COUNTIF($L10:$L10,"Oui")=0,$D10-SUM($T10:W10),ROUND($D10/COUNTIF($G10:$L10,"Oui"),2))),IF($F10="Montants convenus",IF(K10="Oui",Q10,0),"")))</f>
      </c>
      <c r="Y10" s="87" t="str">
        <f>IF(COUNTIF($A10:$S10,"&lt;&gt;")=0,"",IF($F10="À parts égales entre participants",IF(L10&lt;&gt;"Oui",0,IF(0=0,$D10-SUM($T10:X10),ROUND($D10/COUNTIF($G10:$L10,"Oui"),2))),IF($F10="Montants convenus",IF(L10="Oui",R10,0),"")))</f>
      </c>
      <c r="Z10" s="81" t="str">
        <f>IF(COUNTIF($A10:$S10,"&lt;&gt;")=0,"",IF(OR($D10="",$D10&lt;=0),"Saisissez un montant supérieur à zéro.",IF($E10="","Sélectionnez la personne qui a payé.",IF(COUNTIF($G10:$L10,"Oui")=0,"Sélectionnez au moins une personne participante.",IF($F10="À parts égales entre participants","Vérifié",IF($F10="Montants convenus",IF(OR(AND(G10="Oui",M10=""),AND(H10="Oui",N10=""),AND(I10="Oui",O10=""),AND(J10="Oui",P10=""),AND(K10="Oui",Q10=""),AND(L10="Oui",R10="")),"Saisissez les montants convenus pour que leur somme corresponde à la dépense.",IF(ABS(SUM($M10:$R10))&lt;0.005,"Saisissez les montants convenus pour que leur somme corresponde à la dépense.",IF(SUM($M10:$R10)&lt;$D10-0.005,"Montant restant à répartir : "&amp;ROUND($D10-SUM($M10:$R10),2)&amp;".",IF(SUM($M10:$R10)&gt;$D10+0.005,"Montant réparti en trop : "&amp;ROUND(SUM($M10:$R10)-$D10,2)&amp;".","Vérifié")))),"Saisissez les montants convenus pour que leur somme corresponde à la dépense."))))))</f>
      </c>
    </row>
    <row r="11">
      <c r="A11" s="83"/>
      <c r="B11" s="57"/>
      <c r="C11" s="57"/>
      <c r="D11" s="85"/>
      <c r="E11" s="57"/>
      <c r="F11" s="57"/>
      <c r="G11" s="57"/>
      <c r="H11" s="57"/>
      <c r="I11" s="57"/>
      <c r="J11" s="57"/>
      <c r="K11" s="57"/>
      <c r="L11" s="57"/>
      <c r="M11" s="85"/>
      <c r="N11" s="85"/>
      <c r="O11" s="85"/>
      <c r="P11" s="85"/>
      <c r="Q11" s="85"/>
      <c r="R11" s="85"/>
      <c r="S11" s="57"/>
      <c r="T11" s="87" t="str">
        <f>IF(COUNTIF($A11:$S11,"&lt;&gt;")=0,"",IF($F11="À parts égales entre participants",IF(G11&lt;&gt;"Oui",0,IF(COUNTIF($H11:$L11,"Oui")=0,$D11-0,ROUND($D11/COUNTIF($G11:$L11,"Oui"),2))),IF($F11="Montants convenus",IF(G11="Oui",M11,0),"")))</f>
      </c>
      <c r="U11" s="87" t="str">
        <f>IF(COUNTIF($A11:$S11,"&lt;&gt;")=0,"",IF($F11="À parts égales entre participants",IF(H11&lt;&gt;"Oui",0,IF(COUNTIF($I11:$L11,"Oui")=0,$D11-SUM($T11:T11),ROUND($D11/COUNTIF($G11:$L11,"Oui"),2))),IF($F11="Montants convenus",IF(H11="Oui",N11,0),"")))</f>
      </c>
      <c r="V11" s="87" t="str">
        <f>IF(COUNTIF($A11:$S11,"&lt;&gt;")=0,"",IF($F11="À parts égales entre participants",IF(I11&lt;&gt;"Oui",0,IF(COUNTIF($J11:$L11,"Oui")=0,$D11-SUM($T11:U11),ROUND($D11/COUNTIF($G11:$L11,"Oui"),2))),IF($F11="Montants convenus",IF(I11="Oui",O11,0),"")))</f>
      </c>
      <c r="W11" s="87" t="str">
        <f>IF(COUNTIF($A11:$S11,"&lt;&gt;")=0,"",IF($F11="À parts égales entre participants",IF(J11&lt;&gt;"Oui",0,IF(COUNTIF($K11:$L11,"Oui")=0,$D11-SUM($T11:V11),ROUND($D11/COUNTIF($G11:$L11,"Oui"),2))),IF($F11="Montants convenus",IF(J11="Oui",P11,0),"")))</f>
      </c>
      <c r="X11" s="87" t="str">
        <f>IF(COUNTIF($A11:$S11,"&lt;&gt;")=0,"",IF($F11="À parts égales entre participants",IF(K11&lt;&gt;"Oui",0,IF(COUNTIF($L11:$L11,"Oui")=0,$D11-SUM($T11:W11),ROUND($D11/COUNTIF($G11:$L11,"Oui"),2))),IF($F11="Montants convenus",IF(K11="Oui",Q11,0),"")))</f>
      </c>
      <c r="Y11" s="87" t="str">
        <f>IF(COUNTIF($A11:$S11,"&lt;&gt;")=0,"",IF($F11="À parts égales entre participants",IF(L11&lt;&gt;"Oui",0,IF(0=0,$D11-SUM($T11:X11),ROUND($D11/COUNTIF($G11:$L11,"Oui"),2))),IF($F11="Montants convenus",IF(L11="Oui",R11,0),"")))</f>
      </c>
      <c r="Z11" s="81" t="str">
        <f>IF(COUNTIF($A11:$S11,"&lt;&gt;")=0,"",IF(OR($D11="",$D11&lt;=0),"Saisissez un montant supérieur à zéro.",IF($E11="","Sélectionnez la personne qui a payé.",IF(COUNTIF($G11:$L11,"Oui")=0,"Sélectionnez au moins une personne participante.",IF($F11="À parts égales entre participants","Vérifié",IF($F11="Montants convenus",IF(OR(AND(G11="Oui",M11=""),AND(H11="Oui",N11=""),AND(I11="Oui",O11=""),AND(J11="Oui",P11=""),AND(K11="Oui",Q11=""),AND(L11="Oui",R11="")),"Saisissez les montants convenus pour que leur somme corresponde à la dépense.",IF(ABS(SUM($M11:$R11))&lt;0.005,"Saisissez les montants convenus pour que leur somme corresponde à la dépense.",IF(SUM($M11:$R11)&lt;$D11-0.005,"Montant restant à répartir : "&amp;ROUND($D11-SUM($M11:$R11),2)&amp;".",IF(SUM($M11:$R11)&gt;$D11+0.005,"Montant réparti en trop : "&amp;ROUND(SUM($M11:$R11)-$D11,2)&amp;".","Vérifié")))),"Saisissez les montants convenus pour que leur somme corresponde à la dépense."))))))</f>
      </c>
    </row>
    <row r="12">
      <c r="A12" s="83"/>
      <c r="B12" s="57"/>
      <c r="C12" s="57"/>
      <c r="D12" s="85"/>
      <c r="E12" s="57"/>
      <c r="F12" s="57"/>
      <c r="G12" s="57"/>
      <c r="H12" s="57"/>
      <c r="I12" s="57"/>
      <c r="J12" s="57"/>
      <c r="K12" s="57"/>
      <c r="L12" s="57"/>
      <c r="M12" s="85"/>
      <c r="N12" s="85"/>
      <c r="O12" s="85"/>
      <c r="P12" s="85"/>
      <c r="Q12" s="85"/>
      <c r="R12" s="85"/>
      <c r="S12" s="57"/>
      <c r="T12" s="87" t="str">
        <f>IF(COUNTIF($A12:$S12,"&lt;&gt;")=0,"",IF($F12="À parts égales entre participants",IF(G12&lt;&gt;"Oui",0,IF(COUNTIF($H12:$L12,"Oui")=0,$D12-0,ROUND($D12/COUNTIF($G12:$L12,"Oui"),2))),IF($F12="Montants convenus",IF(G12="Oui",M12,0),"")))</f>
      </c>
      <c r="U12" s="87" t="str">
        <f>IF(COUNTIF($A12:$S12,"&lt;&gt;")=0,"",IF($F12="À parts égales entre participants",IF(H12&lt;&gt;"Oui",0,IF(COUNTIF($I12:$L12,"Oui")=0,$D12-SUM($T12:T12),ROUND($D12/COUNTIF($G12:$L12,"Oui"),2))),IF($F12="Montants convenus",IF(H12="Oui",N12,0),"")))</f>
      </c>
      <c r="V12" s="87" t="str">
        <f>IF(COUNTIF($A12:$S12,"&lt;&gt;")=0,"",IF($F12="À parts égales entre participants",IF(I12&lt;&gt;"Oui",0,IF(COUNTIF($J12:$L12,"Oui")=0,$D12-SUM($T12:U12),ROUND($D12/COUNTIF($G12:$L12,"Oui"),2))),IF($F12="Montants convenus",IF(I12="Oui",O12,0),"")))</f>
      </c>
      <c r="W12" s="87" t="str">
        <f>IF(COUNTIF($A12:$S12,"&lt;&gt;")=0,"",IF($F12="À parts égales entre participants",IF(J12&lt;&gt;"Oui",0,IF(COUNTIF($K12:$L12,"Oui")=0,$D12-SUM($T12:V12),ROUND($D12/COUNTIF($G12:$L12,"Oui"),2))),IF($F12="Montants convenus",IF(J12="Oui",P12,0),"")))</f>
      </c>
      <c r="X12" s="87" t="str">
        <f>IF(COUNTIF($A12:$S12,"&lt;&gt;")=0,"",IF($F12="À parts égales entre participants",IF(K12&lt;&gt;"Oui",0,IF(COUNTIF($L12:$L12,"Oui")=0,$D12-SUM($T12:W12),ROUND($D12/COUNTIF($G12:$L12,"Oui"),2))),IF($F12="Montants convenus",IF(K12="Oui",Q12,0),"")))</f>
      </c>
      <c r="Y12" s="87" t="str">
        <f>IF(COUNTIF($A12:$S12,"&lt;&gt;")=0,"",IF($F12="À parts égales entre participants",IF(L12&lt;&gt;"Oui",0,IF(0=0,$D12-SUM($T12:X12),ROUND($D12/COUNTIF($G12:$L12,"Oui"),2))),IF($F12="Montants convenus",IF(L12="Oui",R12,0),"")))</f>
      </c>
      <c r="Z12" s="81" t="str">
        <f>IF(COUNTIF($A12:$S12,"&lt;&gt;")=0,"",IF(OR($D12="",$D12&lt;=0),"Saisissez un montant supérieur à zéro.",IF($E12="","Sélectionnez la personne qui a payé.",IF(COUNTIF($G12:$L12,"Oui")=0,"Sélectionnez au moins une personne participante.",IF($F12="À parts égales entre participants","Vérifié",IF($F12="Montants convenus",IF(OR(AND(G12="Oui",M12=""),AND(H12="Oui",N12=""),AND(I12="Oui",O12=""),AND(J12="Oui",P12=""),AND(K12="Oui",Q12=""),AND(L12="Oui",R12="")),"Saisissez les montants convenus pour que leur somme corresponde à la dépense.",IF(ABS(SUM($M12:$R12))&lt;0.005,"Saisissez les montants convenus pour que leur somme corresponde à la dépense.",IF(SUM($M12:$R12)&lt;$D12-0.005,"Montant restant à répartir : "&amp;ROUND($D12-SUM($M12:$R12),2)&amp;".",IF(SUM($M12:$R12)&gt;$D12+0.005,"Montant réparti en trop : "&amp;ROUND(SUM($M12:$R12)-$D12,2)&amp;".","Vérifié")))),"Saisissez les montants convenus pour que leur somme corresponde à la dépense."))))))</f>
      </c>
    </row>
    <row r="13">
      <c r="A13" s="83"/>
      <c r="B13" s="57"/>
      <c r="C13" s="57"/>
      <c r="D13" s="85"/>
      <c r="E13" s="57"/>
      <c r="F13" s="57"/>
      <c r="G13" s="57"/>
      <c r="H13" s="57"/>
      <c r="I13" s="57"/>
      <c r="J13" s="57"/>
      <c r="K13" s="57"/>
      <c r="L13" s="57"/>
      <c r="M13" s="85"/>
      <c r="N13" s="85"/>
      <c r="O13" s="85"/>
      <c r="P13" s="85"/>
      <c r="Q13" s="85"/>
      <c r="R13" s="85"/>
      <c r="S13" s="57"/>
      <c r="T13" s="87" t="str">
        <f>IF(COUNTIF($A13:$S13,"&lt;&gt;")=0,"",IF($F13="À parts égales entre participants",IF(G13&lt;&gt;"Oui",0,IF(COUNTIF($H13:$L13,"Oui")=0,$D13-0,ROUND($D13/COUNTIF($G13:$L13,"Oui"),2))),IF($F13="Montants convenus",IF(G13="Oui",M13,0),"")))</f>
      </c>
      <c r="U13" s="87" t="str">
        <f>IF(COUNTIF($A13:$S13,"&lt;&gt;")=0,"",IF($F13="À parts égales entre participants",IF(H13&lt;&gt;"Oui",0,IF(COUNTIF($I13:$L13,"Oui")=0,$D13-SUM($T13:T13),ROUND($D13/COUNTIF($G13:$L13,"Oui"),2))),IF($F13="Montants convenus",IF(H13="Oui",N13,0),"")))</f>
      </c>
      <c r="V13" s="87" t="str">
        <f>IF(COUNTIF($A13:$S13,"&lt;&gt;")=0,"",IF($F13="À parts égales entre participants",IF(I13&lt;&gt;"Oui",0,IF(COUNTIF($J13:$L13,"Oui")=0,$D13-SUM($T13:U13),ROUND($D13/COUNTIF($G13:$L13,"Oui"),2))),IF($F13="Montants convenus",IF(I13="Oui",O13,0),"")))</f>
      </c>
      <c r="W13" s="87" t="str">
        <f>IF(COUNTIF($A13:$S13,"&lt;&gt;")=0,"",IF($F13="À parts égales entre participants",IF(J13&lt;&gt;"Oui",0,IF(COUNTIF($K13:$L13,"Oui")=0,$D13-SUM($T13:V13),ROUND($D13/COUNTIF($G13:$L13,"Oui"),2))),IF($F13="Montants convenus",IF(J13="Oui",P13,0),"")))</f>
      </c>
      <c r="X13" s="87" t="str">
        <f>IF(COUNTIF($A13:$S13,"&lt;&gt;")=0,"",IF($F13="À parts égales entre participants",IF(K13&lt;&gt;"Oui",0,IF(COUNTIF($L13:$L13,"Oui")=0,$D13-SUM($T13:W13),ROUND($D13/COUNTIF($G13:$L13,"Oui"),2))),IF($F13="Montants convenus",IF(K13="Oui",Q13,0),"")))</f>
      </c>
      <c r="Y13" s="87" t="str">
        <f>IF(COUNTIF($A13:$S13,"&lt;&gt;")=0,"",IF($F13="À parts égales entre participants",IF(L13&lt;&gt;"Oui",0,IF(0=0,$D13-SUM($T13:X13),ROUND($D13/COUNTIF($G13:$L13,"Oui"),2))),IF($F13="Montants convenus",IF(L13="Oui",R13,0),"")))</f>
      </c>
      <c r="Z13" s="81" t="str">
        <f>IF(COUNTIF($A13:$S13,"&lt;&gt;")=0,"",IF(OR($D13="",$D13&lt;=0),"Saisissez un montant supérieur à zéro.",IF($E13="","Sélectionnez la personne qui a payé.",IF(COUNTIF($G13:$L13,"Oui")=0,"Sélectionnez au moins une personne participante.",IF($F13="À parts égales entre participants","Vérifié",IF($F13="Montants convenus",IF(OR(AND(G13="Oui",M13=""),AND(H13="Oui",N13=""),AND(I13="Oui",O13=""),AND(J13="Oui",P13=""),AND(K13="Oui",Q13=""),AND(L13="Oui",R13="")),"Saisissez les montants convenus pour que leur somme corresponde à la dépense.",IF(ABS(SUM($M13:$R13))&lt;0.005,"Saisissez les montants convenus pour que leur somme corresponde à la dépense.",IF(SUM($M13:$R13)&lt;$D13-0.005,"Montant restant à répartir : "&amp;ROUND($D13-SUM($M13:$R13),2)&amp;".",IF(SUM($M13:$R13)&gt;$D13+0.005,"Montant réparti en trop : "&amp;ROUND(SUM($M13:$R13)-$D13,2)&amp;".","Vérifié")))),"Saisissez les montants convenus pour que leur somme corresponde à la dépense."))))))</f>
      </c>
    </row>
    <row r="14">
      <c r="A14" s="83"/>
      <c r="B14" s="57"/>
      <c r="C14" s="57"/>
      <c r="D14" s="85"/>
      <c r="E14" s="57"/>
      <c r="F14" s="57"/>
      <c r="G14" s="57"/>
      <c r="H14" s="57"/>
      <c r="I14" s="57"/>
      <c r="J14" s="57"/>
      <c r="K14" s="57"/>
      <c r="L14" s="57"/>
      <c r="M14" s="85"/>
      <c r="N14" s="85"/>
      <c r="O14" s="85"/>
      <c r="P14" s="85"/>
      <c r="Q14" s="85"/>
      <c r="R14" s="85"/>
      <c r="S14" s="57"/>
      <c r="T14" s="87" t="str">
        <f>IF(COUNTIF($A14:$S14,"&lt;&gt;")=0,"",IF($F14="À parts égales entre participants",IF(G14&lt;&gt;"Oui",0,IF(COUNTIF($H14:$L14,"Oui")=0,$D14-0,ROUND($D14/COUNTIF($G14:$L14,"Oui"),2))),IF($F14="Montants convenus",IF(G14="Oui",M14,0),"")))</f>
      </c>
      <c r="U14" s="87" t="str">
        <f>IF(COUNTIF($A14:$S14,"&lt;&gt;")=0,"",IF($F14="À parts égales entre participants",IF(H14&lt;&gt;"Oui",0,IF(COUNTIF($I14:$L14,"Oui")=0,$D14-SUM($T14:T14),ROUND($D14/COUNTIF($G14:$L14,"Oui"),2))),IF($F14="Montants convenus",IF(H14="Oui",N14,0),"")))</f>
      </c>
      <c r="V14" s="87" t="str">
        <f>IF(COUNTIF($A14:$S14,"&lt;&gt;")=0,"",IF($F14="À parts égales entre participants",IF(I14&lt;&gt;"Oui",0,IF(COUNTIF($J14:$L14,"Oui")=0,$D14-SUM($T14:U14),ROUND($D14/COUNTIF($G14:$L14,"Oui"),2))),IF($F14="Montants convenus",IF(I14="Oui",O14,0),"")))</f>
      </c>
      <c r="W14" s="87" t="str">
        <f>IF(COUNTIF($A14:$S14,"&lt;&gt;")=0,"",IF($F14="À parts égales entre participants",IF(J14&lt;&gt;"Oui",0,IF(COUNTIF($K14:$L14,"Oui")=0,$D14-SUM($T14:V14),ROUND($D14/COUNTIF($G14:$L14,"Oui"),2))),IF($F14="Montants convenus",IF(J14="Oui",P14,0),"")))</f>
      </c>
      <c r="X14" s="87" t="str">
        <f>IF(COUNTIF($A14:$S14,"&lt;&gt;")=0,"",IF($F14="À parts égales entre participants",IF(K14&lt;&gt;"Oui",0,IF(COUNTIF($L14:$L14,"Oui")=0,$D14-SUM($T14:W14),ROUND($D14/COUNTIF($G14:$L14,"Oui"),2))),IF($F14="Montants convenus",IF(K14="Oui",Q14,0),"")))</f>
      </c>
      <c r="Y14" s="87" t="str">
        <f>IF(COUNTIF($A14:$S14,"&lt;&gt;")=0,"",IF($F14="À parts égales entre participants",IF(L14&lt;&gt;"Oui",0,IF(0=0,$D14-SUM($T14:X14),ROUND($D14/COUNTIF($G14:$L14,"Oui"),2))),IF($F14="Montants convenus",IF(L14="Oui",R14,0),"")))</f>
      </c>
      <c r="Z14" s="81" t="str">
        <f>IF(COUNTIF($A14:$S14,"&lt;&gt;")=0,"",IF(OR($D14="",$D14&lt;=0),"Saisissez un montant supérieur à zéro.",IF($E14="","Sélectionnez la personne qui a payé.",IF(COUNTIF($G14:$L14,"Oui")=0,"Sélectionnez au moins une personne participante.",IF($F14="À parts égales entre participants","Vérifié",IF($F14="Montants convenus",IF(OR(AND(G14="Oui",M14=""),AND(H14="Oui",N14=""),AND(I14="Oui",O14=""),AND(J14="Oui",P14=""),AND(K14="Oui",Q14=""),AND(L14="Oui",R14="")),"Saisissez les montants convenus pour que leur somme corresponde à la dépense.",IF(ABS(SUM($M14:$R14))&lt;0.005,"Saisissez les montants convenus pour que leur somme corresponde à la dépense.",IF(SUM($M14:$R14)&lt;$D14-0.005,"Montant restant à répartir : "&amp;ROUND($D14-SUM($M14:$R14),2)&amp;".",IF(SUM($M14:$R14)&gt;$D14+0.005,"Montant réparti en trop : "&amp;ROUND(SUM($M14:$R14)-$D14,2)&amp;".","Vérifié")))),"Saisissez les montants convenus pour que leur somme corresponde à la dépense."))))))</f>
      </c>
    </row>
    <row r="15">
      <c r="A15" s="83"/>
      <c r="B15" s="57"/>
      <c r="C15" s="57"/>
      <c r="D15" s="85"/>
      <c r="E15" s="57"/>
      <c r="F15" s="57"/>
      <c r="G15" s="57"/>
      <c r="H15" s="57"/>
      <c r="I15" s="57"/>
      <c r="J15" s="57"/>
      <c r="K15" s="57"/>
      <c r="L15" s="57"/>
      <c r="M15" s="85"/>
      <c r="N15" s="85"/>
      <c r="O15" s="85"/>
      <c r="P15" s="85"/>
      <c r="Q15" s="85"/>
      <c r="R15" s="85"/>
      <c r="S15" s="57"/>
      <c r="T15" s="87" t="str">
        <f>IF(COUNTIF($A15:$S15,"&lt;&gt;")=0,"",IF($F15="À parts égales entre participants",IF(G15&lt;&gt;"Oui",0,IF(COUNTIF($H15:$L15,"Oui")=0,$D15-0,ROUND($D15/COUNTIF($G15:$L15,"Oui"),2))),IF($F15="Montants convenus",IF(G15="Oui",M15,0),"")))</f>
      </c>
      <c r="U15" s="87" t="str">
        <f>IF(COUNTIF($A15:$S15,"&lt;&gt;")=0,"",IF($F15="À parts égales entre participants",IF(H15&lt;&gt;"Oui",0,IF(COUNTIF($I15:$L15,"Oui")=0,$D15-SUM($T15:T15),ROUND($D15/COUNTIF($G15:$L15,"Oui"),2))),IF($F15="Montants convenus",IF(H15="Oui",N15,0),"")))</f>
      </c>
      <c r="V15" s="87" t="str">
        <f>IF(COUNTIF($A15:$S15,"&lt;&gt;")=0,"",IF($F15="À parts égales entre participants",IF(I15&lt;&gt;"Oui",0,IF(COUNTIF($J15:$L15,"Oui")=0,$D15-SUM($T15:U15),ROUND($D15/COUNTIF($G15:$L15,"Oui"),2))),IF($F15="Montants convenus",IF(I15="Oui",O15,0),"")))</f>
      </c>
      <c r="W15" s="87" t="str">
        <f>IF(COUNTIF($A15:$S15,"&lt;&gt;")=0,"",IF($F15="À parts égales entre participants",IF(J15&lt;&gt;"Oui",0,IF(COUNTIF($K15:$L15,"Oui")=0,$D15-SUM($T15:V15),ROUND($D15/COUNTIF($G15:$L15,"Oui"),2))),IF($F15="Montants convenus",IF(J15="Oui",P15,0),"")))</f>
      </c>
      <c r="X15" s="87" t="str">
        <f>IF(COUNTIF($A15:$S15,"&lt;&gt;")=0,"",IF($F15="À parts égales entre participants",IF(K15&lt;&gt;"Oui",0,IF(COUNTIF($L15:$L15,"Oui")=0,$D15-SUM($T15:W15),ROUND($D15/COUNTIF($G15:$L15,"Oui"),2))),IF($F15="Montants convenus",IF(K15="Oui",Q15,0),"")))</f>
      </c>
      <c r="Y15" s="87" t="str">
        <f>IF(COUNTIF($A15:$S15,"&lt;&gt;")=0,"",IF($F15="À parts égales entre participants",IF(L15&lt;&gt;"Oui",0,IF(0=0,$D15-SUM($T15:X15),ROUND($D15/COUNTIF($G15:$L15,"Oui"),2))),IF($F15="Montants convenus",IF(L15="Oui",R15,0),"")))</f>
      </c>
      <c r="Z15" s="81" t="str">
        <f>IF(COUNTIF($A15:$S15,"&lt;&gt;")=0,"",IF(OR($D15="",$D15&lt;=0),"Saisissez un montant supérieur à zéro.",IF($E15="","Sélectionnez la personne qui a payé.",IF(COUNTIF($G15:$L15,"Oui")=0,"Sélectionnez au moins une personne participante.",IF($F15="À parts égales entre participants","Vérifié",IF($F15="Montants convenus",IF(OR(AND(G15="Oui",M15=""),AND(H15="Oui",N15=""),AND(I15="Oui",O15=""),AND(J15="Oui",P15=""),AND(K15="Oui",Q15=""),AND(L15="Oui",R15="")),"Saisissez les montants convenus pour que leur somme corresponde à la dépense.",IF(ABS(SUM($M15:$R15))&lt;0.005,"Saisissez les montants convenus pour que leur somme corresponde à la dépense.",IF(SUM($M15:$R15)&lt;$D15-0.005,"Montant restant à répartir : "&amp;ROUND($D15-SUM($M15:$R15),2)&amp;".",IF(SUM($M15:$R15)&gt;$D15+0.005,"Montant réparti en trop : "&amp;ROUND(SUM($M15:$R15)-$D15,2)&amp;".","Vérifié")))),"Saisissez les montants convenus pour que leur somme corresponde à la dépense."))))))</f>
      </c>
    </row>
    <row r="16">
      <c r="A16" s="83"/>
      <c r="B16" s="57"/>
      <c r="C16" s="57"/>
      <c r="D16" s="85"/>
      <c r="E16" s="57"/>
      <c r="F16" s="57"/>
      <c r="G16" s="57"/>
      <c r="H16" s="57"/>
      <c r="I16" s="57"/>
      <c r="J16" s="57"/>
      <c r="K16" s="57"/>
      <c r="L16" s="57"/>
      <c r="M16" s="85"/>
      <c r="N16" s="85"/>
      <c r="O16" s="85"/>
      <c r="P16" s="85"/>
      <c r="Q16" s="85"/>
      <c r="R16" s="85"/>
      <c r="S16" s="57"/>
      <c r="T16" s="87" t="str">
        <f>IF(COUNTIF($A16:$S16,"&lt;&gt;")=0,"",IF($F16="À parts égales entre participants",IF(G16&lt;&gt;"Oui",0,IF(COUNTIF($H16:$L16,"Oui")=0,$D16-0,ROUND($D16/COUNTIF($G16:$L16,"Oui"),2))),IF($F16="Montants convenus",IF(G16="Oui",M16,0),"")))</f>
      </c>
      <c r="U16" s="87" t="str">
        <f>IF(COUNTIF($A16:$S16,"&lt;&gt;")=0,"",IF($F16="À parts égales entre participants",IF(H16&lt;&gt;"Oui",0,IF(COUNTIF($I16:$L16,"Oui")=0,$D16-SUM($T16:T16),ROUND($D16/COUNTIF($G16:$L16,"Oui"),2))),IF($F16="Montants convenus",IF(H16="Oui",N16,0),"")))</f>
      </c>
      <c r="V16" s="87" t="str">
        <f>IF(COUNTIF($A16:$S16,"&lt;&gt;")=0,"",IF($F16="À parts égales entre participants",IF(I16&lt;&gt;"Oui",0,IF(COUNTIF($J16:$L16,"Oui")=0,$D16-SUM($T16:U16),ROUND($D16/COUNTIF($G16:$L16,"Oui"),2))),IF($F16="Montants convenus",IF(I16="Oui",O16,0),"")))</f>
      </c>
      <c r="W16" s="87" t="str">
        <f>IF(COUNTIF($A16:$S16,"&lt;&gt;")=0,"",IF($F16="À parts égales entre participants",IF(J16&lt;&gt;"Oui",0,IF(COUNTIF($K16:$L16,"Oui")=0,$D16-SUM($T16:V16),ROUND($D16/COUNTIF($G16:$L16,"Oui"),2))),IF($F16="Montants convenus",IF(J16="Oui",P16,0),"")))</f>
      </c>
      <c r="X16" s="87" t="str">
        <f>IF(COUNTIF($A16:$S16,"&lt;&gt;")=0,"",IF($F16="À parts égales entre participants",IF(K16&lt;&gt;"Oui",0,IF(COUNTIF($L16:$L16,"Oui")=0,$D16-SUM($T16:W16),ROUND($D16/COUNTIF($G16:$L16,"Oui"),2))),IF($F16="Montants convenus",IF(K16="Oui",Q16,0),"")))</f>
      </c>
      <c r="Y16" s="87" t="str">
        <f>IF(COUNTIF($A16:$S16,"&lt;&gt;")=0,"",IF($F16="À parts égales entre participants",IF(L16&lt;&gt;"Oui",0,IF(0=0,$D16-SUM($T16:X16),ROUND($D16/COUNTIF($G16:$L16,"Oui"),2))),IF($F16="Montants convenus",IF(L16="Oui",R16,0),"")))</f>
      </c>
      <c r="Z16" s="81" t="str">
        <f>IF(COUNTIF($A16:$S16,"&lt;&gt;")=0,"",IF(OR($D16="",$D16&lt;=0),"Saisissez un montant supérieur à zéro.",IF($E16="","Sélectionnez la personne qui a payé.",IF(COUNTIF($G16:$L16,"Oui")=0,"Sélectionnez au moins une personne participante.",IF($F16="À parts égales entre participants","Vérifié",IF($F16="Montants convenus",IF(OR(AND(G16="Oui",M16=""),AND(H16="Oui",N16=""),AND(I16="Oui",O16=""),AND(J16="Oui",P16=""),AND(K16="Oui",Q16=""),AND(L16="Oui",R16="")),"Saisissez les montants convenus pour que leur somme corresponde à la dépense.",IF(ABS(SUM($M16:$R16))&lt;0.005,"Saisissez les montants convenus pour que leur somme corresponde à la dépense.",IF(SUM($M16:$R16)&lt;$D16-0.005,"Montant restant à répartir : "&amp;ROUND($D16-SUM($M16:$R16),2)&amp;".",IF(SUM($M16:$R16)&gt;$D16+0.005,"Montant réparti en trop : "&amp;ROUND(SUM($M16:$R16)-$D16,2)&amp;".","Vérifié")))),"Saisissez les montants convenus pour que leur somme corresponde à la dépense."))))))</f>
      </c>
    </row>
    <row r="17">
      <c r="A17" s="83"/>
      <c r="B17" s="57"/>
      <c r="C17" s="57"/>
      <c r="D17" s="85"/>
      <c r="E17" s="57"/>
      <c r="F17" s="57"/>
      <c r="G17" s="57"/>
      <c r="H17" s="57"/>
      <c r="I17" s="57"/>
      <c r="J17" s="57"/>
      <c r="K17" s="57"/>
      <c r="L17" s="57"/>
      <c r="M17" s="85"/>
      <c r="N17" s="85"/>
      <c r="O17" s="85"/>
      <c r="P17" s="85"/>
      <c r="Q17" s="85"/>
      <c r="R17" s="85"/>
      <c r="S17" s="57"/>
      <c r="T17" s="87" t="str">
        <f>IF(COUNTIF($A17:$S17,"&lt;&gt;")=0,"",IF($F17="À parts égales entre participants",IF(G17&lt;&gt;"Oui",0,IF(COUNTIF($H17:$L17,"Oui")=0,$D17-0,ROUND($D17/COUNTIF($G17:$L17,"Oui"),2))),IF($F17="Montants convenus",IF(G17="Oui",M17,0),"")))</f>
      </c>
      <c r="U17" s="87" t="str">
        <f>IF(COUNTIF($A17:$S17,"&lt;&gt;")=0,"",IF($F17="À parts égales entre participants",IF(H17&lt;&gt;"Oui",0,IF(COUNTIF($I17:$L17,"Oui")=0,$D17-SUM($T17:T17),ROUND($D17/COUNTIF($G17:$L17,"Oui"),2))),IF($F17="Montants convenus",IF(H17="Oui",N17,0),"")))</f>
      </c>
      <c r="V17" s="87" t="str">
        <f>IF(COUNTIF($A17:$S17,"&lt;&gt;")=0,"",IF($F17="À parts égales entre participants",IF(I17&lt;&gt;"Oui",0,IF(COUNTIF($J17:$L17,"Oui")=0,$D17-SUM($T17:U17),ROUND($D17/COUNTIF($G17:$L17,"Oui"),2))),IF($F17="Montants convenus",IF(I17="Oui",O17,0),"")))</f>
      </c>
      <c r="W17" s="87" t="str">
        <f>IF(COUNTIF($A17:$S17,"&lt;&gt;")=0,"",IF($F17="À parts égales entre participants",IF(J17&lt;&gt;"Oui",0,IF(COUNTIF($K17:$L17,"Oui")=0,$D17-SUM($T17:V17),ROUND($D17/COUNTIF($G17:$L17,"Oui"),2))),IF($F17="Montants convenus",IF(J17="Oui",P17,0),"")))</f>
      </c>
      <c r="X17" s="87" t="str">
        <f>IF(COUNTIF($A17:$S17,"&lt;&gt;")=0,"",IF($F17="À parts égales entre participants",IF(K17&lt;&gt;"Oui",0,IF(COUNTIF($L17:$L17,"Oui")=0,$D17-SUM($T17:W17),ROUND($D17/COUNTIF($G17:$L17,"Oui"),2))),IF($F17="Montants convenus",IF(K17="Oui",Q17,0),"")))</f>
      </c>
      <c r="Y17" s="87" t="str">
        <f>IF(COUNTIF($A17:$S17,"&lt;&gt;")=0,"",IF($F17="À parts égales entre participants",IF(L17&lt;&gt;"Oui",0,IF(0=0,$D17-SUM($T17:X17),ROUND($D17/COUNTIF($G17:$L17,"Oui"),2))),IF($F17="Montants convenus",IF(L17="Oui",R17,0),"")))</f>
      </c>
      <c r="Z17" s="81" t="str">
        <f>IF(COUNTIF($A17:$S17,"&lt;&gt;")=0,"",IF(OR($D17="",$D17&lt;=0),"Saisissez un montant supérieur à zéro.",IF($E17="","Sélectionnez la personne qui a payé.",IF(COUNTIF($G17:$L17,"Oui")=0,"Sélectionnez au moins une personne participante.",IF($F17="À parts égales entre participants","Vérifié",IF($F17="Montants convenus",IF(OR(AND(G17="Oui",M17=""),AND(H17="Oui",N17=""),AND(I17="Oui",O17=""),AND(J17="Oui",P17=""),AND(K17="Oui",Q17=""),AND(L17="Oui",R17="")),"Saisissez les montants convenus pour que leur somme corresponde à la dépense.",IF(ABS(SUM($M17:$R17))&lt;0.005,"Saisissez les montants convenus pour que leur somme corresponde à la dépense.",IF(SUM($M17:$R17)&lt;$D17-0.005,"Montant restant à répartir : "&amp;ROUND($D17-SUM($M17:$R17),2)&amp;".",IF(SUM($M17:$R17)&gt;$D17+0.005,"Montant réparti en trop : "&amp;ROUND(SUM($M17:$R17)-$D17,2)&amp;".","Vérifié")))),"Saisissez les montants convenus pour que leur somme corresponde à la dépense."))))))</f>
      </c>
    </row>
    <row r="18">
      <c r="A18" s="83"/>
      <c r="B18" s="57"/>
      <c r="C18" s="57"/>
      <c r="D18" s="85"/>
      <c r="E18" s="57"/>
      <c r="F18" s="57"/>
      <c r="G18" s="57"/>
      <c r="H18" s="57"/>
      <c r="I18" s="57"/>
      <c r="J18" s="57"/>
      <c r="K18" s="57"/>
      <c r="L18" s="57"/>
      <c r="M18" s="85"/>
      <c r="N18" s="85"/>
      <c r="O18" s="85"/>
      <c r="P18" s="85"/>
      <c r="Q18" s="85"/>
      <c r="R18" s="85"/>
      <c r="S18" s="57"/>
      <c r="T18" s="87" t="str">
        <f>IF(COUNTIF($A18:$S18,"&lt;&gt;")=0,"",IF($F18="À parts égales entre participants",IF(G18&lt;&gt;"Oui",0,IF(COUNTIF($H18:$L18,"Oui")=0,$D18-0,ROUND($D18/COUNTIF($G18:$L18,"Oui"),2))),IF($F18="Montants convenus",IF(G18="Oui",M18,0),"")))</f>
      </c>
      <c r="U18" s="87" t="str">
        <f>IF(COUNTIF($A18:$S18,"&lt;&gt;")=0,"",IF($F18="À parts égales entre participants",IF(H18&lt;&gt;"Oui",0,IF(COUNTIF($I18:$L18,"Oui")=0,$D18-SUM($T18:T18),ROUND($D18/COUNTIF($G18:$L18,"Oui"),2))),IF($F18="Montants convenus",IF(H18="Oui",N18,0),"")))</f>
      </c>
      <c r="V18" s="87" t="str">
        <f>IF(COUNTIF($A18:$S18,"&lt;&gt;")=0,"",IF($F18="À parts égales entre participants",IF(I18&lt;&gt;"Oui",0,IF(COUNTIF($J18:$L18,"Oui")=0,$D18-SUM($T18:U18),ROUND($D18/COUNTIF($G18:$L18,"Oui"),2))),IF($F18="Montants convenus",IF(I18="Oui",O18,0),"")))</f>
      </c>
      <c r="W18" s="87" t="str">
        <f>IF(COUNTIF($A18:$S18,"&lt;&gt;")=0,"",IF($F18="À parts égales entre participants",IF(J18&lt;&gt;"Oui",0,IF(COUNTIF($K18:$L18,"Oui")=0,$D18-SUM($T18:V18),ROUND($D18/COUNTIF($G18:$L18,"Oui"),2))),IF($F18="Montants convenus",IF(J18="Oui",P18,0),"")))</f>
      </c>
      <c r="X18" s="87" t="str">
        <f>IF(COUNTIF($A18:$S18,"&lt;&gt;")=0,"",IF($F18="À parts égales entre participants",IF(K18&lt;&gt;"Oui",0,IF(COUNTIF($L18:$L18,"Oui")=0,$D18-SUM($T18:W18),ROUND($D18/COUNTIF($G18:$L18,"Oui"),2))),IF($F18="Montants convenus",IF(K18="Oui",Q18,0),"")))</f>
      </c>
      <c r="Y18" s="87" t="str">
        <f>IF(COUNTIF($A18:$S18,"&lt;&gt;")=0,"",IF($F18="À parts égales entre participants",IF(L18&lt;&gt;"Oui",0,IF(0=0,$D18-SUM($T18:X18),ROUND($D18/COUNTIF($G18:$L18,"Oui"),2))),IF($F18="Montants convenus",IF(L18="Oui",R18,0),"")))</f>
      </c>
      <c r="Z18" s="81" t="str">
        <f>IF(COUNTIF($A18:$S18,"&lt;&gt;")=0,"",IF(OR($D18="",$D18&lt;=0),"Saisissez un montant supérieur à zéro.",IF($E18="","Sélectionnez la personne qui a payé.",IF(COUNTIF($G18:$L18,"Oui")=0,"Sélectionnez au moins une personne participante.",IF($F18="À parts égales entre participants","Vérifié",IF($F18="Montants convenus",IF(OR(AND(G18="Oui",M18=""),AND(H18="Oui",N18=""),AND(I18="Oui",O18=""),AND(J18="Oui",P18=""),AND(K18="Oui",Q18=""),AND(L18="Oui",R18="")),"Saisissez les montants convenus pour que leur somme corresponde à la dépense.",IF(ABS(SUM($M18:$R18))&lt;0.005,"Saisissez les montants convenus pour que leur somme corresponde à la dépense.",IF(SUM($M18:$R18)&lt;$D18-0.005,"Montant restant à répartir : "&amp;ROUND($D18-SUM($M18:$R18),2)&amp;".",IF(SUM($M18:$R18)&gt;$D18+0.005,"Montant réparti en trop : "&amp;ROUND(SUM($M18:$R18)-$D18,2)&amp;".","Vérifié")))),"Saisissez les montants convenus pour que leur somme corresponde à la dépense."))))))</f>
      </c>
    </row>
    <row r="19">
      <c r="A19" s="83"/>
      <c r="B19" s="57"/>
      <c r="C19" s="57"/>
      <c r="D19" s="85"/>
      <c r="E19" s="57"/>
      <c r="F19" s="57"/>
      <c r="G19" s="57"/>
      <c r="H19" s="57"/>
      <c r="I19" s="57"/>
      <c r="J19" s="57"/>
      <c r="K19" s="57"/>
      <c r="L19" s="57"/>
      <c r="M19" s="85"/>
      <c r="N19" s="85"/>
      <c r="O19" s="85"/>
      <c r="P19" s="85"/>
      <c r="Q19" s="85"/>
      <c r="R19" s="85"/>
      <c r="S19" s="57"/>
      <c r="T19" s="87" t="str">
        <f>IF(COUNTIF($A19:$S19,"&lt;&gt;")=0,"",IF($F19="À parts égales entre participants",IF(G19&lt;&gt;"Oui",0,IF(COUNTIF($H19:$L19,"Oui")=0,$D19-0,ROUND($D19/COUNTIF($G19:$L19,"Oui"),2))),IF($F19="Montants convenus",IF(G19="Oui",M19,0),"")))</f>
      </c>
      <c r="U19" s="87" t="str">
        <f>IF(COUNTIF($A19:$S19,"&lt;&gt;")=0,"",IF($F19="À parts égales entre participants",IF(H19&lt;&gt;"Oui",0,IF(COUNTIF($I19:$L19,"Oui")=0,$D19-SUM($T19:T19),ROUND($D19/COUNTIF($G19:$L19,"Oui"),2))),IF($F19="Montants convenus",IF(H19="Oui",N19,0),"")))</f>
      </c>
      <c r="V19" s="87" t="str">
        <f>IF(COUNTIF($A19:$S19,"&lt;&gt;")=0,"",IF($F19="À parts égales entre participants",IF(I19&lt;&gt;"Oui",0,IF(COUNTIF($J19:$L19,"Oui")=0,$D19-SUM($T19:U19),ROUND($D19/COUNTIF($G19:$L19,"Oui"),2))),IF($F19="Montants convenus",IF(I19="Oui",O19,0),"")))</f>
      </c>
      <c r="W19" s="87" t="str">
        <f>IF(COUNTIF($A19:$S19,"&lt;&gt;")=0,"",IF($F19="À parts égales entre participants",IF(J19&lt;&gt;"Oui",0,IF(COUNTIF($K19:$L19,"Oui")=0,$D19-SUM($T19:V19),ROUND($D19/COUNTIF($G19:$L19,"Oui"),2))),IF($F19="Montants convenus",IF(J19="Oui",P19,0),"")))</f>
      </c>
      <c r="X19" s="87" t="str">
        <f>IF(COUNTIF($A19:$S19,"&lt;&gt;")=0,"",IF($F19="À parts égales entre participants",IF(K19&lt;&gt;"Oui",0,IF(COUNTIF($L19:$L19,"Oui")=0,$D19-SUM($T19:W19),ROUND($D19/COUNTIF($G19:$L19,"Oui"),2))),IF($F19="Montants convenus",IF(K19="Oui",Q19,0),"")))</f>
      </c>
      <c r="Y19" s="87" t="str">
        <f>IF(COUNTIF($A19:$S19,"&lt;&gt;")=0,"",IF($F19="À parts égales entre participants",IF(L19&lt;&gt;"Oui",0,IF(0=0,$D19-SUM($T19:X19),ROUND($D19/COUNTIF($G19:$L19,"Oui"),2))),IF($F19="Montants convenus",IF(L19="Oui",R19,0),"")))</f>
      </c>
      <c r="Z19" s="81" t="str">
        <f>IF(COUNTIF($A19:$S19,"&lt;&gt;")=0,"",IF(OR($D19="",$D19&lt;=0),"Saisissez un montant supérieur à zéro.",IF($E19="","Sélectionnez la personne qui a payé.",IF(COUNTIF($G19:$L19,"Oui")=0,"Sélectionnez au moins une personne participante.",IF($F19="À parts égales entre participants","Vérifié",IF($F19="Montants convenus",IF(OR(AND(G19="Oui",M19=""),AND(H19="Oui",N19=""),AND(I19="Oui",O19=""),AND(J19="Oui",P19=""),AND(K19="Oui",Q19=""),AND(L19="Oui",R19="")),"Saisissez les montants convenus pour que leur somme corresponde à la dépense.",IF(ABS(SUM($M19:$R19))&lt;0.005,"Saisissez les montants convenus pour que leur somme corresponde à la dépense.",IF(SUM($M19:$R19)&lt;$D19-0.005,"Montant restant à répartir : "&amp;ROUND($D19-SUM($M19:$R19),2)&amp;".",IF(SUM($M19:$R19)&gt;$D19+0.005,"Montant réparti en trop : "&amp;ROUND(SUM($M19:$R19)-$D19,2)&amp;".","Vérifié")))),"Saisissez les montants convenus pour que leur somme corresponde à la dépense."))))))</f>
      </c>
    </row>
    <row r="20">
      <c r="A20" s="83"/>
      <c r="B20" s="57"/>
      <c r="C20" s="57"/>
      <c r="D20" s="85"/>
      <c r="E20" s="57"/>
      <c r="F20" s="57"/>
      <c r="G20" s="57"/>
      <c r="H20" s="57"/>
      <c r="I20" s="57"/>
      <c r="J20" s="57"/>
      <c r="K20" s="57"/>
      <c r="L20" s="57"/>
      <c r="M20" s="85"/>
      <c r="N20" s="85"/>
      <c r="O20" s="85"/>
      <c r="P20" s="85"/>
      <c r="Q20" s="85"/>
      <c r="R20" s="85"/>
      <c r="S20" s="57"/>
      <c r="T20" s="87" t="str">
        <f>IF(COUNTIF($A20:$S20,"&lt;&gt;")=0,"",IF($F20="À parts égales entre participants",IF(G20&lt;&gt;"Oui",0,IF(COUNTIF($H20:$L20,"Oui")=0,$D20-0,ROUND($D20/COUNTIF($G20:$L20,"Oui"),2))),IF($F20="Montants convenus",IF(G20="Oui",M20,0),"")))</f>
      </c>
      <c r="U20" s="87" t="str">
        <f>IF(COUNTIF($A20:$S20,"&lt;&gt;")=0,"",IF($F20="À parts égales entre participants",IF(H20&lt;&gt;"Oui",0,IF(COUNTIF($I20:$L20,"Oui")=0,$D20-SUM($T20:T20),ROUND($D20/COUNTIF($G20:$L20,"Oui"),2))),IF($F20="Montants convenus",IF(H20="Oui",N20,0),"")))</f>
      </c>
      <c r="V20" s="87" t="str">
        <f>IF(COUNTIF($A20:$S20,"&lt;&gt;")=0,"",IF($F20="À parts égales entre participants",IF(I20&lt;&gt;"Oui",0,IF(COUNTIF($J20:$L20,"Oui")=0,$D20-SUM($T20:U20),ROUND($D20/COUNTIF($G20:$L20,"Oui"),2))),IF($F20="Montants convenus",IF(I20="Oui",O20,0),"")))</f>
      </c>
      <c r="W20" s="87" t="str">
        <f>IF(COUNTIF($A20:$S20,"&lt;&gt;")=0,"",IF($F20="À parts égales entre participants",IF(J20&lt;&gt;"Oui",0,IF(COUNTIF($K20:$L20,"Oui")=0,$D20-SUM($T20:V20),ROUND($D20/COUNTIF($G20:$L20,"Oui"),2))),IF($F20="Montants convenus",IF(J20="Oui",P20,0),"")))</f>
      </c>
      <c r="X20" s="87" t="str">
        <f>IF(COUNTIF($A20:$S20,"&lt;&gt;")=0,"",IF($F20="À parts égales entre participants",IF(K20&lt;&gt;"Oui",0,IF(COUNTIF($L20:$L20,"Oui")=0,$D20-SUM($T20:W20),ROUND($D20/COUNTIF($G20:$L20,"Oui"),2))),IF($F20="Montants convenus",IF(K20="Oui",Q20,0),"")))</f>
      </c>
      <c r="Y20" s="87" t="str">
        <f>IF(COUNTIF($A20:$S20,"&lt;&gt;")=0,"",IF($F20="À parts égales entre participants",IF(L20&lt;&gt;"Oui",0,IF(0=0,$D20-SUM($T20:X20),ROUND($D20/COUNTIF($G20:$L20,"Oui"),2))),IF($F20="Montants convenus",IF(L20="Oui",R20,0),"")))</f>
      </c>
      <c r="Z20" s="81" t="str">
        <f>IF(COUNTIF($A20:$S20,"&lt;&gt;")=0,"",IF(OR($D20="",$D20&lt;=0),"Saisissez un montant supérieur à zéro.",IF($E20="","Sélectionnez la personne qui a payé.",IF(COUNTIF($G20:$L20,"Oui")=0,"Sélectionnez au moins une personne participante.",IF($F20="À parts égales entre participants","Vérifié",IF($F20="Montants convenus",IF(OR(AND(G20="Oui",M20=""),AND(H20="Oui",N20=""),AND(I20="Oui",O20=""),AND(J20="Oui",P20=""),AND(K20="Oui",Q20=""),AND(L20="Oui",R20="")),"Saisissez les montants convenus pour que leur somme corresponde à la dépense.",IF(ABS(SUM($M20:$R20))&lt;0.005,"Saisissez les montants convenus pour que leur somme corresponde à la dépense.",IF(SUM($M20:$R20)&lt;$D20-0.005,"Montant restant à répartir : "&amp;ROUND($D20-SUM($M20:$R20),2)&amp;".",IF(SUM($M20:$R20)&gt;$D20+0.005,"Montant réparti en trop : "&amp;ROUND(SUM($M20:$R20)-$D20,2)&amp;".","Vérifié")))),"Saisissez les montants convenus pour que leur somme corresponde à la dépense."))))))</f>
      </c>
    </row>
    <row r="21">
      <c r="A21" s="83"/>
      <c r="B21" s="57"/>
      <c r="C21" s="57"/>
      <c r="D21" s="85"/>
      <c r="E21" s="57"/>
      <c r="F21" s="57"/>
      <c r="G21" s="57"/>
      <c r="H21" s="57"/>
      <c r="I21" s="57"/>
      <c r="J21" s="57"/>
      <c r="K21" s="57"/>
      <c r="L21" s="57"/>
      <c r="M21" s="85"/>
      <c r="N21" s="85"/>
      <c r="O21" s="85"/>
      <c r="P21" s="85"/>
      <c r="Q21" s="85"/>
      <c r="R21" s="85"/>
      <c r="S21" s="57"/>
      <c r="T21" s="87" t="str">
        <f>IF(COUNTIF($A21:$S21,"&lt;&gt;")=0,"",IF($F21="À parts égales entre participants",IF(G21&lt;&gt;"Oui",0,IF(COUNTIF($H21:$L21,"Oui")=0,$D21-0,ROUND($D21/COUNTIF($G21:$L21,"Oui"),2))),IF($F21="Montants convenus",IF(G21="Oui",M21,0),"")))</f>
      </c>
      <c r="U21" s="87" t="str">
        <f>IF(COUNTIF($A21:$S21,"&lt;&gt;")=0,"",IF($F21="À parts égales entre participants",IF(H21&lt;&gt;"Oui",0,IF(COUNTIF($I21:$L21,"Oui")=0,$D21-SUM($T21:T21),ROUND($D21/COUNTIF($G21:$L21,"Oui"),2))),IF($F21="Montants convenus",IF(H21="Oui",N21,0),"")))</f>
      </c>
      <c r="V21" s="87" t="str">
        <f>IF(COUNTIF($A21:$S21,"&lt;&gt;")=0,"",IF($F21="À parts égales entre participants",IF(I21&lt;&gt;"Oui",0,IF(COUNTIF($J21:$L21,"Oui")=0,$D21-SUM($T21:U21),ROUND($D21/COUNTIF($G21:$L21,"Oui"),2))),IF($F21="Montants convenus",IF(I21="Oui",O21,0),"")))</f>
      </c>
      <c r="W21" s="87" t="str">
        <f>IF(COUNTIF($A21:$S21,"&lt;&gt;")=0,"",IF($F21="À parts égales entre participants",IF(J21&lt;&gt;"Oui",0,IF(COUNTIF($K21:$L21,"Oui")=0,$D21-SUM($T21:V21),ROUND($D21/COUNTIF($G21:$L21,"Oui"),2))),IF($F21="Montants convenus",IF(J21="Oui",P21,0),"")))</f>
      </c>
      <c r="X21" s="87" t="str">
        <f>IF(COUNTIF($A21:$S21,"&lt;&gt;")=0,"",IF($F21="À parts égales entre participants",IF(K21&lt;&gt;"Oui",0,IF(COUNTIF($L21:$L21,"Oui")=0,$D21-SUM($T21:W21),ROUND($D21/COUNTIF($G21:$L21,"Oui"),2))),IF($F21="Montants convenus",IF(K21="Oui",Q21,0),"")))</f>
      </c>
      <c r="Y21" s="87" t="str">
        <f>IF(COUNTIF($A21:$S21,"&lt;&gt;")=0,"",IF($F21="À parts égales entre participants",IF(L21&lt;&gt;"Oui",0,IF(0=0,$D21-SUM($T21:X21),ROUND($D21/COUNTIF($G21:$L21,"Oui"),2))),IF($F21="Montants convenus",IF(L21="Oui",R21,0),"")))</f>
      </c>
      <c r="Z21" s="81" t="str">
        <f>IF(COUNTIF($A21:$S21,"&lt;&gt;")=0,"",IF(OR($D21="",$D21&lt;=0),"Saisissez un montant supérieur à zéro.",IF($E21="","Sélectionnez la personne qui a payé.",IF(COUNTIF($G21:$L21,"Oui")=0,"Sélectionnez au moins une personne participante.",IF($F21="À parts égales entre participants","Vérifié",IF($F21="Montants convenus",IF(OR(AND(G21="Oui",M21=""),AND(H21="Oui",N21=""),AND(I21="Oui",O21=""),AND(J21="Oui",P21=""),AND(K21="Oui",Q21=""),AND(L21="Oui",R21="")),"Saisissez les montants convenus pour que leur somme corresponde à la dépense.",IF(ABS(SUM($M21:$R21))&lt;0.005,"Saisissez les montants convenus pour que leur somme corresponde à la dépense.",IF(SUM($M21:$R21)&lt;$D21-0.005,"Montant restant à répartir : "&amp;ROUND($D21-SUM($M21:$R21),2)&amp;".",IF(SUM($M21:$R21)&gt;$D21+0.005,"Montant réparti en trop : "&amp;ROUND(SUM($M21:$R21)-$D21,2)&amp;".","Vérifié")))),"Saisissez les montants convenus pour que leur somme corresponde à la dépense."))))))</f>
      </c>
    </row>
    <row r="22">
      <c r="A22" s="83"/>
      <c r="B22" s="57"/>
      <c r="C22" s="57"/>
      <c r="D22" s="85"/>
      <c r="E22" s="57"/>
      <c r="F22" s="57"/>
      <c r="G22" s="57"/>
      <c r="H22" s="57"/>
      <c r="I22" s="57"/>
      <c r="J22" s="57"/>
      <c r="K22" s="57"/>
      <c r="L22" s="57"/>
      <c r="M22" s="85"/>
      <c r="N22" s="85"/>
      <c r="O22" s="85"/>
      <c r="P22" s="85"/>
      <c r="Q22" s="85"/>
      <c r="R22" s="85"/>
      <c r="S22" s="57"/>
      <c r="T22" s="87" t="str">
        <f>IF(COUNTIF($A22:$S22,"&lt;&gt;")=0,"",IF($F22="À parts égales entre participants",IF(G22&lt;&gt;"Oui",0,IF(COUNTIF($H22:$L22,"Oui")=0,$D22-0,ROUND($D22/COUNTIF($G22:$L22,"Oui"),2))),IF($F22="Montants convenus",IF(G22="Oui",M22,0),"")))</f>
      </c>
      <c r="U22" s="87" t="str">
        <f>IF(COUNTIF($A22:$S22,"&lt;&gt;")=0,"",IF($F22="À parts égales entre participants",IF(H22&lt;&gt;"Oui",0,IF(COUNTIF($I22:$L22,"Oui")=0,$D22-SUM($T22:T22),ROUND($D22/COUNTIF($G22:$L22,"Oui"),2))),IF($F22="Montants convenus",IF(H22="Oui",N22,0),"")))</f>
      </c>
      <c r="V22" s="87" t="str">
        <f>IF(COUNTIF($A22:$S22,"&lt;&gt;")=0,"",IF($F22="À parts égales entre participants",IF(I22&lt;&gt;"Oui",0,IF(COUNTIF($J22:$L22,"Oui")=0,$D22-SUM($T22:U22),ROUND($D22/COUNTIF($G22:$L22,"Oui"),2))),IF($F22="Montants convenus",IF(I22="Oui",O22,0),"")))</f>
      </c>
      <c r="W22" s="87" t="str">
        <f>IF(COUNTIF($A22:$S22,"&lt;&gt;")=0,"",IF($F22="À parts égales entre participants",IF(J22&lt;&gt;"Oui",0,IF(COUNTIF($K22:$L22,"Oui")=0,$D22-SUM($T22:V22),ROUND($D22/COUNTIF($G22:$L22,"Oui"),2))),IF($F22="Montants convenus",IF(J22="Oui",P22,0),"")))</f>
      </c>
      <c r="X22" s="87" t="str">
        <f>IF(COUNTIF($A22:$S22,"&lt;&gt;")=0,"",IF($F22="À parts égales entre participants",IF(K22&lt;&gt;"Oui",0,IF(COUNTIF($L22:$L22,"Oui")=0,$D22-SUM($T22:W22),ROUND($D22/COUNTIF($G22:$L22,"Oui"),2))),IF($F22="Montants convenus",IF(K22="Oui",Q22,0),"")))</f>
      </c>
      <c r="Y22" s="87" t="str">
        <f>IF(COUNTIF($A22:$S22,"&lt;&gt;")=0,"",IF($F22="À parts égales entre participants",IF(L22&lt;&gt;"Oui",0,IF(0=0,$D22-SUM($T22:X22),ROUND($D22/COUNTIF($G22:$L22,"Oui"),2))),IF($F22="Montants convenus",IF(L22="Oui",R22,0),"")))</f>
      </c>
      <c r="Z22" s="81" t="str">
        <f>IF(COUNTIF($A22:$S22,"&lt;&gt;")=0,"",IF(OR($D22="",$D22&lt;=0),"Saisissez un montant supérieur à zéro.",IF($E22="","Sélectionnez la personne qui a payé.",IF(COUNTIF($G22:$L22,"Oui")=0,"Sélectionnez au moins une personne participante.",IF($F22="À parts égales entre participants","Vérifié",IF($F22="Montants convenus",IF(OR(AND(G22="Oui",M22=""),AND(H22="Oui",N22=""),AND(I22="Oui",O22=""),AND(J22="Oui",P22=""),AND(K22="Oui",Q22=""),AND(L22="Oui",R22="")),"Saisissez les montants convenus pour que leur somme corresponde à la dépense.",IF(ABS(SUM($M22:$R22))&lt;0.005,"Saisissez les montants convenus pour que leur somme corresponde à la dépense.",IF(SUM($M22:$R22)&lt;$D22-0.005,"Montant restant à répartir : "&amp;ROUND($D22-SUM($M22:$R22),2)&amp;".",IF(SUM($M22:$R22)&gt;$D22+0.005,"Montant réparti en trop : "&amp;ROUND(SUM($M22:$R22)-$D22,2)&amp;".","Vérifié")))),"Saisissez les montants convenus pour que leur somme corresponde à la dépense."))))))</f>
      </c>
    </row>
    <row r="23">
      <c r="A23" s="83"/>
      <c r="B23" s="57"/>
      <c r="C23" s="57"/>
      <c r="D23" s="85"/>
      <c r="E23" s="57"/>
      <c r="F23" s="57"/>
      <c r="G23" s="57"/>
      <c r="H23" s="57"/>
      <c r="I23" s="57"/>
      <c r="J23" s="57"/>
      <c r="K23" s="57"/>
      <c r="L23" s="57"/>
      <c r="M23" s="85"/>
      <c r="N23" s="85"/>
      <c r="O23" s="85"/>
      <c r="P23" s="85"/>
      <c r="Q23" s="85"/>
      <c r="R23" s="85"/>
      <c r="S23" s="57"/>
      <c r="T23" s="87" t="str">
        <f>IF(COUNTIF($A23:$S23,"&lt;&gt;")=0,"",IF($F23="À parts égales entre participants",IF(G23&lt;&gt;"Oui",0,IF(COUNTIF($H23:$L23,"Oui")=0,$D23-0,ROUND($D23/COUNTIF($G23:$L23,"Oui"),2))),IF($F23="Montants convenus",IF(G23="Oui",M23,0),"")))</f>
      </c>
      <c r="U23" s="87" t="str">
        <f>IF(COUNTIF($A23:$S23,"&lt;&gt;")=0,"",IF($F23="À parts égales entre participants",IF(H23&lt;&gt;"Oui",0,IF(COUNTIF($I23:$L23,"Oui")=0,$D23-SUM($T23:T23),ROUND($D23/COUNTIF($G23:$L23,"Oui"),2))),IF($F23="Montants convenus",IF(H23="Oui",N23,0),"")))</f>
      </c>
      <c r="V23" s="87" t="str">
        <f>IF(COUNTIF($A23:$S23,"&lt;&gt;")=0,"",IF($F23="À parts égales entre participants",IF(I23&lt;&gt;"Oui",0,IF(COUNTIF($J23:$L23,"Oui")=0,$D23-SUM($T23:U23),ROUND($D23/COUNTIF($G23:$L23,"Oui"),2))),IF($F23="Montants convenus",IF(I23="Oui",O23,0),"")))</f>
      </c>
      <c r="W23" s="87" t="str">
        <f>IF(COUNTIF($A23:$S23,"&lt;&gt;")=0,"",IF($F23="À parts égales entre participants",IF(J23&lt;&gt;"Oui",0,IF(COUNTIF($K23:$L23,"Oui")=0,$D23-SUM($T23:V23),ROUND($D23/COUNTIF($G23:$L23,"Oui"),2))),IF($F23="Montants convenus",IF(J23="Oui",P23,0),"")))</f>
      </c>
      <c r="X23" s="87" t="str">
        <f>IF(COUNTIF($A23:$S23,"&lt;&gt;")=0,"",IF($F23="À parts égales entre participants",IF(K23&lt;&gt;"Oui",0,IF(COUNTIF($L23:$L23,"Oui")=0,$D23-SUM($T23:W23),ROUND($D23/COUNTIF($G23:$L23,"Oui"),2))),IF($F23="Montants convenus",IF(K23="Oui",Q23,0),"")))</f>
      </c>
      <c r="Y23" s="87" t="str">
        <f>IF(COUNTIF($A23:$S23,"&lt;&gt;")=0,"",IF($F23="À parts égales entre participants",IF(L23&lt;&gt;"Oui",0,IF(0=0,$D23-SUM($T23:X23),ROUND($D23/COUNTIF($G23:$L23,"Oui"),2))),IF($F23="Montants convenus",IF(L23="Oui",R23,0),"")))</f>
      </c>
      <c r="Z23" s="81" t="str">
        <f>IF(COUNTIF($A23:$S23,"&lt;&gt;")=0,"",IF(OR($D23="",$D23&lt;=0),"Saisissez un montant supérieur à zéro.",IF($E23="","Sélectionnez la personne qui a payé.",IF(COUNTIF($G23:$L23,"Oui")=0,"Sélectionnez au moins une personne participante.",IF($F23="À parts égales entre participants","Vérifié",IF($F23="Montants convenus",IF(OR(AND(G23="Oui",M23=""),AND(H23="Oui",N23=""),AND(I23="Oui",O23=""),AND(J23="Oui",P23=""),AND(K23="Oui",Q23=""),AND(L23="Oui",R23="")),"Saisissez les montants convenus pour que leur somme corresponde à la dépense.",IF(ABS(SUM($M23:$R23))&lt;0.005,"Saisissez les montants convenus pour que leur somme corresponde à la dépense.",IF(SUM($M23:$R23)&lt;$D23-0.005,"Montant restant à répartir : "&amp;ROUND($D23-SUM($M23:$R23),2)&amp;".",IF(SUM($M23:$R23)&gt;$D23+0.005,"Montant réparti en trop : "&amp;ROUND(SUM($M23:$R23)-$D23,2)&amp;".","Vérifié")))),"Saisissez les montants convenus pour que leur somme corresponde à la dépense."))))))</f>
      </c>
    </row>
    <row r="24">
      <c r="A24" s="83"/>
      <c r="B24" s="57"/>
      <c r="C24" s="57"/>
      <c r="D24" s="85"/>
      <c r="E24" s="57"/>
      <c r="F24" s="57"/>
      <c r="G24" s="57"/>
      <c r="H24" s="57"/>
      <c r="I24" s="57"/>
      <c r="J24" s="57"/>
      <c r="K24" s="57"/>
      <c r="L24" s="57"/>
      <c r="M24" s="85"/>
      <c r="N24" s="85"/>
      <c r="O24" s="85"/>
      <c r="P24" s="85"/>
      <c r="Q24" s="85"/>
      <c r="R24" s="85"/>
      <c r="S24" s="57"/>
      <c r="T24" s="87" t="str">
        <f>IF(COUNTIF($A24:$S24,"&lt;&gt;")=0,"",IF($F24="À parts égales entre participants",IF(G24&lt;&gt;"Oui",0,IF(COUNTIF($H24:$L24,"Oui")=0,$D24-0,ROUND($D24/COUNTIF($G24:$L24,"Oui"),2))),IF($F24="Montants convenus",IF(G24="Oui",M24,0),"")))</f>
      </c>
      <c r="U24" s="87" t="str">
        <f>IF(COUNTIF($A24:$S24,"&lt;&gt;")=0,"",IF($F24="À parts égales entre participants",IF(H24&lt;&gt;"Oui",0,IF(COUNTIF($I24:$L24,"Oui")=0,$D24-SUM($T24:T24),ROUND($D24/COUNTIF($G24:$L24,"Oui"),2))),IF($F24="Montants convenus",IF(H24="Oui",N24,0),"")))</f>
      </c>
      <c r="V24" s="87" t="str">
        <f>IF(COUNTIF($A24:$S24,"&lt;&gt;")=0,"",IF($F24="À parts égales entre participants",IF(I24&lt;&gt;"Oui",0,IF(COUNTIF($J24:$L24,"Oui")=0,$D24-SUM($T24:U24),ROUND($D24/COUNTIF($G24:$L24,"Oui"),2))),IF($F24="Montants convenus",IF(I24="Oui",O24,0),"")))</f>
      </c>
      <c r="W24" s="87" t="str">
        <f>IF(COUNTIF($A24:$S24,"&lt;&gt;")=0,"",IF($F24="À parts égales entre participants",IF(J24&lt;&gt;"Oui",0,IF(COUNTIF($K24:$L24,"Oui")=0,$D24-SUM($T24:V24),ROUND($D24/COUNTIF($G24:$L24,"Oui"),2))),IF($F24="Montants convenus",IF(J24="Oui",P24,0),"")))</f>
      </c>
      <c r="X24" s="87" t="str">
        <f>IF(COUNTIF($A24:$S24,"&lt;&gt;")=0,"",IF($F24="À parts égales entre participants",IF(K24&lt;&gt;"Oui",0,IF(COUNTIF($L24:$L24,"Oui")=0,$D24-SUM($T24:W24),ROUND($D24/COUNTIF($G24:$L24,"Oui"),2))),IF($F24="Montants convenus",IF(K24="Oui",Q24,0),"")))</f>
      </c>
      <c r="Y24" s="87" t="str">
        <f>IF(COUNTIF($A24:$S24,"&lt;&gt;")=0,"",IF($F24="À parts égales entre participants",IF(L24&lt;&gt;"Oui",0,IF(0=0,$D24-SUM($T24:X24),ROUND($D24/COUNTIF($G24:$L24,"Oui"),2))),IF($F24="Montants convenus",IF(L24="Oui",R24,0),"")))</f>
      </c>
      <c r="Z24" s="81" t="str">
        <f>IF(COUNTIF($A24:$S24,"&lt;&gt;")=0,"",IF(OR($D24="",$D24&lt;=0),"Saisissez un montant supérieur à zéro.",IF($E24="","Sélectionnez la personne qui a payé.",IF(COUNTIF($G24:$L24,"Oui")=0,"Sélectionnez au moins une personne participante.",IF($F24="À parts égales entre participants","Vérifié",IF($F24="Montants convenus",IF(OR(AND(G24="Oui",M24=""),AND(H24="Oui",N24=""),AND(I24="Oui",O24=""),AND(J24="Oui",P24=""),AND(K24="Oui",Q24=""),AND(L24="Oui",R24="")),"Saisissez les montants convenus pour que leur somme corresponde à la dépense.",IF(ABS(SUM($M24:$R24))&lt;0.005,"Saisissez les montants convenus pour que leur somme corresponde à la dépense.",IF(SUM($M24:$R24)&lt;$D24-0.005,"Montant restant à répartir : "&amp;ROUND($D24-SUM($M24:$R24),2)&amp;".",IF(SUM($M24:$R24)&gt;$D24+0.005,"Montant réparti en trop : "&amp;ROUND(SUM($M24:$R24)-$D24,2)&amp;".","Vérifié")))),"Saisissez les montants convenus pour que leur somme corresponde à la dépense."))))))</f>
      </c>
    </row>
    <row r="25">
      <c r="A25" s="83"/>
      <c r="B25" s="57"/>
      <c r="C25" s="57"/>
      <c r="D25" s="85"/>
      <c r="E25" s="57"/>
      <c r="F25" s="57"/>
      <c r="G25" s="57"/>
      <c r="H25" s="57"/>
      <c r="I25" s="57"/>
      <c r="J25" s="57"/>
      <c r="K25" s="57"/>
      <c r="L25" s="57"/>
      <c r="M25" s="85"/>
      <c r="N25" s="85"/>
      <c r="O25" s="85"/>
      <c r="P25" s="85"/>
      <c r="Q25" s="85"/>
      <c r="R25" s="85"/>
      <c r="S25" s="57"/>
      <c r="T25" s="87" t="str">
        <f>IF(COUNTIF($A25:$S25,"&lt;&gt;")=0,"",IF($F25="À parts égales entre participants",IF(G25&lt;&gt;"Oui",0,IF(COUNTIF($H25:$L25,"Oui")=0,$D25-0,ROUND($D25/COUNTIF($G25:$L25,"Oui"),2))),IF($F25="Montants convenus",IF(G25="Oui",M25,0),"")))</f>
      </c>
      <c r="U25" s="87" t="str">
        <f>IF(COUNTIF($A25:$S25,"&lt;&gt;")=0,"",IF($F25="À parts égales entre participants",IF(H25&lt;&gt;"Oui",0,IF(COUNTIF($I25:$L25,"Oui")=0,$D25-SUM($T25:T25),ROUND($D25/COUNTIF($G25:$L25,"Oui"),2))),IF($F25="Montants convenus",IF(H25="Oui",N25,0),"")))</f>
      </c>
      <c r="V25" s="87" t="str">
        <f>IF(COUNTIF($A25:$S25,"&lt;&gt;")=0,"",IF($F25="À parts égales entre participants",IF(I25&lt;&gt;"Oui",0,IF(COUNTIF($J25:$L25,"Oui")=0,$D25-SUM($T25:U25),ROUND($D25/COUNTIF($G25:$L25,"Oui"),2))),IF($F25="Montants convenus",IF(I25="Oui",O25,0),"")))</f>
      </c>
      <c r="W25" s="87" t="str">
        <f>IF(COUNTIF($A25:$S25,"&lt;&gt;")=0,"",IF($F25="À parts égales entre participants",IF(J25&lt;&gt;"Oui",0,IF(COUNTIF($K25:$L25,"Oui")=0,$D25-SUM($T25:V25),ROUND($D25/COUNTIF($G25:$L25,"Oui"),2))),IF($F25="Montants convenus",IF(J25="Oui",P25,0),"")))</f>
      </c>
      <c r="X25" s="87" t="str">
        <f>IF(COUNTIF($A25:$S25,"&lt;&gt;")=0,"",IF($F25="À parts égales entre participants",IF(K25&lt;&gt;"Oui",0,IF(COUNTIF($L25:$L25,"Oui")=0,$D25-SUM($T25:W25),ROUND($D25/COUNTIF($G25:$L25,"Oui"),2))),IF($F25="Montants convenus",IF(K25="Oui",Q25,0),"")))</f>
      </c>
      <c r="Y25" s="87" t="str">
        <f>IF(COUNTIF($A25:$S25,"&lt;&gt;")=0,"",IF($F25="À parts égales entre participants",IF(L25&lt;&gt;"Oui",0,IF(0=0,$D25-SUM($T25:X25),ROUND($D25/COUNTIF($G25:$L25,"Oui"),2))),IF($F25="Montants convenus",IF(L25="Oui",R25,0),"")))</f>
      </c>
      <c r="Z25" s="81" t="str">
        <f>IF(COUNTIF($A25:$S25,"&lt;&gt;")=0,"",IF(OR($D25="",$D25&lt;=0),"Saisissez un montant supérieur à zéro.",IF($E25="","Sélectionnez la personne qui a payé.",IF(COUNTIF($G25:$L25,"Oui")=0,"Sélectionnez au moins une personne participante.",IF($F25="À parts égales entre participants","Vérifié",IF($F25="Montants convenus",IF(OR(AND(G25="Oui",M25=""),AND(H25="Oui",N25=""),AND(I25="Oui",O25=""),AND(J25="Oui",P25=""),AND(K25="Oui",Q25=""),AND(L25="Oui",R25="")),"Saisissez les montants convenus pour que leur somme corresponde à la dépense.",IF(ABS(SUM($M25:$R25))&lt;0.005,"Saisissez les montants convenus pour que leur somme corresponde à la dépense.",IF(SUM($M25:$R25)&lt;$D25-0.005,"Montant restant à répartir : "&amp;ROUND($D25-SUM($M25:$R25),2)&amp;".",IF(SUM($M25:$R25)&gt;$D25+0.005,"Montant réparti en trop : "&amp;ROUND(SUM($M25:$R25)-$D25,2)&amp;".","Vérifié")))),"Saisissez les montants convenus pour que leur somme corresponde à la dépense."))))))</f>
      </c>
    </row>
    <row r="26">
      <c r="A26" s="83"/>
      <c r="B26" s="57"/>
      <c r="C26" s="57"/>
      <c r="D26" s="85"/>
      <c r="E26" s="57"/>
      <c r="F26" s="57"/>
      <c r="G26" s="57"/>
      <c r="H26" s="57"/>
      <c r="I26" s="57"/>
      <c r="J26" s="57"/>
      <c r="K26" s="57"/>
      <c r="L26" s="57"/>
      <c r="M26" s="85"/>
      <c r="N26" s="85"/>
      <c r="O26" s="85"/>
      <c r="P26" s="85"/>
      <c r="Q26" s="85"/>
      <c r="R26" s="85"/>
      <c r="S26" s="57"/>
      <c r="T26" s="87" t="str">
        <f>IF(COUNTIF($A26:$S26,"&lt;&gt;")=0,"",IF($F26="À parts égales entre participants",IF(G26&lt;&gt;"Oui",0,IF(COUNTIF($H26:$L26,"Oui")=0,$D26-0,ROUND($D26/COUNTIF($G26:$L26,"Oui"),2))),IF($F26="Montants convenus",IF(G26="Oui",M26,0),"")))</f>
      </c>
      <c r="U26" s="87" t="str">
        <f>IF(COUNTIF($A26:$S26,"&lt;&gt;")=0,"",IF($F26="À parts égales entre participants",IF(H26&lt;&gt;"Oui",0,IF(COUNTIF($I26:$L26,"Oui")=0,$D26-SUM($T26:T26),ROUND($D26/COUNTIF($G26:$L26,"Oui"),2))),IF($F26="Montants convenus",IF(H26="Oui",N26,0),"")))</f>
      </c>
      <c r="V26" s="87" t="str">
        <f>IF(COUNTIF($A26:$S26,"&lt;&gt;")=0,"",IF($F26="À parts égales entre participants",IF(I26&lt;&gt;"Oui",0,IF(COUNTIF($J26:$L26,"Oui")=0,$D26-SUM($T26:U26),ROUND($D26/COUNTIF($G26:$L26,"Oui"),2))),IF($F26="Montants convenus",IF(I26="Oui",O26,0),"")))</f>
      </c>
      <c r="W26" s="87" t="str">
        <f>IF(COUNTIF($A26:$S26,"&lt;&gt;")=0,"",IF($F26="À parts égales entre participants",IF(J26&lt;&gt;"Oui",0,IF(COUNTIF($K26:$L26,"Oui")=0,$D26-SUM($T26:V26),ROUND($D26/COUNTIF($G26:$L26,"Oui"),2))),IF($F26="Montants convenus",IF(J26="Oui",P26,0),"")))</f>
      </c>
      <c r="X26" s="87" t="str">
        <f>IF(COUNTIF($A26:$S26,"&lt;&gt;")=0,"",IF($F26="À parts égales entre participants",IF(K26&lt;&gt;"Oui",0,IF(COUNTIF($L26:$L26,"Oui")=0,$D26-SUM($T26:W26),ROUND($D26/COUNTIF($G26:$L26,"Oui"),2))),IF($F26="Montants convenus",IF(K26="Oui",Q26,0),"")))</f>
      </c>
      <c r="Y26" s="87" t="str">
        <f>IF(COUNTIF($A26:$S26,"&lt;&gt;")=0,"",IF($F26="À parts égales entre participants",IF(L26&lt;&gt;"Oui",0,IF(0=0,$D26-SUM($T26:X26),ROUND($D26/COUNTIF($G26:$L26,"Oui"),2))),IF($F26="Montants convenus",IF(L26="Oui",R26,0),"")))</f>
      </c>
      <c r="Z26" s="81" t="str">
        <f>IF(COUNTIF($A26:$S26,"&lt;&gt;")=0,"",IF(OR($D26="",$D26&lt;=0),"Saisissez un montant supérieur à zéro.",IF($E26="","Sélectionnez la personne qui a payé.",IF(COUNTIF($G26:$L26,"Oui")=0,"Sélectionnez au moins une personne participante.",IF($F26="À parts égales entre participants","Vérifié",IF($F26="Montants convenus",IF(OR(AND(G26="Oui",M26=""),AND(H26="Oui",N26=""),AND(I26="Oui",O26=""),AND(J26="Oui",P26=""),AND(K26="Oui",Q26=""),AND(L26="Oui",R26="")),"Saisissez les montants convenus pour que leur somme corresponde à la dépense.",IF(ABS(SUM($M26:$R26))&lt;0.005,"Saisissez les montants convenus pour que leur somme corresponde à la dépense.",IF(SUM($M26:$R26)&lt;$D26-0.005,"Montant restant à répartir : "&amp;ROUND($D26-SUM($M26:$R26),2)&amp;".",IF(SUM($M26:$R26)&gt;$D26+0.005,"Montant réparti en trop : "&amp;ROUND(SUM($M26:$R26)-$D26,2)&amp;".","Vérifié")))),"Saisissez les montants convenus pour que leur somme corresponde à la dépense."))))))</f>
      </c>
    </row>
    <row r="27">
      <c r="A27" s="83"/>
      <c r="B27" s="57"/>
      <c r="C27" s="57"/>
      <c r="D27" s="85"/>
      <c r="E27" s="57"/>
      <c r="F27" s="57"/>
      <c r="G27" s="57"/>
      <c r="H27" s="57"/>
      <c r="I27" s="57"/>
      <c r="J27" s="57"/>
      <c r="K27" s="57"/>
      <c r="L27" s="57"/>
      <c r="M27" s="85"/>
      <c r="N27" s="85"/>
      <c r="O27" s="85"/>
      <c r="P27" s="85"/>
      <c r="Q27" s="85"/>
      <c r="R27" s="85"/>
      <c r="S27" s="57"/>
      <c r="T27" s="87" t="str">
        <f>IF(COUNTIF($A27:$S27,"&lt;&gt;")=0,"",IF($F27="À parts égales entre participants",IF(G27&lt;&gt;"Oui",0,IF(COUNTIF($H27:$L27,"Oui")=0,$D27-0,ROUND($D27/COUNTIF($G27:$L27,"Oui"),2))),IF($F27="Montants convenus",IF(G27="Oui",M27,0),"")))</f>
      </c>
      <c r="U27" s="87" t="str">
        <f>IF(COUNTIF($A27:$S27,"&lt;&gt;")=0,"",IF($F27="À parts égales entre participants",IF(H27&lt;&gt;"Oui",0,IF(COUNTIF($I27:$L27,"Oui")=0,$D27-SUM($T27:T27),ROUND($D27/COUNTIF($G27:$L27,"Oui"),2))),IF($F27="Montants convenus",IF(H27="Oui",N27,0),"")))</f>
      </c>
      <c r="V27" s="87" t="str">
        <f>IF(COUNTIF($A27:$S27,"&lt;&gt;")=0,"",IF($F27="À parts égales entre participants",IF(I27&lt;&gt;"Oui",0,IF(COUNTIF($J27:$L27,"Oui")=0,$D27-SUM($T27:U27),ROUND($D27/COUNTIF($G27:$L27,"Oui"),2))),IF($F27="Montants convenus",IF(I27="Oui",O27,0),"")))</f>
      </c>
      <c r="W27" s="87" t="str">
        <f>IF(COUNTIF($A27:$S27,"&lt;&gt;")=0,"",IF($F27="À parts égales entre participants",IF(J27&lt;&gt;"Oui",0,IF(COUNTIF($K27:$L27,"Oui")=0,$D27-SUM($T27:V27),ROUND($D27/COUNTIF($G27:$L27,"Oui"),2))),IF($F27="Montants convenus",IF(J27="Oui",P27,0),"")))</f>
      </c>
      <c r="X27" s="87" t="str">
        <f>IF(COUNTIF($A27:$S27,"&lt;&gt;")=0,"",IF($F27="À parts égales entre participants",IF(K27&lt;&gt;"Oui",0,IF(COUNTIF($L27:$L27,"Oui")=0,$D27-SUM($T27:W27),ROUND($D27/COUNTIF($G27:$L27,"Oui"),2))),IF($F27="Montants convenus",IF(K27="Oui",Q27,0),"")))</f>
      </c>
      <c r="Y27" s="87" t="str">
        <f>IF(COUNTIF($A27:$S27,"&lt;&gt;")=0,"",IF($F27="À parts égales entre participants",IF(L27&lt;&gt;"Oui",0,IF(0=0,$D27-SUM($T27:X27),ROUND($D27/COUNTIF($G27:$L27,"Oui"),2))),IF($F27="Montants convenus",IF(L27="Oui",R27,0),"")))</f>
      </c>
      <c r="Z27" s="81" t="str">
        <f>IF(COUNTIF($A27:$S27,"&lt;&gt;")=0,"",IF(OR($D27="",$D27&lt;=0),"Saisissez un montant supérieur à zéro.",IF($E27="","Sélectionnez la personne qui a payé.",IF(COUNTIF($G27:$L27,"Oui")=0,"Sélectionnez au moins une personne participante.",IF($F27="À parts égales entre participants","Vérifié",IF($F27="Montants convenus",IF(OR(AND(G27="Oui",M27=""),AND(H27="Oui",N27=""),AND(I27="Oui",O27=""),AND(J27="Oui",P27=""),AND(K27="Oui",Q27=""),AND(L27="Oui",R27="")),"Saisissez les montants convenus pour que leur somme corresponde à la dépense.",IF(ABS(SUM($M27:$R27))&lt;0.005,"Saisissez les montants convenus pour que leur somme corresponde à la dépense.",IF(SUM($M27:$R27)&lt;$D27-0.005,"Montant restant à répartir : "&amp;ROUND($D27-SUM($M27:$R27),2)&amp;".",IF(SUM($M27:$R27)&gt;$D27+0.005,"Montant réparti en trop : "&amp;ROUND(SUM($M27:$R27)-$D27,2)&amp;".","Vérifié")))),"Saisissez les montants convenus pour que leur somme corresponde à la dépense."))))))</f>
      </c>
    </row>
    <row r="28">
      <c r="A28" s="83"/>
      <c r="B28" s="57"/>
      <c r="C28" s="57"/>
      <c r="D28" s="85"/>
      <c r="E28" s="57"/>
      <c r="F28" s="57"/>
      <c r="G28" s="57"/>
      <c r="H28" s="57"/>
      <c r="I28" s="57"/>
      <c r="J28" s="57"/>
      <c r="K28" s="57"/>
      <c r="L28" s="57"/>
      <c r="M28" s="85"/>
      <c r="N28" s="85"/>
      <c r="O28" s="85"/>
      <c r="P28" s="85"/>
      <c r="Q28" s="85"/>
      <c r="R28" s="85"/>
      <c r="S28" s="57"/>
      <c r="T28" s="87" t="str">
        <f>IF(COUNTIF($A28:$S28,"&lt;&gt;")=0,"",IF($F28="À parts égales entre participants",IF(G28&lt;&gt;"Oui",0,IF(COUNTIF($H28:$L28,"Oui")=0,$D28-0,ROUND($D28/COUNTIF($G28:$L28,"Oui"),2))),IF($F28="Montants convenus",IF(G28="Oui",M28,0),"")))</f>
      </c>
      <c r="U28" s="87" t="str">
        <f>IF(COUNTIF($A28:$S28,"&lt;&gt;")=0,"",IF($F28="À parts égales entre participants",IF(H28&lt;&gt;"Oui",0,IF(COUNTIF($I28:$L28,"Oui")=0,$D28-SUM($T28:T28),ROUND($D28/COUNTIF($G28:$L28,"Oui"),2))),IF($F28="Montants convenus",IF(H28="Oui",N28,0),"")))</f>
      </c>
      <c r="V28" s="87" t="str">
        <f>IF(COUNTIF($A28:$S28,"&lt;&gt;")=0,"",IF($F28="À parts égales entre participants",IF(I28&lt;&gt;"Oui",0,IF(COUNTIF($J28:$L28,"Oui")=0,$D28-SUM($T28:U28),ROUND($D28/COUNTIF($G28:$L28,"Oui"),2))),IF($F28="Montants convenus",IF(I28="Oui",O28,0),"")))</f>
      </c>
      <c r="W28" s="87" t="str">
        <f>IF(COUNTIF($A28:$S28,"&lt;&gt;")=0,"",IF($F28="À parts égales entre participants",IF(J28&lt;&gt;"Oui",0,IF(COUNTIF($K28:$L28,"Oui")=0,$D28-SUM($T28:V28),ROUND($D28/COUNTIF($G28:$L28,"Oui"),2))),IF($F28="Montants convenus",IF(J28="Oui",P28,0),"")))</f>
      </c>
      <c r="X28" s="87" t="str">
        <f>IF(COUNTIF($A28:$S28,"&lt;&gt;")=0,"",IF($F28="À parts égales entre participants",IF(K28&lt;&gt;"Oui",0,IF(COUNTIF($L28:$L28,"Oui")=0,$D28-SUM($T28:W28),ROUND($D28/COUNTIF($G28:$L28,"Oui"),2))),IF($F28="Montants convenus",IF(K28="Oui",Q28,0),"")))</f>
      </c>
      <c r="Y28" s="87" t="str">
        <f>IF(COUNTIF($A28:$S28,"&lt;&gt;")=0,"",IF($F28="À parts égales entre participants",IF(L28&lt;&gt;"Oui",0,IF(0=0,$D28-SUM($T28:X28),ROUND($D28/COUNTIF($G28:$L28,"Oui"),2))),IF($F28="Montants convenus",IF(L28="Oui",R28,0),"")))</f>
      </c>
      <c r="Z28" s="81" t="str">
        <f>IF(COUNTIF($A28:$S28,"&lt;&gt;")=0,"",IF(OR($D28="",$D28&lt;=0),"Saisissez un montant supérieur à zéro.",IF($E28="","Sélectionnez la personne qui a payé.",IF(COUNTIF($G28:$L28,"Oui")=0,"Sélectionnez au moins une personne participante.",IF($F28="À parts égales entre participants","Vérifié",IF($F28="Montants convenus",IF(OR(AND(G28="Oui",M28=""),AND(H28="Oui",N28=""),AND(I28="Oui",O28=""),AND(J28="Oui",P28=""),AND(K28="Oui",Q28=""),AND(L28="Oui",R28="")),"Saisissez les montants convenus pour que leur somme corresponde à la dépense.",IF(ABS(SUM($M28:$R28))&lt;0.005,"Saisissez les montants convenus pour que leur somme corresponde à la dépense.",IF(SUM($M28:$R28)&lt;$D28-0.005,"Montant restant à répartir : "&amp;ROUND($D28-SUM($M28:$R28),2)&amp;".",IF(SUM($M28:$R28)&gt;$D28+0.005,"Montant réparti en trop : "&amp;ROUND(SUM($M28:$R28)-$D28,2)&amp;".","Vérifié")))),"Saisissez les montants convenus pour que leur somme corresponde à la dépense."))))))</f>
      </c>
    </row>
    <row r="29">
      <c r="A29" s="83"/>
      <c r="B29" s="57"/>
      <c r="C29" s="57"/>
      <c r="D29" s="85"/>
      <c r="E29" s="57"/>
      <c r="F29" s="57"/>
      <c r="G29" s="57"/>
      <c r="H29" s="57"/>
      <c r="I29" s="57"/>
      <c r="J29" s="57"/>
      <c r="K29" s="57"/>
      <c r="L29" s="57"/>
      <c r="M29" s="85"/>
      <c r="N29" s="85"/>
      <c r="O29" s="85"/>
      <c r="P29" s="85"/>
      <c r="Q29" s="85"/>
      <c r="R29" s="85"/>
      <c r="S29" s="57"/>
      <c r="T29" s="87" t="str">
        <f>IF(COUNTIF($A29:$S29,"&lt;&gt;")=0,"",IF($F29="À parts égales entre participants",IF(G29&lt;&gt;"Oui",0,IF(COUNTIF($H29:$L29,"Oui")=0,$D29-0,ROUND($D29/COUNTIF($G29:$L29,"Oui"),2))),IF($F29="Montants convenus",IF(G29="Oui",M29,0),"")))</f>
      </c>
      <c r="U29" s="87" t="str">
        <f>IF(COUNTIF($A29:$S29,"&lt;&gt;")=0,"",IF($F29="À parts égales entre participants",IF(H29&lt;&gt;"Oui",0,IF(COUNTIF($I29:$L29,"Oui")=0,$D29-SUM($T29:T29),ROUND($D29/COUNTIF($G29:$L29,"Oui"),2))),IF($F29="Montants convenus",IF(H29="Oui",N29,0),"")))</f>
      </c>
      <c r="V29" s="87" t="str">
        <f>IF(COUNTIF($A29:$S29,"&lt;&gt;")=0,"",IF($F29="À parts égales entre participants",IF(I29&lt;&gt;"Oui",0,IF(COUNTIF($J29:$L29,"Oui")=0,$D29-SUM($T29:U29),ROUND($D29/COUNTIF($G29:$L29,"Oui"),2))),IF($F29="Montants convenus",IF(I29="Oui",O29,0),"")))</f>
      </c>
      <c r="W29" s="87" t="str">
        <f>IF(COUNTIF($A29:$S29,"&lt;&gt;")=0,"",IF($F29="À parts égales entre participants",IF(J29&lt;&gt;"Oui",0,IF(COUNTIF($K29:$L29,"Oui")=0,$D29-SUM($T29:V29),ROUND($D29/COUNTIF($G29:$L29,"Oui"),2))),IF($F29="Montants convenus",IF(J29="Oui",P29,0),"")))</f>
      </c>
      <c r="X29" s="87" t="str">
        <f>IF(COUNTIF($A29:$S29,"&lt;&gt;")=0,"",IF($F29="À parts égales entre participants",IF(K29&lt;&gt;"Oui",0,IF(COUNTIF($L29:$L29,"Oui")=0,$D29-SUM($T29:W29),ROUND($D29/COUNTIF($G29:$L29,"Oui"),2))),IF($F29="Montants convenus",IF(K29="Oui",Q29,0),"")))</f>
      </c>
      <c r="Y29" s="87" t="str">
        <f>IF(COUNTIF($A29:$S29,"&lt;&gt;")=0,"",IF($F29="À parts égales entre participants",IF(L29&lt;&gt;"Oui",0,IF(0=0,$D29-SUM($T29:X29),ROUND($D29/COUNTIF($G29:$L29,"Oui"),2))),IF($F29="Montants convenus",IF(L29="Oui",R29,0),"")))</f>
      </c>
      <c r="Z29" s="81" t="str">
        <f>IF(COUNTIF($A29:$S29,"&lt;&gt;")=0,"",IF(OR($D29="",$D29&lt;=0),"Saisissez un montant supérieur à zéro.",IF($E29="","Sélectionnez la personne qui a payé.",IF(COUNTIF($G29:$L29,"Oui")=0,"Sélectionnez au moins une personne participante.",IF($F29="À parts égales entre participants","Vérifié",IF($F29="Montants convenus",IF(OR(AND(G29="Oui",M29=""),AND(H29="Oui",N29=""),AND(I29="Oui",O29=""),AND(J29="Oui",P29=""),AND(K29="Oui",Q29=""),AND(L29="Oui",R29="")),"Saisissez les montants convenus pour que leur somme corresponde à la dépense.",IF(ABS(SUM($M29:$R29))&lt;0.005,"Saisissez les montants convenus pour que leur somme corresponde à la dépense.",IF(SUM($M29:$R29)&lt;$D29-0.005,"Montant restant à répartir : "&amp;ROUND($D29-SUM($M29:$R29),2)&amp;".",IF(SUM($M29:$R29)&gt;$D29+0.005,"Montant réparti en trop : "&amp;ROUND(SUM($M29:$R29)-$D29,2)&amp;".","Vérifié")))),"Saisissez les montants convenus pour que leur somme corresponde à la dépense."))))))</f>
      </c>
    </row>
    <row r="30">
      <c r="A30" s="83"/>
      <c r="B30" s="57"/>
      <c r="C30" s="57"/>
      <c r="D30" s="85"/>
      <c r="E30" s="57"/>
      <c r="F30" s="57"/>
      <c r="G30" s="57"/>
      <c r="H30" s="57"/>
      <c r="I30" s="57"/>
      <c r="J30" s="57"/>
      <c r="K30" s="57"/>
      <c r="L30" s="57"/>
      <c r="M30" s="85"/>
      <c r="N30" s="85"/>
      <c r="O30" s="85"/>
      <c r="P30" s="85"/>
      <c r="Q30" s="85"/>
      <c r="R30" s="85"/>
      <c r="S30" s="57"/>
      <c r="T30" s="87" t="str">
        <f>IF(COUNTIF($A30:$S30,"&lt;&gt;")=0,"",IF($F30="À parts égales entre participants",IF(G30&lt;&gt;"Oui",0,IF(COUNTIF($H30:$L30,"Oui")=0,$D30-0,ROUND($D30/COUNTIF($G30:$L30,"Oui"),2))),IF($F30="Montants convenus",IF(G30="Oui",M30,0),"")))</f>
      </c>
      <c r="U30" s="87" t="str">
        <f>IF(COUNTIF($A30:$S30,"&lt;&gt;")=0,"",IF($F30="À parts égales entre participants",IF(H30&lt;&gt;"Oui",0,IF(COUNTIF($I30:$L30,"Oui")=0,$D30-SUM($T30:T30),ROUND($D30/COUNTIF($G30:$L30,"Oui"),2))),IF($F30="Montants convenus",IF(H30="Oui",N30,0),"")))</f>
      </c>
      <c r="V30" s="87" t="str">
        <f>IF(COUNTIF($A30:$S30,"&lt;&gt;")=0,"",IF($F30="À parts égales entre participants",IF(I30&lt;&gt;"Oui",0,IF(COUNTIF($J30:$L30,"Oui")=0,$D30-SUM($T30:U30),ROUND($D30/COUNTIF($G30:$L30,"Oui"),2))),IF($F30="Montants convenus",IF(I30="Oui",O30,0),"")))</f>
      </c>
      <c r="W30" s="87" t="str">
        <f>IF(COUNTIF($A30:$S30,"&lt;&gt;")=0,"",IF($F30="À parts égales entre participants",IF(J30&lt;&gt;"Oui",0,IF(COUNTIF($K30:$L30,"Oui")=0,$D30-SUM($T30:V30),ROUND($D30/COUNTIF($G30:$L30,"Oui"),2))),IF($F30="Montants convenus",IF(J30="Oui",P30,0),"")))</f>
      </c>
      <c r="X30" s="87" t="str">
        <f>IF(COUNTIF($A30:$S30,"&lt;&gt;")=0,"",IF($F30="À parts égales entre participants",IF(K30&lt;&gt;"Oui",0,IF(COUNTIF($L30:$L30,"Oui")=0,$D30-SUM($T30:W30),ROUND($D30/COUNTIF($G30:$L30,"Oui"),2))),IF($F30="Montants convenus",IF(K30="Oui",Q30,0),"")))</f>
      </c>
      <c r="Y30" s="87" t="str">
        <f>IF(COUNTIF($A30:$S30,"&lt;&gt;")=0,"",IF($F30="À parts égales entre participants",IF(L30&lt;&gt;"Oui",0,IF(0=0,$D30-SUM($T30:X30),ROUND($D30/COUNTIF($G30:$L30,"Oui"),2))),IF($F30="Montants convenus",IF(L30="Oui",R30,0),"")))</f>
      </c>
      <c r="Z30" s="81" t="str">
        <f>IF(COUNTIF($A30:$S30,"&lt;&gt;")=0,"",IF(OR($D30="",$D30&lt;=0),"Saisissez un montant supérieur à zéro.",IF($E30="","Sélectionnez la personne qui a payé.",IF(COUNTIF($G30:$L30,"Oui")=0,"Sélectionnez au moins une personne participante.",IF($F30="À parts égales entre participants","Vérifié",IF($F30="Montants convenus",IF(OR(AND(G30="Oui",M30=""),AND(H30="Oui",N30=""),AND(I30="Oui",O30=""),AND(J30="Oui",P30=""),AND(K30="Oui",Q30=""),AND(L30="Oui",R30="")),"Saisissez les montants convenus pour que leur somme corresponde à la dépense.",IF(ABS(SUM($M30:$R30))&lt;0.005,"Saisissez les montants convenus pour que leur somme corresponde à la dépense.",IF(SUM($M30:$R30)&lt;$D30-0.005,"Montant restant à répartir : "&amp;ROUND($D30-SUM($M30:$R30),2)&amp;".",IF(SUM($M30:$R30)&gt;$D30+0.005,"Montant réparti en trop : "&amp;ROUND(SUM($M30:$R30)-$D30,2)&amp;".","Vérifié")))),"Saisissez les montants convenus pour que leur somme corresponde à la dépense."))))))</f>
      </c>
    </row>
    <row r="31">
      <c r="A31" s="83"/>
      <c r="B31" s="57"/>
      <c r="C31" s="57"/>
      <c r="D31" s="85"/>
      <c r="E31" s="57"/>
      <c r="F31" s="57"/>
      <c r="G31" s="57"/>
      <c r="H31" s="57"/>
      <c r="I31" s="57"/>
      <c r="J31" s="57"/>
      <c r="K31" s="57"/>
      <c r="L31" s="57"/>
      <c r="M31" s="85"/>
      <c r="N31" s="85"/>
      <c r="O31" s="85"/>
      <c r="P31" s="85"/>
      <c r="Q31" s="85"/>
      <c r="R31" s="85"/>
      <c r="S31" s="57"/>
      <c r="T31" s="87" t="str">
        <f>IF(COUNTIF($A31:$S31,"&lt;&gt;")=0,"",IF($F31="À parts égales entre participants",IF(G31&lt;&gt;"Oui",0,IF(COUNTIF($H31:$L31,"Oui")=0,$D31-0,ROUND($D31/COUNTIF($G31:$L31,"Oui"),2))),IF($F31="Montants convenus",IF(G31="Oui",M31,0),"")))</f>
      </c>
      <c r="U31" s="87" t="str">
        <f>IF(COUNTIF($A31:$S31,"&lt;&gt;")=0,"",IF($F31="À parts égales entre participants",IF(H31&lt;&gt;"Oui",0,IF(COUNTIF($I31:$L31,"Oui")=0,$D31-SUM($T31:T31),ROUND($D31/COUNTIF($G31:$L31,"Oui"),2))),IF($F31="Montants convenus",IF(H31="Oui",N31,0),"")))</f>
      </c>
      <c r="V31" s="87" t="str">
        <f>IF(COUNTIF($A31:$S31,"&lt;&gt;")=0,"",IF($F31="À parts égales entre participants",IF(I31&lt;&gt;"Oui",0,IF(COUNTIF($J31:$L31,"Oui")=0,$D31-SUM($T31:U31),ROUND($D31/COUNTIF($G31:$L31,"Oui"),2))),IF($F31="Montants convenus",IF(I31="Oui",O31,0),"")))</f>
      </c>
      <c r="W31" s="87" t="str">
        <f>IF(COUNTIF($A31:$S31,"&lt;&gt;")=0,"",IF($F31="À parts égales entre participants",IF(J31&lt;&gt;"Oui",0,IF(COUNTIF($K31:$L31,"Oui")=0,$D31-SUM($T31:V31),ROUND($D31/COUNTIF($G31:$L31,"Oui"),2))),IF($F31="Montants convenus",IF(J31="Oui",P31,0),"")))</f>
      </c>
      <c r="X31" s="87" t="str">
        <f>IF(COUNTIF($A31:$S31,"&lt;&gt;")=0,"",IF($F31="À parts égales entre participants",IF(K31&lt;&gt;"Oui",0,IF(COUNTIF($L31:$L31,"Oui")=0,$D31-SUM($T31:W31),ROUND($D31/COUNTIF($G31:$L31,"Oui"),2))),IF($F31="Montants convenus",IF(K31="Oui",Q31,0),"")))</f>
      </c>
      <c r="Y31" s="87" t="str">
        <f>IF(COUNTIF($A31:$S31,"&lt;&gt;")=0,"",IF($F31="À parts égales entre participants",IF(L31&lt;&gt;"Oui",0,IF(0=0,$D31-SUM($T31:X31),ROUND($D31/COUNTIF($G31:$L31,"Oui"),2))),IF($F31="Montants convenus",IF(L31="Oui",R31,0),"")))</f>
      </c>
      <c r="Z31" s="81" t="str">
        <f>IF(COUNTIF($A31:$S31,"&lt;&gt;")=0,"",IF(OR($D31="",$D31&lt;=0),"Saisissez un montant supérieur à zéro.",IF($E31="","Sélectionnez la personne qui a payé.",IF(COUNTIF($G31:$L31,"Oui")=0,"Sélectionnez au moins une personne participante.",IF($F31="À parts égales entre participants","Vérifié",IF($F31="Montants convenus",IF(OR(AND(G31="Oui",M31=""),AND(H31="Oui",N31=""),AND(I31="Oui",O31=""),AND(J31="Oui",P31=""),AND(K31="Oui",Q31=""),AND(L31="Oui",R31="")),"Saisissez les montants convenus pour que leur somme corresponde à la dépense.",IF(ABS(SUM($M31:$R31))&lt;0.005,"Saisissez les montants convenus pour que leur somme corresponde à la dépense.",IF(SUM($M31:$R31)&lt;$D31-0.005,"Montant restant à répartir : "&amp;ROUND($D31-SUM($M31:$R31),2)&amp;".",IF(SUM($M31:$R31)&gt;$D31+0.005,"Montant réparti en trop : "&amp;ROUND(SUM($M31:$R31)-$D31,2)&amp;".","Vérifié")))),"Saisissez les montants convenus pour que leur somme corresponde à la dépense."))))))</f>
      </c>
    </row>
    <row r="32">
      <c r="A32" s="83"/>
      <c r="B32" s="57"/>
      <c r="C32" s="57"/>
      <c r="D32" s="85"/>
      <c r="E32" s="57"/>
      <c r="F32" s="57"/>
      <c r="G32" s="57"/>
      <c r="H32" s="57"/>
      <c r="I32" s="57"/>
      <c r="J32" s="57"/>
      <c r="K32" s="57"/>
      <c r="L32" s="57"/>
      <c r="M32" s="85"/>
      <c r="N32" s="85"/>
      <c r="O32" s="85"/>
      <c r="P32" s="85"/>
      <c r="Q32" s="85"/>
      <c r="R32" s="85"/>
      <c r="S32" s="57"/>
      <c r="T32" s="87" t="str">
        <f>IF(COUNTIF($A32:$S32,"&lt;&gt;")=0,"",IF($F32="À parts égales entre participants",IF(G32&lt;&gt;"Oui",0,IF(COUNTIF($H32:$L32,"Oui")=0,$D32-0,ROUND($D32/COUNTIF($G32:$L32,"Oui"),2))),IF($F32="Montants convenus",IF(G32="Oui",M32,0),"")))</f>
      </c>
      <c r="U32" s="87" t="str">
        <f>IF(COUNTIF($A32:$S32,"&lt;&gt;")=0,"",IF($F32="À parts égales entre participants",IF(H32&lt;&gt;"Oui",0,IF(COUNTIF($I32:$L32,"Oui")=0,$D32-SUM($T32:T32),ROUND($D32/COUNTIF($G32:$L32,"Oui"),2))),IF($F32="Montants convenus",IF(H32="Oui",N32,0),"")))</f>
      </c>
      <c r="V32" s="87" t="str">
        <f>IF(COUNTIF($A32:$S32,"&lt;&gt;")=0,"",IF($F32="À parts égales entre participants",IF(I32&lt;&gt;"Oui",0,IF(COUNTIF($J32:$L32,"Oui")=0,$D32-SUM($T32:U32),ROUND($D32/COUNTIF($G32:$L32,"Oui"),2))),IF($F32="Montants convenus",IF(I32="Oui",O32,0),"")))</f>
      </c>
      <c r="W32" s="87" t="str">
        <f>IF(COUNTIF($A32:$S32,"&lt;&gt;")=0,"",IF($F32="À parts égales entre participants",IF(J32&lt;&gt;"Oui",0,IF(COUNTIF($K32:$L32,"Oui")=0,$D32-SUM($T32:V32),ROUND($D32/COUNTIF($G32:$L32,"Oui"),2))),IF($F32="Montants convenus",IF(J32="Oui",P32,0),"")))</f>
      </c>
      <c r="X32" s="87" t="str">
        <f>IF(COUNTIF($A32:$S32,"&lt;&gt;")=0,"",IF($F32="À parts égales entre participants",IF(K32&lt;&gt;"Oui",0,IF(COUNTIF($L32:$L32,"Oui")=0,$D32-SUM($T32:W32),ROUND($D32/COUNTIF($G32:$L32,"Oui"),2))),IF($F32="Montants convenus",IF(K32="Oui",Q32,0),"")))</f>
      </c>
      <c r="Y32" s="87" t="str">
        <f>IF(COUNTIF($A32:$S32,"&lt;&gt;")=0,"",IF($F32="À parts égales entre participants",IF(L32&lt;&gt;"Oui",0,IF(0=0,$D32-SUM($T32:X32),ROUND($D32/COUNTIF($G32:$L32,"Oui"),2))),IF($F32="Montants convenus",IF(L32="Oui",R32,0),"")))</f>
      </c>
      <c r="Z32" s="81" t="str">
        <f>IF(COUNTIF($A32:$S32,"&lt;&gt;")=0,"",IF(OR($D32="",$D32&lt;=0),"Saisissez un montant supérieur à zéro.",IF($E32="","Sélectionnez la personne qui a payé.",IF(COUNTIF($G32:$L32,"Oui")=0,"Sélectionnez au moins une personne participante.",IF($F32="À parts égales entre participants","Vérifié",IF($F32="Montants convenus",IF(OR(AND(G32="Oui",M32=""),AND(H32="Oui",N32=""),AND(I32="Oui",O32=""),AND(J32="Oui",P32=""),AND(K32="Oui",Q32=""),AND(L32="Oui",R32="")),"Saisissez les montants convenus pour que leur somme corresponde à la dépense.",IF(ABS(SUM($M32:$R32))&lt;0.005,"Saisissez les montants convenus pour que leur somme corresponde à la dépense.",IF(SUM($M32:$R32)&lt;$D32-0.005,"Montant restant à répartir : "&amp;ROUND($D32-SUM($M32:$R32),2)&amp;".",IF(SUM($M32:$R32)&gt;$D32+0.005,"Montant réparti en trop : "&amp;ROUND(SUM($M32:$R32)-$D32,2)&amp;".","Vérifié")))),"Saisissez les montants convenus pour que leur somme corresponde à la dépense."))))))</f>
      </c>
    </row>
    <row r="33">
      <c r="A33" s="83"/>
      <c r="B33" s="57"/>
      <c r="C33" s="57"/>
      <c r="D33" s="85"/>
      <c r="E33" s="57"/>
      <c r="F33" s="57"/>
      <c r="G33" s="57"/>
      <c r="H33" s="57"/>
      <c r="I33" s="57"/>
      <c r="J33" s="57"/>
      <c r="K33" s="57"/>
      <c r="L33" s="57"/>
      <c r="M33" s="85"/>
      <c r="N33" s="85"/>
      <c r="O33" s="85"/>
      <c r="P33" s="85"/>
      <c r="Q33" s="85"/>
      <c r="R33" s="85"/>
      <c r="S33" s="57"/>
      <c r="T33" s="87" t="str">
        <f>IF(COUNTIF($A33:$S33,"&lt;&gt;")=0,"",IF($F33="À parts égales entre participants",IF(G33&lt;&gt;"Oui",0,IF(COUNTIF($H33:$L33,"Oui")=0,$D33-0,ROUND($D33/COUNTIF($G33:$L33,"Oui"),2))),IF($F33="Montants convenus",IF(G33="Oui",M33,0),"")))</f>
      </c>
      <c r="U33" s="87" t="str">
        <f>IF(COUNTIF($A33:$S33,"&lt;&gt;")=0,"",IF($F33="À parts égales entre participants",IF(H33&lt;&gt;"Oui",0,IF(COUNTIF($I33:$L33,"Oui")=0,$D33-SUM($T33:T33),ROUND($D33/COUNTIF($G33:$L33,"Oui"),2))),IF($F33="Montants convenus",IF(H33="Oui",N33,0),"")))</f>
      </c>
      <c r="V33" s="87" t="str">
        <f>IF(COUNTIF($A33:$S33,"&lt;&gt;")=0,"",IF($F33="À parts égales entre participants",IF(I33&lt;&gt;"Oui",0,IF(COUNTIF($J33:$L33,"Oui")=0,$D33-SUM($T33:U33),ROUND($D33/COUNTIF($G33:$L33,"Oui"),2))),IF($F33="Montants convenus",IF(I33="Oui",O33,0),"")))</f>
      </c>
      <c r="W33" s="87" t="str">
        <f>IF(COUNTIF($A33:$S33,"&lt;&gt;")=0,"",IF($F33="À parts égales entre participants",IF(J33&lt;&gt;"Oui",0,IF(COUNTIF($K33:$L33,"Oui")=0,$D33-SUM($T33:V33),ROUND($D33/COUNTIF($G33:$L33,"Oui"),2))),IF($F33="Montants convenus",IF(J33="Oui",P33,0),"")))</f>
      </c>
      <c r="X33" s="87" t="str">
        <f>IF(COUNTIF($A33:$S33,"&lt;&gt;")=0,"",IF($F33="À parts égales entre participants",IF(K33&lt;&gt;"Oui",0,IF(COUNTIF($L33:$L33,"Oui")=0,$D33-SUM($T33:W33),ROUND($D33/COUNTIF($G33:$L33,"Oui"),2))),IF($F33="Montants convenus",IF(K33="Oui",Q33,0),"")))</f>
      </c>
      <c r="Y33" s="87" t="str">
        <f>IF(COUNTIF($A33:$S33,"&lt;&gt;")=0,"",IF($F33="À parts égales entre participants",IF(L33&lt;&gt;"Oui",0,IF(0=0,$D33-SUM($T33:X33),ROUND($D33/COUNTIF($G33:$L33,"Oui"),2))),IF($F33="Montants convenus",IF(L33="Oui",R33,0),"")))</f>
      </c>
      <c r="Z33" s="81" t="str">
        <f>IF(COUNTIF($A33:$S33,"&lt;&gt;")=0,"",IF(OR($D33="",$D33&lt;=0),"Saisissez un montant supérieur à zéro.",IF($E33="","Sélectionnez la personne qui a payé.",IF(COUNTIF($G33:$L33,"Oui")=0,"Sélectionnez au moins une personne participante.",IF($F33="À parts égales entre participants","Vérifié",IF($F33="Montants convenus",IF(OR(AND(G33="Oui",M33=""),AND(H33="Oui",N33=""),AND(I33="Oui",O33=""),AND(J33="Oui",P33=""),AND(K33="Oui",Q33=""),AND(L33="Oui",R33="")),"Saisissez les montants convenus pour que leur somme corresponde à la dépense.",IF(ABS(SUM($M33:$R33))&lt;0.005,"Saisissez les montants convenus pour que leur somme corresponde à la dépense.",IF(SUM($M33:$R33)&lt;$D33-0.005,"Montant restant à répartir : "&amp;ROUND($D33-SUM($M33:$R33),2)&amp;".",IF(SUM($M33:$R33)&gt;$D33+0.005,"Montant réparti en trop : "&amp;ROUND(SUM($M33:$R33)-$D33,2)&amp;".","Vérifié")))),"Saisissez les montants convenus pour que leur somme corresponde à la dépense."))))))</f>
      </c>
    </row>
    <row r="34">
      <c r="A34" s="83"/>
      <c r="B34" s="57"/>
      <c r="C34" s="57"/>
      <c r="D34" s="85"/>
      <c r="E34" s="57"/>
      <c r="F34" s="57"/>
      <c r="G34" s="57"/>
      <c r="H34" s="57"/>
      <c r="I34" s="57"/>
      <c r="J34" s="57"/>
      <c r="K34" s="57"/>
      <c r="L34" s="57"/>
      <c r="M34" s="85"/>
      <c r="N34" s="85"/>
      <c r="O34" s="85"/>
      <c r="P34" s="85"/>
      <c r="Q34" s="85"/>
      <c r="R34" s="85"/>
      <c r="S34" s="57"/>
      <c r="T34" s="87" t="str">
        <f>IF(COUNTIF($A34:$S34,"&lt;&gt;")=0,"",IF($F34="À parts égales entre participants",IF(G34&lt;&gt;"Oui",0,IF(COUNTIF($H34:$L34,"Oui")=0,$D34-0,ROUND($D34/COUNTIF($G34:$L34,"Oui"),2))),IF($F34="Montants convenus",IF(G34="Oui",M34,0),"")))</f>
      </c>
      <c r="U34" s="87" t="str">
        <f>IF(COUNTIF($A34:$S34,"&lt;&gt;")=0,"",IF($F34="À parts égales entre participants",IF(H34&lt;&gt;"Oui",0,IF(COUNTIF($I34:$L34,"Oui")=0,$D34-SUM($T34:T34),ROUND($D34/COUNTIF($G34:$L34,"Oui"),2))),IF($F34="Montants convenus",IF(H34="Oui",N34,0),"")))</f>
      </c>
      <c r="V34" s="87" t="str">
        <f>IF(COUNTIF($A34:$S34,"&lt;&gt;")=0,"",IF($F34="À parts égales entre participants",IF(I34&lt;&gt;"Oui",0,IF(COUNTIF($J34:$L34,"Oui")=0,$D34-SUM($T34:U34),ROUND($D34/COUNTIF($G34:$L34,"Oui"),2))),IF($F34="Montants convenus",IF(I34="Oui",O34,0),"")))</f>
      </c>
      <c r="W34" s="87" t="str">
        <f>IF(COUNTIF($A34:$S34,"&lt;&gt;")=0,"",IF($F34="À parts égales entre participants",IF(J34&lt;&gt;"Oui",0,IF(COUNTIF($K34:$L34,"Oui")=0,$D34-SUM($T34:V34),ROUND($D34/COUNTIF($G34:$L34,"Oui"),2))),IF($F34="Montants convenus",IF(J34="Oui",P34,0),"")))</f>
      </c>
      <c r="X34" s="87" t="str">
        <f>IF(COUNTIF($A34:$S34,"&lt;&gt;")=0,"",IF($F34="À parts égales entre participants",IF(K34&lt;&gt;"Oui",0,IF(COUNTIF($L34:$L34,"Oui")=0,$D34-SUM($T34:W34),ROUND($D34/COUNTIF($G34:$L34,"Oui"),2))),IF($F34="Montants convenus",IF(K34="Oui",Q34,0),"")))</f>
      </c>
      <c r="Y34" s="87" t="str">
        <f>IF(COUNTIF($A34:$S34,"&lt;&gt;")=0,"",IF($F34="À parts égales entre participants",IF(L34&lt;&gt;"Oui",0,IF(0=0,$D34-SUM($T34:X34),ROUND($D34/COUNTIF($G34:$L34,"Oui"),2))),IF($F34="Montants convenus",IF(L34="Oui",R34,0),"")))</f>
      </c>
      <c r="Z34" s="81" t="str">
        <f>IF(COUNTIF($A34:$S34,"&lt;&gt;")=0,"",IF(OR($D34="",$D34&lt;=0),"Saisissez un montant supérieur à zéro.",IF($E34="","Sélectionnez la personne qui a payé.",IF(COUNTIF($G34:$L34,"Oui")=0,"Sélectionnez au moins une personne participante.",IF($F34="À parts égales entre participants","Vérifié",IF($F34="Montants convenus",IF(OR(AND(G34="Oui",M34=""),AND(H34="Oui",N34=""),AND(I34="Oui",O34=""),AND(J34="Oui",P34=""),AND(K34="Oui",Q34=""),AND(L34="Oui",R34="")),"Saisissez les montants convenus pour que leur somme corresponde à la dépense.",IF(ABS(SUM($M34:$R34))&lt;0.005,"Saisissez les montants convenus pour que leur somme corresponde à la dépense.",IF(SUM($M34:$R34)&lt;$D34-0.005,"Montant restant à répartir : "&amp;ROUND($D34-SUM($M34:$R34),2)&amp;".",IF(SUM($M34:$R34)&gt;$D34+0.005,"Montant réparti en trop : "&amp;ROUND(SUM($M34:$R34)-$D34,2)&amp;".","Vérifié")))),"Saisissez les montants convenus pour que leur somme corresponde à la dépense."))))))</f>
      </c>
    </row>
    <row r="35">
      <c r="A35" s="83"/>
      <c r="B35" s="57"/>
      <c r="C35" s="57"/>
      <c r="D35" s="85"/>
      <c r="E35" s="57"/>
      <c r="F35" s="57"/>
      <c r="G35" s="57"/>
      <c r="H35" s="57"/>
      <c r="I35" s="57"/>
      <c r="J35" s="57"/>
      <c r="K35" s="57"/>
      <c r="L35" s="57"/>
      <c r="M35" s="85"/>
      <c r="N35" s="85"/>
      <c r="O35" s="85"/>
      <c r="P35" s="85"/>
      <c r="Q35" s="85"/>
      <c r="R35" s="85"/>
      <c r="S35" s="57"/>
      <c r="T35" s="87" t="str">
        <f>IF(COUNTIF($A35:$S35,"&lt;&gt;")=0,"",IF($F35="À parts égales entre participants",IF(G35&lt;&gt;"Oui",0,IF(COUNTIF($H35:$L35,"Oui")=0,$D35-0,ROUND($D35/COUNTIF($G35:$L35,"Oui"),2))),IF($F35="Montants convenus",IF(G35="Oui",M35,0),"")))</f>
      </c>
      <c r="U35" s="87" t="str">
        <f>IF(COUNTIF($A35:$S35,"&lt;&gt;")=0,"",IF($F35="À parts égales entre participants",IF(H35&lt;&gt;"Oui",0,IF(COUNTIF($I35:$L35,"Oui")=0,$D35-SUM($T35:T35),ROUND($D35/COUNTIF($G35:$L35,"Oui"),2))),IF($F35="Montants convenus",IF(H35="Oui",N35,0),"")))</f>
      </c>
      <c r="V35" s="87" t="str">
        <f>IF(COUNTIF($A35:$S35,"&lt;&gt;")=0,"",IF($F35="À parts égales entre participants",IF(I35&lt;&gt;"Oui",0,IF(COUNTIF($J35:$L35,"Oui")=0,$D35-SUM($T35:U35),ROUND($D35/COUNTIF($G35:$L35,"Oui"),2))),IF($F35="Montants convenus",IF(I35="Oui",O35,0),"")))</f>
      </c>
      <c r="W35" s="87" t="str">
        <f>IF(COUNTIF($A35:$S35,"&lt;&gt;")=0,"",IF($F35="À parts égales entre participants",IF(J35&lt;&gt;"Oui",0,IF(COUNTIF($K35:$L35,"Oui")=0,$D35-SUM($T35:V35),ROUND($D35/COUNTIF($G35:$L35,"Oui"),2))),IF($F35="Montants convenus",IF(J35="Oui",P35,0),"")))</f>
      </c>
      <c r="X35" s="87" t="str">
        <f>IF(COUNTIF($A35:$S35,"&lt;&gt;")=0,"",IF($F35="À parts égales entre participants",IF(K35&lt;&gt;"Oui",0,IF(COUNTIF($L35:$L35,"Oui")=0,$D35-SUM($T35:W35),ROUND($D35/COUNTIF($G35:$L35,"Oui"),2))),IF($F35="Montants convenus",IF(K35="Oui",Q35,0),"")))</f>
      </c>
      <c r="Y35" s="87" t="str">
        <f>IF(COUNTIF($A35:$S35,"&lt;&gt;")=0,"",IF($F35="À parts égales entre participants",IF(L35&lt;&gt;"Oui",0,IF(0=0,$D35-SUM($T35:X35),ROUND($D35/COUNTIF($G35:$L35,"Oui"),2))),IF($F35="Montants convenus",IF(L35="Oui",R35,0),"")))</f>
      </c>
      <c r="Z35" s="81" t="str">
        <f>IF(COUNTIF($A35:$S35,"&lt;&gt;")=0,"",IF(OR($D35="",$D35&lt;=0),"Saisissez un montant supérieur à zéro.",IF($E35="","Sélectionnez la personne qui a payé.",IF(COUNTIF($G35:$L35,"Oui")=0,"Sélectionnez au moins une personne participante.",IF($F35="À parts égales entre participants","Vérifié",IF($F35="Montants convenus",IF(OR(AND(G35="Oui",M35=""),AND(H35="Oui",N35=""),AND(I35="Oui",O35=""),AND(J35="Oui",P35=""),AND(K35="Oui",Q35=""),AND(L35="Oui",R35="")),"Saisissez les montants convenus pour que leur somme corresponde à la dépense.",IF(ABS(SUM($M35:$R35))&lt;0.005,"Saisissez les montants convenus pour que leur somme corresponde à la dépense.",IF(SUM($M35:$R35)&lt;$D35-0.005,"Montant restant à répartir : "&amp;ROUND($D35-SUM($M35:$R35),2)&amp;".",IF(SUM($M35:$R35)&gt;$D35+0.005,"Montant réparti en trop : "&amp;ROUND(SUM($M35:$R35)-$D35,2)&amp;".","Vérifié")))),"Saisissez les montants convenus pour que leur somme corresponde à la dépense."))))))</f>
      </c>
    </row>
    <row r="36">
      <c r="A36" s="83"/>
      <c r="B36" s="57"/>
      <c r="C36" s="57"/>
      <c r="D36" s="85"/>
      <c r="E36" s="57"/>
      <c r="F36" s="57"/>
      <c r="G36" s="57"/>
      <c r="H36" s="57"/>
      <c r="I36" s="57"/>
      <c r="J36" s="57"/>
      <c r="K36" s="57"/>
      <c r="L36" s="57"/>
      <c r="M36" s="85"/>
      <c r="N36" s="85"/>
      <c r="O36" s="85"/>
      <c r="P36" s="85"/>
      <c r="Q36" s="85"/>
      <c r="R36" s="85"/>
      <c r="S36" s="57"/>
      <c r="T36" s="87" t="str">
        <f>IF(COUNTIF($A36:$S36,"&lt;&gt;")=0,"",IF($F36="À parts égales entre participants",IF(G36&lt;&gt;"Oui",0,IF(COUNTIF($H36:$L36,"Oui")=0,$D36-0,ROUND($D36/COUNTIF($G36:$L36,"Oui"),2))),IF($F36="Montants convenus",IF(G36="Oui",M36,0),"")))</f>
      </c>
      <c r="U36" s="87" t="str">
        <f>IF(COUNTIF($A36:$S36,"&lt;&gt;")=0,"",IF($F36="À parts égales entre participants",IF(H36&lt;&gt;"Oui",0,IF(COUNTIF($I36:$L36,"Oui")=0,$D36-SUM($T36:T36),ROUND($D36/COUNTIF($G36:$L36,"Oui"),2))),IF($F36="Montants convenus",IF(H36="Oui",N36,0),"")))</f>
      </c>
      <c r="V36" s="87" t="str">
        <f>IF(COUNTIF($A36:$S36,"&lt;&gt;")=0,"",IF($F36="À parts égales entre participants",IF(I36&lt;&gt;"Oui",0,IF(COUNTIF($J36:$L36,"Oui")=0,$D36-SUM($T36:U36),ROUND($D36/COUNTIF($G36:$L36,"Oui"),2))),IF($F36="Montants convenus",IF(I36="Oui",O36,0),"")))</f>
      </c>
      <c r="W36" s="87" t="str">
        <f>IF(COUNTIF($A36:$S36,"&lt;&gt;")=0,"",IF($F36="À parts égales entre participants",IF(J36&lt;&gt;"Oui",0,IF(COUNTIF($K36:$L36,"Oui")=0,$D36-SUM($T36:V36),ROUND($D36/COUNTIF($G36:$L36,"Oui"),2))),IF($F36="Montants convenus",IF(J36="Oui",P36,0),"")))</f>
      </c>
      <c r="X36" s="87" t="str">
        <f>IF(COUNTIF($A36:$S36,"&lt;&gt;")=0,"",IF($F36="À parts égales entre participants",IF(K36&lt;&gt;"Oui",0,IF(COUNTIF($L36:$L36,"Oui")=0,$D36-SUM($T36:W36),ROUND($D36/COUNTIF($G36:$L36,"Oui"),2))),IF($F36="Montants convenus",IF(K36="Oui",Q36,0),"")))</f>
      </c>
      <c r="Y36" s="87" t="str">
        <f>IF(COUNTIF($A36:$S36,"&lt;&gt;")=0,"",IF($F36="À parts égales entre participants",IF(L36&lt;&gt;"Oui",0,IF(0=0,$D36-SUM($T36:X36),ROUND($D36/COUNTIF($G36:$L36,"Oui"),2))),IF($F36="Montants convenus",IF(L36="Oui",R36,0),"")))</f>
      </c>
      <c r="Z36" s="81" t="str">
        <f>IF(COUNTIF($A36:$S36,"&lt;&gt;")=0,"",IF(OR($D36="",$D36&lt;=0),"Saisissez un montant supérieur à zéro.",IF($E36="","Sélectionnez la personne qui a payé.",IF(COUNTIF($G36:$L36,"Oui")=0,"Sélectionnez au moins une personne participante.",IF($F36="À parts égales entre participants","Vérifié",IF($F36="Montants convenus",IF(OR(AND(G36="Oui",M36=""),AND(H36="Oui",N36=""),AND(I36="Oui",O36=""),AND(J36="Oui",P36=""),AND(K36="Oui",Q36=""),AND(L36="Oui",R36="")),"Saisissez les montants convenus pour que leur somme corresponde à la dépense.",IF(ABS(SUM($M36:$R36))&lt;0.005,"Saisissez les montants convenus pour que leur somme corresponde à la dépense.",IF(SUM($M36:$R36)&lt;$D36-0.005,"Montant restant à répartir : "&amp;ROUND($D36-SUM($M36:$R36),2)&amp;".",IF(SUM($M36:$R36)&gt;$D36+0.005,"Montant réparti en trop : "&amp;ROUND(SUM($M36:$R36)-$D36,2)&amp;".","Vérifié")))),"Saisissez les montants convenus pour que leur somme corresponde à la dépense."))))))</f>
      </c>
    </row>
    <row r="37">
      <c r="A37" s="83"/>
      <c r="B37" s="57"/>
      <c r="C37" s="57"/>
      <c r="D37" s="85"/>
      <c r="E37" s="57"/>
      <c r="F37" s="57"/>
      <c r="G37" s="57"/>
      <c r="H37" s="57"/>
      <c r="I37" s="57"/>
      <c r="J37" s="57"/>
      <c r="K37" s="57"/>
      <c r="L37" s="57"/>
      <c r="M37" s="85"/>
      <c r="N37" s="85"/>
      <c r="O37" s="85"/>
      <c r="P37" s="85"/>
      <c r="Q37" s="85"/>
      <c r="R37" s="85"/>
      <c r="S37" s="57"/>
      <c r="T37" s="87" t="str">
        <f>IF(COUNTIF($A37:$S37,"&lt;&gt;")=0,"",IF($F37="À parts égales entre participants",IF(G37&lt;&gt;"Oui",0,IF(COUNTIF($H37:$L37,"Oui")=0,$D37-0,ROUND($D37/COUNTIF($G37:$L37,"Oui"),2))),IF($F37="Montants convenus",IF(G37="Oui",M37,0),"")))</f>
      </c>
      <c r="U37" s="87" t="str">
        <f>IF(COUNTIF($A37:$S37,"&lt;&gt;")=0,"",IF($F37="À parts égales entre participants",IF(H37&lt;&gt;"Oui",0,IF(COUNTIF($I37:$L37,"Oui")=0,$D37-SUM($T37:T37),ROUND($D37/COUNTIF($G37:$L37,"Oui"),2))),IF($F37="Montants convenus",IF(H37="Oui",N37,0),"")))</f>
      </c>
      <c r="V37" s="87" t="str">
        <f>IF(COUNTIF($A37:$S37,"&lt;&gt;")=0,"",IF($F37="À parts égales entre participants",IF(I37&lt;&gt;"Oui",0,IF(COUNTIF($J37:$L37,"Oui")=0,$D37-SUM($T37:U37),ROUND($D37/COUNTIF($G37:$L37,"Oui"),2))),IF($F37="Montants convenus",IF(I37="Oui",O37,0),"")))</f>
      </c>
      <c r="W37" s="87" t="str">
        <f>IF(COUNTIF($A37:$S37,"&lt;&gt;")=0,"",IF($F37="À parts égales entre participants",IF(J37&lt;&gt;"Oui",0,IF(COUNTIF($K37:$L37,"Oui")=0,$D37-SUM($T37:V37),ROUND($D37/COUNTIF($G37:$L37,"Oui"),2))),IF($F37="Montants convenus",IF(J37="Oui",P37,0),"")))</f>
      </c>
      <c r="X37" s="87" t="str">
        <f>IF(COUNTIF($A37:$S37,"&lt;&gt;")=0,"",IF($F37="À parts égales entre participants",IF(K37&lt;&gt;"Oui",0,IF(COUNTIF($L37:$L37,"Oui")=0,$D37-SUM($T37:W37),ROUND($D37/COUNTIF($G37:$L37,"Oui"),2))),IF($F37="Montants convenus",IF(K37="Oui",Q37,0),"")))</f>
      </c>
      <c r="Y37" s="87" t="str">
        <f>IF(COUNTIF($A37:$S37,"&lt;&gt;")=0,"",IF($F37="À parts égales entre participants",IF(L37&lt;&gt;"Oui",0,IF(0=0,$D37-SUM($T37:X37),ROUND($D37/COUNTIF($G37:$L37,"Oui"),2))),IF($F37="Montants convenus",IF(L37="Oui",R37,0),"")))</f>
      </c>
      <c r="Z37" s="81" t="str">
        <f>IF(COUNTIF($A37:$S37,"&lt;&gt;")=0,"",IF(OR($D37="",$D37&lt;=0),"Saisissez un montant supérieur à zéro.",IF($E37="","Sélectionnez la personne qui a payé.",IF(COUNTIF($G37:$L37,"Oui")=0,"Sélectionnez au moins une personne participante.",IF($F37="À parts égales entre participants","Vérifié",IF($F37="Montants convenus",IF(OR(AND(G37="Oui",M37=""),AND(H37="Oui",N37=""),AND(I37="Oui",O37=""),AND(J37="Oui",P37=""),AND(K37="Oui",Q37=""),AND(L37="Oui",R37="")),"Saisissez les montants convenus pour que leur somme corresponde à la dépense.",IF(ABS(SUM($M37:$R37))&lt;0.005,"Saisissez les montants convenus pour que leur somme corresponde à la dépense.",IF(SUM($M37:$R37)&lt;$D37-0.005,"Montant restant à répartir : "&amp;ROUND($D37-SUM($M37:$R37),2)&amp;".",IF(SUM($M37:$R37)&gt;$D37+0.005,"Montant réparti en trop : "&amp;ROUND(SUM($M37:$R37)-$D37,2)&amp;".","Vérifié")))),"Saisissez les montants convenus pour que leur somme corresponde à la dépense."))))))</f>
      </c>
    </row>
    <row r="38">
      <c r="A38" s="83"/>
      <c r="B38" s="57"/>
      <c r="C38" s="57"/>
      <c r="D38" s="85"/>
      <c r="E38" s="57"/>
      <c r="F38" s="57"/>
      <c r="G38" s="57"/>
      <c r="H38" s="57"/>
      <c r="I38" s="57"/>
      <c r="J38" s="57"/>
      <c r="K38" s="57"/>
      <c r="L38" s="57"/>
      <c r="M38" s="85"/>
      <c r="N38" s="85"/>
      <c r="O38" s="85"/>
      <c r="P38" s="85"/>
      <c r="Q38" s="85"/>
      <c r="R38" s="85"/>
      <c r="S38" s="57"/>
      <c r="T38" s="87" t="str">
        <f>IF(COUNTIF($A38:$S38,"&lt;&gt;")=0,"",IF($F38="À parts égales entre participants",IF(G38&lt;&gt;"Oui",0,IF(COUNTIF($H38:$L38,"Oui")=0,$D38-0,ROUND($D38/COUNTIF($G38:$L38,"Oui"),2))),IF($F38="Montants convenus",IF(G38="Oui",M38,0),"")))</f>
      </c>
      <c r="U38" s="87" t="str">
        <f>IF(COUNTIF($A38:$S38,"&lt;&gt;")=0,"",IF($F38="À parts égales entre participants",IF(H38&lt;&gt;"Oui",0,IF(COUNTIF($I38:$L38,"Oui")=0,$D38-SUM($T38:T38),ROUND($D38/COUNTIF($G38:$L38,"Oui"),2))),IF($F38="Montants convenus",IF(H38="Oui",N38,0),"")))</f>
      </c>
      <c r="V38" s="87" t="str">
        <f>IF(COUNTIF($A38:$S38,"&lt;&gt;")=0,"",IF($F38="À parts égales entre participants",IF(I38&lt;&gt;"Oui",0,IF(COUNTIF($J38:$L38,"Oui")=0,$D38-SUM($T38:U38),ROUND($D38/COUNTIF($G38:$L38,"Oui"),2))),IF($F38="Montants convenus",IF(I38="Oui",O38,0),"")))</f>
      </c>
      <c r="W38" s="87" t="str">
        <f>IF(COUNTIF($A38:$S38,"&lt;&gt;")=0,"",IF($F38="À parts égales entre participants",IF(J38&lt;&gt;"Oui",0,IF(COUNTIF($K38:$L38,"Oui")=0,$D38-SUM($T38:V38),ROUND($D38/COUNTIF($G38:$L38,"Oui"),2))),IF($F38="Montants convenus",IF(J38="Oui",P38,0),"")))</f>
      </c>
      <c r="X38" s="87" t="str">
        <f>IF(COUNTIF($A38:$S38,"&lt;&gt;")=0,"",IF($F38="À parts égales entre participants",IF(K38&lt;&gt;"Oui",0,IF(COUNTIF($L38:$L38,"Oui")=0,$D38-SUM($T38:W38),ROUND($D38/COUNTIF($G38:$L38,"Oui"),2))),IF($F38="Montants convenus",IF(K38="Oui",Q38,0),"")))</f>
      </c>
      <c r="Y38" s="87" t="str">
        <f>IF(COUNTIF($A38:$S38,"&lt;&gt;")=0,"",IF($F38="À parts égales entre participants",IF(L38&lt;&gt;"Oui",0,IF(0=0,$D38-SUM($T38:X38),ROUND($D38/COUNTIF($G38:$L38,"Oui"),2))),IF($F38="Montants convenus",IF(L38="Oui",R38,0),"")))</f>
      </c>
      <c r="Z38" s="81" t="str">
        <f>IF(COUNTIF($A38:$S38,"&lt;&gt;")=0,"",IF(OR($D38="",$D38&lt;=0),"Saisissez un montant supérieur à zéro.",IF($E38="","Sélectionnez la personne qui a payé.",IF(COUNTIF($G38:$L38,"Oui")=0,"Sélectionnez au moins une personne participante.",IF($F38="À parts égales entre participants","Vérifié",IF($F38="Montants convenus",IF(OR(AND(G38="Oui",M38=""),AND(H38="Oui",N38=""),AND(I38="Oui",O38=""),AND(J38="Oui",P38=""),AND(K38="Oui",Q38=""),AND(L38="Oui",R38="")),"Saisissez les montants convenus pour que leur somme corresponde à la dépense.",IF(ABS(SUM($M38:$R38))&lt;0.005,"Saisissez les montants convenus pour que leur somme corresponde à la dépense.",IF(SUM($M38:$R38)&lt;$D38-0.005,"Montant restant à répartir : "&amp;ROUND($D38-SUM($M38:$R38),2)&amp;".",IF(SUM($M38:$R38)&gt;$D38+0.005,"Montant réparti en trop : "&amp;ROUND(SUM($M38:$R38)-$D38,2)&amp;".","Vérifié")))),"Saisissez les montants convenus pour que leur somme corresponde à la dépense."))))))</f>
      </c>
    </row>
    <row r="39">
      <c r="A39" s="83"/>
      <c r="B39" s="57"/>
      <c r="C39" s="57"/>
      <c r="D39" s="85"/>
      <c r="E39" s="57"/>
      <c r="F39" s="57"/>
      <c r="G39" s="57"/>
      <c r="H39" s="57"/>
      <c r="I39" s="57"/>
      <c r="J39" s="57"/>
      <c r="K39" s="57"/>
      <c r="L39" s="57"/>
      <c r="M39" s="85"/>
      <c r="N39" s="85"/>
      <c r="O39" s="85"/>
      <c r="P39" s="85"/>
      <c r="Q39" s="85"/>
      <c r="R39" s="85"/>
      <c r="S39" s="57"/>
      <c r="T39" s="87" t="str">
        <f>IF(COUNTIF($A39:$S39,"&lt;&gt;")=0,"",IF($F39="À parts égales entre participants",IF(G39&lt;&gt;"Oui",0,IF(COUNTIF($H39:$L39,"Oui")=0,$D39-0,ROUND($D39/COUNTIF($G39:$L39,"Oui"),2))),IF($F39="Montants convenus",IF(G39="Oui",M39,0),"")))</f>
      </c>
      <c r="U39" s="87" t="str">
        <f>IF(COUNTIF($A39:$S39,"&lt;&gt;")=0,"",IF($F39="À parts égales entre participants",IF(H39&lt;&gt;"Oui",0,IF(COUNTIF($I39:$L39,"Oui")=0,$D39-SUM($T39:T39),ROUND($D39/COUNTIF($G39:$L39,"Oui"),2))),IF($F39="Montants convenus",IF(H39="Oui",N39,0),"")))</f>
      </c>
      <c r="V39" s="87" t="str">
        <f>IF(COUNTIF($A39:$S39,"&lt;&gt;")=0,"",IF($F39="À parts égales entre participants",IF(I39&lt;&gt;"Oui",0,IF(COUNTIF($J39:$L39,"Oui")=0,$D39-SUM($T39:U39),ROUND($D39/COUNTIF($G39:$L39,"Oui"),2))),IF($F39="Montants convenus",IF(I39="Oui",O39,0),"")))</f>
      </c>
      <c r="W39" s="87" t="str">
        <f>IF(COUNTIF($A39:$S39,"&lt;&gt;")=0,"",IF($F39="À parts égales entre participants",IF(J39&lt;&gt;"Oui",0,IF(COUNTIF($K39:$L39,"Oui")=0,$D39-SUM($T39:V39),ROUND($D39/COUNTIF($G39:$L39,"Oui"),2))),IF($F39="Montants convenus",IF(J39="Oui",P39,0),"")))</f>
      </c>
      <c r="X39" s="87" t="str">
        <f>IF(COUNTIF($A39:$S39,"&lt;&gt;")=0,"",IF($F39="À parts égales entre participants",IF(K39&lt;&gt;"Oui",0,IF(COUNTIF($L39:$L39,"Oui")=0,$D39-SUM($T39:W39),ROUND($D39/COUNTIF($G39:$L39,"Oui"),2))),IF($F39="Montants convenus",IF(K39="Oui",Q39,0),"")))</f>
      </c>
      <c r="Y39" s="87" t="str">
        <f>IF(COUNTIF($A39:$S39,"&lt;&gt;")=0,"",IF($F39="À parts égales entre participants",IF(L39&lt;&gt;"Oui",0,IF(0=0,$D39-SUM($T39:X39),ROUND($D39/COUNTIF($G39:$L39,"Oui"),2))),IF($F39="Montants convenus",IF(L39="Oui",R39,0),"")))</f>
      </c>
      <c r="Z39" s="81" t="str">
        <f>IF(COUNTIF($A39:$S39,"&lt;&gt;")=0,"",IF(OR($D39="",$D39&lt;=0),"Saisissez un montant supérieur à zéro.",IF($E39="","Sélectionnez la personne qui a payé.",IF(COUNTIF($G39:$L39,"Oui")=0,"Sélectionnez au moins une personne participante.",IF($F39="À parts égales entre participants","Vérifié",IF($F39="Montants convenus",IF(OR(AND(G39="Oui",M39=""),AND(H39="Oui",N39=""),AND(I39="Oui",O39=""),AND(J39="Oui",P39=""),AND(K39="Oui",Q39=""),AND(L39="Oui",R39="")),"Saisissez les montants convenus pour que leur somme corresponde à la dépense.",IF(ABS(SUM($M39:$R39))&lt;0.005,"Saisissez les montants convenus pour que leur somme corresponde à la dépense.",IF(SUM($M39:$R39)&lt;$D39-0.005,"Montant restant à répartir : "&amp;ROUND($D39-SUM($M39:$R39),2)&amp;".",IF(SUM($M39:$R39)&gt;$D39+0.005,"Montant réparti en trop : "&amp;ROUND(SUM($M39:$R39)-$D39,2)&amp;".","Vérifié")))),"Saisissez les montants convenus pour que leur somme corresponde à la dépense."))))))</f>
      </c>
    </row>
    <row r="40">
      <c r="A40" s="83"/>
      <c r="B40" s="57"/>
      <c r="C40" s="57"/>
      <c r="D40" s="85"/>
      <c r="E40" s="57"/>
      <c r="F40" s="57"/>
      <c r="G40" s="57"/>
      <c r="H40" s="57"/>
      <c r="I40" s="57"/>
      <c r="J40" s="57"/>
      <c r="K40" s="57"/>
      <c r="L40" s="57"/>
      <c r="M40" s="85"/>
      <c r="N40" s="85"/>
      <c r="O40" s="85"/>
      <c r="P40" s="85"/>
      <c r="Q40" s="85"/>
      <c r="R40" s="85"/>
      <c r="S40" s="57"/>
      <c r="T40" s="87" t="str">
        <f>IF(COUNTIF($A40:$S40,"&lt;&gt;")=0,"",IF($F40="À parts égales entre participants",IF(G40&lt;&gt;"Oui",0,IF(COUNTIF($H40:$L40,"Oui")=0,$D40-0,ROUND($D40/COUNTIF($G40:$L40,"Oui"),2))),IF($F40="Montants convenus",IF(G40="Oui",M40,0),"")))</f>
      </c>
      <c r="U40" s="87" t="str">
        <f>IF(COUNTIF($A40:$S40,"&lt;&gt;")=0,"",IF($F40="À parts égales entre participants",IF(H40&lt;&gt;"Oui",0,IF(COUNTIF($I40:$L40,"Oui")=0,$D40-SUM($T40:T40),ROUND($D40/COUNTIF($G40:$L40,"Oui"),2))),IF($F40="Montants convenus",IF(H40="Oui",N40,0),"")))</f>
      </c>
      <c r="V40" s="87" t="str">
        <f>IF(COUNTIF($A40:$S40,"&lt;&gt;")=0,"",IF($F40="À parts égales entre participants",IF(I40&lt;&gt;"Oui",0,IF(COUNTIF($J40:$L40,"Oui")=0,$D40-SUM($T40:U40),ROUND($D40/COUNTIF($G40:$L40,"Oui"),2))),IF($F40="Montants convenus",IF(I40="Oui",O40,0),"")))</f>
      </c>
      <c r="W40" s="87" t="str">
        <f>IF(COUNTIF($A40:$S40,"&lt;&gt;")=0,"",IF($F40="À parts égales entre participants",IF(J40&lt;&gt;"Oui",0,IF(COUNTIF($K40:$L40,"Oui")=0,$D40-SUM($T40:V40),ROUND($D40/COUNTIF($G40:$L40,"Oui"),2))),IF($F40="Montants convenus",IF(J40="Oui",P40,0),"")))</f>
      </c>
      <c r="X40" s="87" t="str">
        <f>IF(COUNTIF($A40:$S40,"&lt;&gt;")=0,"",IF($F40="À parts égales entre participants",IF(K40&lt;&gt;"Oui",0,IF(COUNTIF($L40:$L40,"Oui")=0,$D40-SUM($T40:W40),ROUND($D40/COUNTIF($G40:$L40,"Oui"),2))),IF($F40="Montants convenus",IF(K40="Oui",Q40,0),"")))</f>
      </c>
      <c r="Y40" s="87" t="str">
        <f>IF(COUNTIF($A40:$S40,"&lt;&gt;")=0,"",IF($F40="À parts égales entre participants",IF(L40&lt;&gt;"Oui",0,IF(0=0,$D40-SUM($T40:X40),ROUND($D40/COUNTIF($G40:$L40,"Oui"),2))),IF($F40="Montants convenus",IF(L40="Oui",R40,0),"")))</f>
      </c>
      <c r="Z40" s="81" t="str">
        <f>IF(COUNTIF($A40:$S40,"&lt;&gt;")=0,"",IF(OR($D40="",$D40&lt;=0),"Saisissez un montant supérieur à zéro.",IF($E40="","Sélectionnez la personne qui a payé.",IF(COUNTIF($G40:$L40,"Oui")=0,"Sélectionnez au moins une personne participante.",IF($F40="À parts égales entre participants","Vérifié",IF($F40="Montants convenus",IF(OR(AND(G40="Oui",M40=""),AND(H40="Oui",N40=""),AND(I40="Oui",O40=""),AND(J40="Oui",P40=""),AND(K40="Oui",Q40=""),AND(L40="Oui",R40="")),"Saisissez les montants convenus pour que leur somme corresponde à la dépense.",IF(ABS(SUM($M40:$R40))&lt;0.005,"Saisissez les montants convenus pour que leur somme corresponde à la dépense.",IF(SUM($M40:$R40)&lt;$D40-0.005,"Montant restant à répartir : "&amp;ROUND($D40-SUM($M40:$R40),2)&amp;".",IF(SUM($M40:$R40)&gt;$D40+0.005,"Montant réparti en trop : "&amp;ROUND(SUM($M40:$R40)-$D40,2)&amp;".","Vérifié")))),"Saisissez les montants convenus pour que leur somme corresponde à la dépense."))))))</f>
      </c>
    </row>
    <row r="41">
      <c r="A41" s="83"/>
      <c r="B41" s="57"/>
      <c r="C41" s="57"/>
      <c r="D41" s="85"/>
      <c r="E41" s="57"/>
      <c r="F41" s="57"/>
      <c r="G41" s="57"/>
      <c r="H41" s="57"/>
      <c r="I41" s="57"/>
      <c r="J41" s="57"/>
      <c r="K41" s="57"/>
      <c r="L41" s="57"/>
      <c r="M41" s="85"/>
      <c r="N41" s="85"/>
      <c r="O41" s="85"/>
      <c r="P41" s="85"/>
      <c r="Q41" s="85"/>
      <c r="R41" s="85"/>
      <c r="S41" s="57"/>
      <c r="T41" s="87" t="str">
        <f>IF(COUNTIF($A41:$S41,"&lt;&gt;")=0,"",IF($F41="À parts égales entre participants",IF(G41&lt;&gt;"Oui",0,IF(COUNTIF($H41:$L41,"Oui")=0,$D41-0,ROUND($D41/COUNTIF($G41:$L41,"Oui"),2))),IF($F41="Montants convenus",IF(G41="Oui",M41,0),"")))</f>
      </c>
      <c r="U41" s="87" t="str">
        <f>IF(COUNTIF($A41:$S41,"&lt;&gt;")=0,"",IF($F41="À parts égales entre participants",IF(H41&lt;&gt;"Oui",0,IF(COUNTIF($I41:$L41,"Oui")=0,$D41-SUM($T41:T41),ROUND($D41/COUNTIF($G41:$L41,"Oui"),2))),IF($F41="Montants convenus",IF(H41="Oui",N41,0),"")))</f>
      </c>
      <c r="V41" s="87" t="str">
        <f>IF(COUNTIF($A41:$S41,"&lt;&gt;")=0,"",IF($F41="À parts égales entre participants",IF(I41&lt;&gt;"Oui",0,IF(COUNTIF($J41:$L41,"Oui")=0,$D41-SUM($T41:U41),ROUND($D41/COUNTIF($G41:$L41,"Oui"),2))),IF($F41="Montants convenus",IF(I41="Oui",O41,0),"")))</f>
      </c>
      <c r="W41" s="87" t="str">
        <f>IF(COUNTIF($A41:$S41,"&lt;&gt;")=0,"",IF($F41="À parts égales entre participants",IF(J41&lt;&gt;"Oui",0,IF(COUNTIF($K41:$L41,"Oui")=0,$D41-SUM($T41:V41),ROUND($D41/COUNTIF($G41:$L41,"Oui"),2))),IF($F41="Montants convenus",IF(J41="Oui",P41,0),"")))</f>
      </c>
      <c r="X41" s="87" t="str">
        <f>IF(COUNTIF($A41:$S41,"&lt;&gt;")=0,"",IF($F41="À parts égales entre participants",IF(K41&lt;&gt;"Oui",0,IF(COUNTIF($L41:$L41,"Oui")=0,$D41-SUM($T41:W41),ROUND($D41/COUNTIF($G41:$L41,"Oui"),2))),IF($F41="Montants convenus",IF(K41="Oui",Q41,0),"")))</f>
      </c>
      <c r="Y41" s="87" t="str">
        <f>IF(COUNTIF($A41:$S41,"&lt;&gt;")=0,"",IF($F41="À parts égales entre participants",IF(L41&lt;&gt;"Oui",0,IF(0=0,$D41-SUM($T41:X41),ROUND($D41/COUNTIF($G41:$L41,"Oui"),2))),IF($F41="Montants convenus",IF(L41="Oui",R41,0),"")))</f>
      </c>
      <c r="Z41" s="81" t="str">
        <f>IF(COUNTIF($A41:$S41,"&lt;&gt;")=0,"",IF(OR($D41="",$D41&lt;=0),"Saisissez un montant supérieur à zéro.",IF($E41="","Sélectionnez la personne qui a payé.",IF(COUNTIF($G41:$L41,"Oui")=0,"Sélectionnez au moins une personne participante.",IF($F41="À parts égales entre participants","Vérifié",IF($F41="Montants convenus",IF(OR(AND(G41="Oui",M41=""),AND(H41="Oui",N41=""),AND(I41="Oui",O41=""),AND(J41="Oui",P41=""),AND(K41="Oui",Q41=""),AND(L41="Oui",R41="")),"Saisissez les montants convenus pour que leur somme corresponde à la dépense.",IF(ABS(SUM($M41:$R41))&lt;0.005,"Saisissez les montants convenus pour que leur somme corresponde à la dépense.",IF(SUM($M41:$R41)&lt;$D41-0.005,"Montant restant à répartir : "&amp;ROUND($D41-SUM($M41:$R41),2)&amp;".",IF(SUM($M41:$R41)&gt;$D41+0.005,"Montant réparti en trop : "&amp;ROUND(SUM($M41:$R41)-$D41,2)&amp;".","Vérifié")))),"Saisissez les montants convenus pour que leur somme corresponde à la dépense."))))))</f>
      </c>
    </row>
    <row r="42">
      <c r="A42" s="83"/>
      <c r="B42" s="57"/>
      <c r="C42" s="57"/>
      <c r="D42" s="85"/>
      <c r="E42" s="57"/>
      <c r="F42" s="57"/>
      <c r="G42" s="57"/>
      <c r="H42" s="57"/>
      <c r="I42" s="57"/>
      <c r="J42" s="57"/>
      <c r="K42" s="57"/>
      <c r="L42" s="57"/>
      <c r="M42" s="85"/>
      <c r="N42" s="85"/>
      <c r="O42" s="85"/>
      <c r="P42" s="85"/>
      <c r="Q42" s="85"/>
      <c r="R42" s="85"/>
      <c r="S42" s="57"/>
      <c r="T42" s="87" t="str">
        <f>IF(COUNTIF($A42:$S42,"&lt;&gt;")=0,"",IF($F42="À parts égales entre participants",IF(G42&lt;&gt;"Oui",0,IF(COUNTIF($H42:$L42,"Oui")=0,$D42-0,ROUND($D42/COUNTIF($G42:$L42,"Oui"),2))),IF($F42="Montants convenus",IF(G42="Oui",M42,0),"")))</f>
      </c>
      <c r="U42" s="87" t="str">
        <f>IF(COUNTIF($A42:$S42,"&lt;&gt;")=0,"",IF($F42="À parts égales entre participants",IF(H42&lt;&gt;"Oui",0,IF(COUNTIF($I42:$L42,"Oui")=0,$D42-SUM($T42:T42),ROUND($D42/COUNTIF($G42:$L42,"Oui"),2))),IF($F42="Montants convenus",IF(H42="Oui",N42,0),"")))</f>
      </c>
      <c r="V42" s="87" t="str">
        <f>IF(COUNTIF($A42:$S42,"&lt;&gt;")=0,"",IF($F42="À parts égales entre participants",IF(I42&lt;&gt;"Oui",0,IF(COUNTIF($J42:$L42,"Oui")=0,$D42-SUM($T42:U42),ROUND($D42/COUNTIF($G42:$L42,"Oui"),2))),IF($F42="Montants convenus",IF(I42="Oui",O42,0),"")))</f>
      </c>
      <c r="W42" s="87" t="str">
        <f>IF(COUNTIF($A42:$S42,"&lt;&gt;")=0,"",IF($F42="À parts égales entre participants",IF(J42&lt;&gt;"Oui",0,IF(COUNTIF($K42:$L42,"Oui")=0,$D42-SUM($T42:V42),ROUND($D42/COUNTIF($G42:$L42,"Oui"),2))),IF($F42="Montants convenus",IF(J42="Oui",P42,0),"")))</f>
      </c>
      <c r="X42" s="87" t="str">
        <f>IF(COUNTIF($A42:$S42,"&lt;&gt;")=0,"",IF($F42="À parts égales entre participants",IF(K42&lt;&gt;"Oui",0,IF(COUNTIF($L42:$L42,"Oui")=0,$D42-SUM($T42:W42),ROUND($D42/COUNTIF($G42:$L42,"Oui"),2))),IF($F42="Montants convenus",IF(K42="Oui",Q42,0),"")))</f>
      </c>
      <c r="Y42" s="87" t="str">
        <f>IF(COUNTIF($A42:$S42,"&lt;&gt;")=0,"",IF($F42="À parts égales entre participants",IF(L42&lt;&gt;"Oui",0,IF(0=0,$D42-SUM($T42:X42),ROUND($D42/COUNTIF($G42:$L42,"Oui"),2))),IF($F42="Montants convenus",IF(L42="Oui",R42,0),"")))</f>
      </c>
      <c r="Z42" s="81" t="str">
        <f>IF(COUNTIF($A42:$S42,"&lt;&gt;")=0,"",IF(OR($D42="",$D42&lt;=0),"Saisissez un montant supérieur à zéro.",IF($E42="","Sélectionnez la personne qui a payé.",IF(COUNTIF($G42:$L42,"Oui")=0,"Sélectionnez au moins une personne participante.",IF($F42="À parts égales entre participants","Vérifié",IF($F42="Montants convenus",IF(OR(AND(G42="Oui",M42=""),AND(H42="Oui",N42=""),AND(I42="Oui",O42=""),AND(J42="Oui",P42=""),AND(K42="Oui",Q42=""),AND(L42="Oui",R42="")),"Saisissez les montants convenus pour que leur somme corresponde à la dépense.",IF(ABS(SUM($M42:$R42))&lt;0.005,"Saisissez les montants convenus pour que leur somme corresponde à la dépense.",IF(SUM($M42:$R42)&lt;$D42-0.005,"Montant restant à répartir : "&amp;ROUND($D42-SUM($M42:$R42),2)&amp;".",IF(SUM($M42:$R42)&gt;$D42+0.005,"Montant réparti en trop : "&amp;ROUND(SUM($M42:$R42)-$D42,2)&amp;".","Vérifié")))),"Saisissez les montants convenus pour que leur somme corresponde à la dépense."))))))</f>
      </c>
    </row>
    <row r="43">
      <c r="A43" s="83"/>
      <c r="B43" s="57"/>
      <c r="C43" s="57"/>
      <c r="D43" s="85"/>
      <c r="E43" s="57"/>
      <c r="F43" s="57"/>
      <c r="G43" s="57"/>
      <c r="H43" s="57"/>
      <c r="I43" s="57"/>
      <c r="J43" s="57"/>
      <c r="K43" s="57"/>
      <c r="L43" s="57"/>
      <c r="M43" s="85"/>
      <c r="N43" s="85"/>
      <c r="O43" s="85"/>
      <c r="P43" s="85"/>
      <c r="Q43" s="85"/>
      <c r="R43" s="85"/>
      <c r="S43" s="57"/>
      <c r="T43" s="87" t="str">
        <f>IF(COUNTIF($A43:$S43,"&lt;&gt;")=0,"",IF($F43="À parts égales entre participants",IF(G43&lt;&gt;"Oui",0,IF(COUNTIF($H43:$L43,"Oui")=0,$D43-0,ROUND($D43/COUNTIF($G43:$L43,"Oui"),2))),IF($F43="Montants convenus",IF(G43="Oui",M43,0),"")))</f>
      </c>
      <c r="U43" s="87" t="str">
        <f>IF(COUNTIF($A43:$S43,"&lt;&gt;")=0,"",IF($F43="À parts égales entre participants",IF(H43&lt;&gt;"Oui",0,IF(COUNTIF($I43:$L43,"Oui")=0,$D43-SUM($T43:T43),ROUND($D43/COUNTIF($G43:$L43,"Oui"),2))),IF($F43="Montants convenus",IF(H43="Oui",N43,0),"")))</f>
      </c>
      <c r="V43" s="87" t="str">
        <f>IF(COUNTIF($A43:$S43,"&lt;&gt;")=0,"",IF($F43="À parts égales entre participants",IF(I43&lt;&gt;"Oui",0,IF(COUNTIF($J43:$L43,"Oui")=0,$D43-SUM($T43:U43),ROUND($D43/COUNTIF($G43:$L43,"Oui"),2))),IF($F43="Montants convenus",IF(I43="Oui",O43,0),"")))</f>
      </c>
      <c r="W43" s="87" t="str">
        <f>IF(COUNTIF($A43:$S43,"&lt;&gt;")=0,"",IF($F43="À parts égales entre participants",IF(J43&lt;&gt;"Oui",0,IF(COUNTIF($K43:$L43,"Oui")=0,$D43-SUM($T43:V43),ROUND($D43/COUNTIF($G43:$L43,"Oui"),2))),IF($F43="Montants convenus",IF(J43="Oui",P43,0),"")))</f>
      </c>
      <c r="X43" s="87" t="str">
        <f>IF(COUNTIF($A43:$S43,"&lt;&gt;")=0,"",IF($F43="À parts égales entre participants",IF(K43&lt;&gt;"Oui",0,IF(COUNTIF($L43:$L43,"Oui")=0,$D43-SUM($T43:W43),ROUND($D43/COUNTIF($G43:$L43,"Oui"),2))),IF($F43="Montants convenus",IF(K43="Oui",Q43,0),"")))</f>
      </c>
      <c r="Y43" s="87" t="str">
        <f>IF(COUNTIF($A43:$S43,"&lt;&gt;")=0,"",IF($F43="À parts égales entre participants",IF(L43&lt;&gt;"Oui",0,IF(0=0,$D43-SUM($T43:X43),ROUND($D43/COUNTIF($G43:$L43,"Oui"),2))),IF($F43="Montants convenus",IF(L43="Oui",R43,0),"")))</f>
      </c>
      <c r="Z43" s="81" t="str">
        <f>IF(COUNTIF($A43:$S43,"&lt;&gt;")=0,"",IF(OR($D43="",$D43&lt;=0),"Saisissez un montant supérieur à zéro.",IF($E43="","Sélectionnez la personne qui a payé.",IF(COUNTIF($G43:$L43,"Oui")=0,"Sélectionnez au moins une personne participante.",IF($F43="À parts égales entre participants","Vérifié",IF($F43="Montants convenus",IF(OR(AND(G43="Oui",M43=""),AND(H43="Oui",N43=""),AND(I43="Oui",O43=""),AND(J43="Oui",P43=""),AND(K43="Oui",Q43=""),AND(L43="Oui",R43="")),"Saisissez les montants convenus pour que leur somme corresponde à la dépense.",IF(ABS(SUM($M43:$R43))&lt;0.005,"Saisissez les montants convenus pour que leur somme corresponde à la dépense.",IF(SUM($M43:$R43)&lt;$D43-0.005,"Montant restant à répartir : "&amp;ROUND($D43-SUM($M43:$R43),2)&amp;".",IF(SUM($M43:$R43)&gt;$D43+0.005,"Montant réparti en trop : "&amp;ROUND(SUM($M43:$R43)-$D43,2)&amp;".","Vérifié")))),"Saisissez les montants convenus pour que leur somme corresponde à la dépense."))))))</f>
      </c>
    </row>
    <row r="44">
      <c r="A44" s="83"/>
      <c r="B44" s="57"/>
      <c r="C44" s="57"/>
      <c r="D44" s="85"/>
      <c r="E44" s="57"/>
      <c r="F44" s="57"/>
      <c r="G44" s="57"/>
      <c r="H44" s="57"/>
      <c r="I44" s="57"/>
      <c r="J44" s="57"/>
      <c r="K44" s="57"/>
      <c r="L44" s="57"/>
      <c r="M44" s="85"/>
      <c r="N44" s="85"/>
      <c r="O44" s="85"/>
      <c r="P44" s="85"/>
      <c r="Q44" s="85"/>
      <c r="R44" s="85"/>
      <c r="S44" s="57"/>
      <c r="T44" s="87" t="str">
        <f>IF(COUNTIF($A44:$S44,"&lt;&gt;")=0,"",IF($F44="À parts égales entre participants",IF(G44&lt;&gt;"Oui",0,IF(COUNTIF($H44:$L44,"Oui")=0,$D44-0,ROUND($D44/COUNTIF($G44:$L44,"Oui"),2))),IF($F44="Montants convenus",IF(G44="Oui",M44,0),"")))</f>
      </c>
      <c r="U44" s="87" t="str">
        <f>IF(COUNTIF($A44:$S44,"&lt;&gt;")=0,"",IF($F44="À parts égales entre participants",IF(H44&lt;&gt;"Oui",0,IF(COUNTIF($I44:$L44,"Oui")=0,$D44-SUM($T44:T44),ROUND($D44/COUNTIF($G44:$L44,"Oui"),2))),IF($F44="Montants convenus",IF(H44="Oui",N44,0),"")))</f>
      </c>
      <c r="V44" s="87" t="str">
        <f>IF(COUNTIF($A44:$S44,"&lt;&gt;")=0,"",IF($F44="À parts égales entre participants",IF(I44&lt;&gt;"Oui",0,IF(COUNTIF($J44:$L44,"Oui")=0,$D44-SUM($T44:U44),ROUND($D44/COUNTIF($G44:$L44,"Oui"),2))),IF($F44="Montants convenus",IF(I44="Oui",O44,0),"")))</f>
      </c>
      <c r="W44" s="87" t="str">
        <f>IF(COUNTIF($A44:$S44,"&lt;&gt;")=0,"",IF($F44="À parts égales entre participants",IF(J44&lt;&gt;"Oui",0,IF(COUNTIF($K44:$L44,"Oui")=0,$D44-SUM($T44:V44),ROUND($D44/COUNTIF($G44:$L44,"Oui"),2))),IF($F44="Montants convenus",IF(J44="Oui",P44,0),"")))</f>
      </c>
      <c r="X44" s="87" t="str">
        <f>IF(COUNTIF($A44:$S44,"&lt;&gt;")=0,"",IF($F44="À parts égales entre participants",IF(K44&lt;&gt;"Oui",0,IF(COUNTIF($L44:$L44,"Oui")=0,$D44-SUM($T44:W44),ROUND($D44/COUNTIF($G44:$L44,"Oui"),2))),IF($F44="Montants convenus",IF(K44="Oui",Q44,0),"")))</f>
      </c>
      <c r="Y44" s="87" t="str">
        <f>IF(COUNTIF($A44:$S44,"&lt;&gt;")=0,"",IF($F44="À parts égales entre participants",IF(L44&lt;&gt;"Oui",0,IF(0=0,$D44-SUM($T44:X44),ROUND($D44/COUNTIF($G44:$L44,"Oui"),2))),IF($F44="Montants convenus",IF(L44="Oui",R44,0),"")))</f>
      </c>
      <c r="Z44" s="81" t="str">
        <f>IF(COUNTIF($A44:$S44,"&lt;&gt;")=0,"",IF(OR($D44="",$D44&lt;=0),"Saisissez un montant supérieur à zéro.",IF($E44="","Sélectionnez la personne qui a payé.",IF(COUNTIF($G44:$L44,"Oui")=0,"Sélectionnez au moins une personne participante.",IF($F44="À parts égales entre participants","Vérifié",IF($F44="Montants convenus",IF(OR(AND(G44="Oui",M44=""),AND(H44="Oui",N44=""),AND(I44="Oui",O44=""),AND(J44="Oui",P44=""),AND(K44="Oui",Q44=""),AND(L44="Oui",R44="")),"Saisissez les montants convenus pour que leur somme corresponde à la dépense.",IF(ABS(SUM($M44:$R44))&lt;0.005,"Saisissez les montants convenus pour que leur somme corresponde à la dépense.",IF(SUM($M44:$R44)&lt;$D44-0.005,"Montant restant à répartir : "&amp;ROUND($D44-SUM($M44:$R44),2)&amp;".",IF(SUM($M44:$R44)&gt;$D44+0.005,"Montant réparti en trop : "&amp;ROUND(SUM($M44:$R44)-$D44,2)&amp;".","Vérifié")))),"Saisissez les montants convenus pour que leur somme corresponde à la dépense."))))))</f>
      </c>
    </row>
    <row r="45">
      <c r="A45" s="83"/>
      <c r="B45" s="57"/>
      <c r="C45" s="57"/>
      <c r="D45" s="85"/>
      <c r="E45" s="57"/>
      <c r="F45" s="57"/>
      <c r="G45" s="57"/>
      <c r="H45" s="57"/>
      <c r="I45" s="57"/>
      <c r="J45" s="57"/>
      <c r="K45" s="57"/>
      <c r="L45" s="57"/>
      <c r="M45" s="85"/>
      <c r="N45" s="85"/>
      <c r="O45" s="85"/>
      <c r="P45" s="85"/>
      <c r="Q45" s="85"/>
      <c r="R45" s="85"/>
      <c r="S45" s="57"/>
      <c r="T45" s="87" t="str">
        <f>IF(COUNTIF($A45:$S45,"&lt;&gt;")=0,"",IF($F45="À parts égales entre participants",IF(G45&lt;&gt;"Oui",0,IF(COUNTIF($H45:$L45,"Oui")=0,$D45-0,ROUND($D45/COUNTIF($G45:$L45,"Oui"),2))),IF($F45="Montants convenus",IF(G45="Oui",M45,0),"")))</f>
      </c>
      <c r="U45" s="87" t="str">
        <f>IF(COUNTIF($A45:$S45,"&lt;&gt;")=0,"",IF($F45="À parts égales entre participants",IF(H45&lt;&gt;"Oui",0,IF(COUNTIF($I45:$L45,"Oui")=0,$D45-SUM($T45:T45),ROUND($D45/COUNTIF($G45:$L45,"Oui"),2))),IF($F45="Montants convenus",IF(H45="Oui",N45,0),"")))</f>
      </c>
      <c r="V45" s="87" t="str">
        <f>IF(COUNTIF($A45:$S45,"&lt;&gt;")=0,"",IF($F45="À parts égales entre participants",IF(I45&lt;&gt;"Oui",0,IF(COUNTIF($J45:$L45,"Oui")=0,$D45-SUM($T45:U45),ROUND($D45/COUNTIF($G45:$L45,"Oui"),2))),IF($F45="Montants convenus",IF(I45="Oui",O45,0),"")))</f>
      </c>
      <c r="W45" s="87" t="str">
        <f>IF(COUNTIF($A45:$S45,"&lt;&gt;")=0,"",IF($F45="À parts égales entre participants",IF(J45&lt;&gt;"Oui",0,IF(COUNTIF($K45:$L45,"Oui")=0,$D45-SUM($T45:V45),ROUND($D45/COUNTIF($G45:$L45,"Oui"),2))),IF($F45="Montants convenus",IF(J45="Oui",P45,0),"")))</f>
      </c>
      <c r="X45" s="87" t="str">
        <f>IF(COUNTIF($A45:$S45,"&lt;&gt;")=0,"",IF($F45="À parts égales entre participants",IF(K45&lt;&gt;"Oui",0,IF(COUNTIF($L45:$L45,"Oui")=0,$D45-SUM($T45:W45),ROUND($D45/COUNTIF($G45:$L45,"Oui"),2))),IF($F45="Montants convenus",IF(K45="Oui",Q45,0),"")))</f>
      </c>
      <c r="Y45" s="87" t="str">
        <f>IF(COUNTIF($A45:$S45,"&lt;&gt;")=0,"",IF($F45="À parts égales entre participants",IF(L45&lt;&gt;"Oui",0,IF(0=0,$D45-SUM($T45:X45),ROUND($D45/COUNTIF($G45:$L45,"Oui"),2))),IF($F45="Montants convenus",IF(L45="Oui",R45,0),"")))</f>
      </c>
      <c r="Z45" s="81" t="str">
        <f>IF(COUNTIF($A45:$S45,"&lt;&gt;")=0,"",IF(OR($D45="",$D45&lt;=0),"Saisissez un montant supérieur à zéro.",IF($E45="","Sélectionnez la personne qui a payé.",IF(COUNTIF($G45:$L45,"Oui")=0,"Sélectionnez au moins une personne participante.",IF($F45="À parts égales entre participants","Vérifié",IF($F45="Montants convenus",IF(OR(AND(G45="Oui",M45=""),AND(H45="Oui",N45=""),AND(I45="Oui",O45=""),AND(J45="Oui",P45=""),AND(K45="Oui",Q45=""),AND(L45="Oui",R45="")),"Saisissez les montants convenus pour que leur somme corresponde à la dépense.",IF(ABS(SUM($M45:$R45))&lt;0.005,"Saisissez les montants convenus pour que leur somme corresponde à la dépense.",IF(SUM($M45:$R45)&lt;$D45-0.005,"Montant restant à répartir : "&amp;ROUND($D45-SUM($M45:$R45),2)&amp;".",IF(SUM($M45:$R45)&gt;$D45+0.005,"Montant réparti en trop : "&amp;ROUND(SUM($M45:$R45)-$D45,2)&amp;".","Vérifié")))),"Saisissez les montants convenus pour que leur somme corresponde à la dépense."))))))</f>
      </c>
    </row>
    <row r="46">
      <c r="A46" s="83"/>
      <c r="B46" s="57"/>
      <c r="C46" s="57"/>
      <c r="D46" s="85"/>
      <c r="E46" s="57"/>
      <c r="F46" s="57"/>
      <c r="G46" s="57"/>
      <c r="H46" s="57"/>
      <c r="I46" s="57"/>
      <c r="J46" s="57"/>
      <c r="K46" s="57"/>
      <c r="L46" s="57"/>
      <c r="M46" s="85"/>
      <c r="N46" s="85"/>
      <c r="O46" s="85"/>
      <c r="P46" s="85"/>
      <c r="Q46" s="85"/>
      <c r="R46" s="85"/>
      <c r="S46" s="57"/>
      <c r="T46" s="87" t="str">
        <f>IF(COUNTIF($A46:$S46,"&lt;&gt;")=0,"",IF($F46="À parts égales entre participants",IF(G46&lt;&gt;"Oui",0,IF(COUNTIF($H46:$L46,"Oui")=0,$D46-0,ROUND($D46/COUNTIF($G46:$L46,"Oui"),2))),IF($F46="Montants convenus",IF(G46="Oui",M46,0),"")))</f>
      </c>
      <c r="U46" s="87" t="str">
        <f>IF(COUNTIF($A46:$S46,"&lt;&gt;")=0,"",IF($F46="À parts égales entre participants",IF(H46&lt;&gt;"Oui",0,IF(COUNTIF($I46:$L46,"Oui")=0,$D46-SUM($T46:T46),ROUND($D46/COUNTIF($G46:$L46,"Oui"),2))),IF($F46="Montants convenus",IF(H46="Oui",N46,0),"")))</f>
      </c>
      <c r="V46" s="87" t="str">
        <f>IF(COUNTIF($A46:$S46,"&lt;&gt;")=0,"",IF($F46="À parts égales entre participants",IF(I46&lt;&gt;"Oui",0,IF(COUNTIF($J46:$L46,"Oui")=0,$D46-SUM($T46:U46),ROUND($D46/COUNTIF($G46:$L46,"Oui"),2))),IF($F46="Montants convenus",IF(I46="Oui",O46,0),"")))</f>
      </c>
      <c r="W46" s="87" t="str">
        <f>IF(COUNTIF($A46:$S46,"&lt;&gt;")=0,"",IF($F46="À parts égales entre participants",IF(J46&lt;&gt;"Oui",0,IF(COUNTIF($K46:$L46,"Oui")=0,$D46-SUM($T46:V46),ROUND($D46/COUNTIF($G46:$L46,"Oui"),2))),IF($F46="Montants convenus",IF(J46="Oui",P46,0),"")))</f>
      </c>
      <c r="X46" s="87" t="str">
        <f>IF(COUNTIF($A46:$S46,"&lt;&gt;")=0,"",IF($F46="À parts égales entre participants",IF(K46&lt;&gt;"Oui",0,IF(COUNTIF($L46:$L46,"Oui")=0,$D46-SUM($T46:W46),ROUND($D46/COUNTIF($G46:$L46,"Oui"),2))),IF($F46="Montants convenus",IF(K46="Oui",Q46,0),"")))</f>
      </c>
      <c r="Y46" s="87" t="str">
        <f>IF(COUNTIF($A46:$S46,"&lt;&gt;")=0,"",IF($F46="À parts égales entre participants",IF(L46&lt;&gt;"Oui",0,IF(0=0,$D46-SUM($T46:X46),ROUND($D46/COUNTIF($G46:$L46,"Oui"),2))),IF($F46="Montants convenus",IF(L46="Oui",R46,0),"")))</f>
      </c>
      <c r="Z46" s="81" t="str">
        <f>IF(COUNTIF($A46:$S46,"&lt;&gt;")=0,"",IF(OR($D46="",$D46&lt;=0),"Saisissez un montant supérieur à zéro.",IF($E46="","Sélectionnez la personne qui a payé.",IF(COUNTIF($G46:$L46,"Oui")=0,"Sélectionnez au moins une personne participante.",IF($F46="À parts égales entre participants","Vérifié",IF($F46="Montants convenus",IF(OR(AND(G46="Oui",M46=""),AND(H46="Oui",N46=""),AND(I46="Oui",O46=""),AND(J46="Oui",P46=""),AND(K46="Oui",Q46=""),AND(L46="Oui",R46="")),"Saisissez les montants convenus pour que leur somme corresponde à la dépense.",IF(ABS(SUM($M46:$R46))&lt;0.005,"Saisissez les montants convenus pour que leur somme corresponde à la dépense.",IF(SUM($M46:$R46)&lt;$D46-0.005,"Montant restant à répartir : "&amp;ROUND($D46-SUM($M46:$R46),2)&amp;".",IF(SUM($M46:$R46)&gt;$D46+0.005,"Montant réparti en trop : "&amp;ROUND(SUM($M46:$R46)-$D46,2)&amp;".","Vérifié")))),"Saisissez les montants convenus pour que leur somme corresponde à la dépense."))))))</f>
      </c>
    </row>
    <row r="47">
      <c r="A47" s="83"/>
      <c r="B47" s="57"/>
      <c r="C47" s="57"/>
      <c r="D47" s="85"/>
      <c r="E47" s="57"/>
      <c r="F47" s="57"/>
      <c r="G47" s="57"/>
      <c r="H47" s="57"/>
      <c r="I47" s="57"/>
      <c r="J47" s="57"/>
      <c r="K47" s="57"/>
      <c r="L47" s="57"/>
      <c r="M47" s="85"/>
      <c r="N47" s="85"/>
      <c r="O47" s="85"/>
      <c r="P47" s="85"/>
      <c r="Q47" s="85"/>
      <c r="R47" s="85"/>
      <c r="S47" s="57"/>
      <c r="T47" s="87" t="str">
        <f>IF(COUNTIF($A47:$S47,"&lt;&gt;")=0,"",IF($F47="À parts égales entre participants",IF(G47&lt;&gt;"Oui",0,IF(COUNTIF($H47:$L47,"Oui")=0,$D47-0,ROUND($D47/COUNTIF($G47:$L47,"Oui"),2))),IF($F47="Montants convenus",IF(G47="Oui",M47,0),"")))</f>
      </c>
      <c r="U47" s="87" t="str">
        <f>IF(COUNTIF($A47:$S47,"&lt;&gt;")=0,"",IF($F47="À parts égales entre participants",IF(H47&lt;&gt;"Oui",0,IF(COUNTIF($I47:$L47,"Oui")=0,$D47-SUM($T47:T47),ROUND($D47/COUNTIF($G47:$L47,"Oui"),2))),IF($F47="Montants convenus",IF(H47="Oui",N47,0),"")))</f>
      </c>
      <c r="V47" s="87" t="str">
        <f>IF(COUNTIF($A47:$S47,"&lt;&gt;")=0,"",IF($F47="À parts égales entre participants",IF(I47&lt;&gt;"Oui",0,IF(COUNTIF($J47:$L47,"Oui")=0,$D47-SUM($T47:U47),ROUND($D47/COUNTIF($G47:$L47,"Oui"),2))),IF($F47="Montants convenus",IF(I47="Oui",O47,0),"")))</f>
      </c>
      <c r="W47" s="87" t="str">
        <f>IF(COUNTIF($A47:$S47,"&lt;&gt;")=0,"",IF($F47="À parts égales entre participants",IF(J47&lt;&gt;"Oui",0,IF(COUNTIF($K47:$L47,"Oui")=0,$D47-SUM($T47:V47),ROUND($D47/COUNTIF($G47:$L47,"Oui"),2))),IF($F47="Montants convenus",IF(J47="Oui",P47,0),"")))</f>
      </c>
      <c r="X47" s="87" t="str">
        <f>IF(COUNTIF($A47:$S47,"&lt;&gt;")=0,"",IF($F47="À parts égales entre participants",IF(K47&lt;&gt;"Oui",0,IF(COUNTIF($L47:$L47,"Oui")=0,$D47-SUM($T47:W47),ROUND($D47/COUNTIF($G47:$L47,"Oui"),2))),IF($F47="Montants convenus",IF(K47="Oui",Q47,0),"")))</f>
      </c>
      <c r="Y47" s="87" t="str">
        <f>IF(COUNTIF($A47:$S47,"&lt;&gt;")=0,"",IF($F47="À parts égales entre participants",IF(L47&lt;&gt;"Oui",0,IF(0=0,$D47-SUM($T47:X47),ROUND($D47/COUNTIF($G47:$L47,"Oui"),2))),IF($F47="Montants convenus",IF(L47="Oui",R47,0),"")))</f>
      </c>
      <c r="Z47" s="81" t="str">
        <f>IF(COUNTIF($A47:$S47,"&lt;&gt;")=0,"",IF(OR($D47="",$D47&lt;=0),"Saisissez un montant supérieur à zéro.",IF($E47="","Sélectionnez la personne qui a payé.",IF(COUNTIF($G47:$L47,"Oui")=0,"Sélectionnez au moins une personne participante.",IF($F47="À parts égales entre participants","Vérifié",IF($F47="Montants convenus",IF(OR(AND(G47="Oui",M47=""),AND(H47="Oui",N47=""),AND(I47="Oui",O47=""),AND(J47="Oui",P47=""),AND(K47="Oui",Q47=""),AND(L47="Oui",R47="")),"Saisissez les montants convenus pour que leur somme corresponde à la dépense.",IF(ABS(SUM($M47:$R47))&lt;0.005,"Saisissez les montants convenus pour que leur somme corresponde à la dépense.",IF(SUM($M47:$R47)&lt;$D47-0.005,"Montant restant à répartir : "&amp;ROUND($D47-SUM($M47:$R47),2)&amp;".",IF(SUM($M47:$R47)&gt;$D47+0.005,"Montant réparti en trop : "&amp;ROUND(SUM($M47:$R47)-$D47,2)&amp;".","Vérifié")))),"Saisissez les montants convenus pour que leur somme corresponde à la dépense."))))))</f>
      </c>
    </row>
    <row r="48">
      <c r="A48" s="83"/>
      <c r="B48" s="57"/>
      <c r="C48" s="57"/>
      <c r="D48" s="85"/>
      <c r="E48" s="57"/>
      <c r="F48" s="57"/>
      <c r="G48" s="57"/>
      <c r="H48" s="57"/>
      <c r="I48" s="57"/>
      <c r="J48" s="57"/>
      <c r="K48" s="57"/>
      <c r="L48" s="57"/>
      <c r="M48" s="85"/>
      <c r="N48" s="85"/>
      <c r="O48" s="85"/>
      <c r="P48" s="85"/>
      <c r="Q48" s="85"/>
      <c r="R48" s="85"/>
      <c r="S48" s="57"/>
      <c r="T48" s="87" t="str">
        <f>IF(COUNTIF($A48:$S48,"&lt;&gt;")=0,"",IF($F48="À parts égales entre participants",IF(G48&lt;&gt;"Oui",0,IF(COUNTIF($H48:$L48,"Oui")=0,$D48-0,ROUND($D48/COUNTIF($G48:$L48,"Oui"),2))),IF($F48="Montants convenus",IF(G48="Oui",M48,0),"")))</f>
      </c>
      <c r="U48" s="87" t="str">
        <f>IF(COUNTIF($A48:$S48,"&lt;&gt;")=0,"",IF($F48="À parts égales entre participants",IF(H48&lt;&gt;"Oui",0,IF(COUNTIF($I48:$L48,"Oui")=0,$D48-SUM($T48:T48),ROUND($D48/COUNTIF($G48:$L48,"Oui"),2))),IF($F48="Montants convenus",IF(H48="Oui",N48,0),"")))</f>
      </c>
      <c r="V48" s="87" t="str">
        <f>IF(COUNTIF($A48:$S48,"&lt;&gt;")=0,"",IF($F48="À parts égales entre participants",IF(I48&lt;&gt;"Oui",0,IF(COUNTIF($J48:$L48,"Oui")=0,$D48-SUM($T48:U48),ROUND($D48/COUNTIF($G48:$L48,"Oui"),2))),IF($F48="Montants convenus",IF(I48="Oui",O48,0),"")))</f>
      </c>
      <c r="W48" s="87" t="str">
        <f>IF(COUNTIF($A48:$S48,"&lt;&gt;")=0,"",IF($F48="À parts égales entre participants",IF(J48&lt;&gt;"Oui",0,IF(COUNTIF($K48:$L48,"Oui")=0,$D48-SUM($T48:V48),ROUND($D48/COUNTIF($G48:$L48,"Oui"),2))),IF($F48="Montants convenus",IF(J48="Oui",P48,0),"")))</f>
      </c>
      <c r="X48" s="87" t="str">
        <f>IF(COUNTIF($A48:$S48,"&lt;&gt;")=0,"",IF($F48="À parts égales entre participants",IF(K48&lt;&gt;"Oui",0,IF(COUNTIF($L48:$L48,"Oui")=0,$D48-SUM($T48:W48),ROUND($D48/COUNTIF($G48:$L48,"Oui"),2))),IF($F48="Montants convenus",IF(K48="Oui",Q48,0),"")))</f>
      </c>
      <c r="Y48" s="87" t="str">
        <f>IF(COUNTIF($A48:$S48,"&lt;&gt;")=0,"",IF($F48="À parts égales entre participants",IF(L48&lt;&gt;"Oui",0,IF(0=0,$D48-SUM($T48:X48),ROUND($D48/COUNTIF($G48:$L48,"Oui"),2))),IF($F48="Montants convenus",IF(L48="Oui",R48,0),"")))</f>
      </c>
      <c r="Z48" s="81" t="str">
        <f>IF(COUNTIF($A48:$S48,"&lt;&gt;")=0,"",IF(OR($D48="",$D48&lt;=0),"Saisissez un montant supérieur à zéro.",IF($E48="","Sélectionnez la personne qui a payé.",IF(COUNTIF($G48:$L48,"Oui")=0,"Sélectionnez au moins une personne participante.",IF($F48="À parts égales entre participants","Vérifié",IF($F48="Montants convenus",IF(OR(AND(G48="Oui",M48=""),AND(H48="Oui",N48=""),AND(I48="Oui",O48=""),AND(J48="Oui",P48=""),AND(K48="Oui",Q48=""),AND(L48="Oui",R48="")),"Saisissez les montants convenus pour que leur somme corresponde à la dépense.",IF(ABS(SUM($M48:$R48))&lt;0.005,"Saisissez les montants convenus pour que leur somme corresponde à la dépense.",IF(SUM($M48:$R48)&lt;$D48-0.005,"Montant restant à répartir : "&amp;ROUND($D48-SUM($M48:$R48),2)&amp;".",IF(SUM($M48:$R48)&gt;$D48+0.005,"Montant réparti en trop : "&amp;ROUND(SUM($M48:$R48)-$D48,2)&amp;".","Vérifié")))),"Saisissez les montants convenus pour que leur somme corresponde à la dépense."))))))</f>
      </c>
    </row>
    <row r="49">
      <c r="A49" s="83"/>
      <c r="B49" s="57"/>
      <c r="C49" s="57"/>
      <c r="D49" s="85"/>
      <c r="E49" s="57"/>
      <c r="F49" s="57"/>
      <c r="G49" s="57"/>
      <c r="H49" s="57"/>
      <c r="I49" s="57"/>
      <c r="J49" s="57"/>
      <c r="K49" s="57"/>
      <c r="L49" s="57"/>
      <c r="M49" s="85"/>
      <c r="N49" s="85"/>
      <c r="O49" s="85"/>
      <c r="P49" s="85"/>
      <c r="Q49" s="85"/>
      <c r="R49" s="85"/>
      <c r="S49" s="57"/>
      <c r="T49" s="87" t="str">
        <f>IF(COUNTIF($A49:$S49,"&lt;&gt;")=0,"",IF($F49="À parts égales entre participants",IF(G49&lt;&gt;"Oui",0,IF(COUNTIF($H49:$L49,"Oui")=0,$D49-0,ROUND($D49/COUNTIF($G49:$L49,"Oui"),2))),IF($F49="Montants convenus",IF(G49="Oui",M49,0),"")))</f>
      </c>
      <c r="U49" s="87" t="str">
        <f>IF(COUNTIF($A49:$S49,"&lt;&gt;")=0,"",IF($F49="À parts égales entre participants",IF(H49&lt;&gt;"Oui",0,IF(COUNTIF($I49:$L49,"Oui")=0,$D49-SUM($T49:T49),ROUND($D49/COUNTIF($G49:$L49,"Oui"),2))),IF($F49="Montants convenus",IF(H49="Oui",N49,0),"")))</f>
      </c>
      <c r="V49" s="87" t="str">
        <f>IF(COUNTIF($A49:$S49,"&lt;&gt;")=0,"",IF($F49="À parts égales entre participants",IF(I49&lt;&gt;"Oui",0,IF(COUNTIF($J49:$L49,"Oui")=0,$D49-SUM($T49:U49),ROUND($D49/COUNTIF($G49:$L49,"Oui"),2))),IF($F49="Montants convenus",IF(I49="Oui",O49,0),"")))</f>
      </c>
      <c r="W49" s="87" t="str">
        <f>IF(COUNTIF($A49:$S49,"&lt;&gt;")=0,"",IF($F49="À parts égales entre participants",IF(J49&lt;&gt;"Oui",0,IF(COUNTIF($K49:$L49,"Oui")=0,$D49-SUM($T49:V49),ROUND($D49/COUNTIF($G49:$L49,"Oui"),2))),IF($F49="Montants convenus",IF(J49="Oui",P49,0),"")))</f>
      </c>
      <c r="X49" s="87" t="str">
        <f>IF(COUNTIF($A49:$S49,"&lt;&gt;")=0,"",IF($F49="À parts égales entre participants",IF(K49&lt;&gt;"Oui",0,IF(COUNTIF($L49:$L49,"Oui")=0,$D49-SUM($T49:W49),ROUND($D49/COUNTIF($G49:$L49,"Oui"),2))),IF($F49="Montants convenus",IF(K49="Oui",Q49,0),"")))</f>
      </c>
      <c r="Y49" s="87" t="str">
        <f>IF(COUNTIF($A49:$S49,"&lt;&gt;")=0,"",IF($F49="À parts égales entre participants",IF(L49&lt;&gt;"Oui",0,IF(0=0,$D49-SUM($T49:X49),ROUND($D49/COUNTIF($G49:$L49,"Oui"),2))),IF($F49="Montants convenus",IF(L49="Oui",R49,0),"")))</f>
      </c>
      <c r="Z49" s="81" t="str">
        <f>IF(COUNTIF($A49:$S49,"&lt;&gt;")=0,"",IF(OR($D49="",$D49&lt;=0),"Saisissez un montant supérieur à zéro.",IF($E49="","Sélectionnez la personne qui a payé.",IF(COUNTIF($G49:$L49,"Oui")=0,"Sélectionnez au moins une personne participante.",IF($F49="À parts égales entre participants","Vérifié",IF($F49="Montants convenus",IF(OR(AND(G49="Oui",M49=""),AND(H49="Oui",N49=""),AND(I49="Oui",O49=""),AND(J49="Oui",P49=""),AND(K49="Oui",Q49=""),AND(L49="Oui",R49="")),"Saisissez les montants convenus pour que leur somme corresponde à la dépense.",IF(ABS(SUM($M49:$R49))&lt;0.005,"Saisissez les montants convenus pour que leur somme corresponde à la dépense.",IF(SUM($M49:$R49)&lt;$D49-0.005,"Montant restant à répartir : "&amp;ROUND($D49-SUM($M49:$R49),2)&amp;".",IF(SUM($M49:$R49)&gt;$D49+0.005,"Montant réparti en trop : "&amp;ROUND(SUM($M49:$R49)-$D49,2)&amp;".","Vérifié")))),"Saisissez les montants convenus pour que leur somme corresponde à la dépense."))))))</f>
      </c>
    </row>
    <row r="50">
      <c r="A50" s="83"/>
      <c r="B50" s="57"/>
      <c r="C50" s="57"/>
      <c r="D50" s="85"/>
      <c r="E50" s="57"/>
      <c r="F50" s="57"/>
      <c r="G50" s="57"/>
      <c r="H50" s="57"/>
      <c r="I50" s="57"/>
      <c r="J50" s="57"/>
      <c r="K50" s="57"/>
      <c r="L50" s="57"/>
      <c r="M50" s="85"/>
      <c r="N50" s="85"/>
      <c r="O50" s="85"/>
      <c r="P50" s="85"/>
      <c r="Q50" s="85"/>
      <c r="R50" s="85"/>
      <c r="S50" s="57"/>
      <c r="T50" s="87" t="str">
        <f>IF(COUNTIF($A50:$S50,"&lt;&gt;")=0,"",IF($F50="À parts égales entre participants",IF(G50&lt;&gt;"Oui",0,IF(COUNTIF($H50:$L50,"Oui")=0,$D50-0,ROUND($D50/COUNTIF($G50:$L50,"Oui"),2))),IF($F50="Montants convenus",IF(G50="Oui",M50,0),"")))</f>
      </c>
      <c r="U50" s="87" t="str">
        <f>IF(COUNTIF($A50:$S50,"&lt;&gt;")=0,"",IF($F50="À parts égales entre participants",IF(H50&lt;&gt;"Oui",0,IF(COUNTIF($I50:$L50,"Oui")=0,$D50-SUM($T50:T50),ROUND($D50/COUNTIF($G50:$L50,"Oui"),2))),IF($F50="Montants convenus",IF(H50="Oui",N50,0),"")))</f>
      </c>
      <c r="V50" s="87" t="str">
        <f>IF(COUNTIF($A50:$S50,"&lt;&gt;")=0,"",IF($F50="À parts égales entre participants",IF(I50&lt;&gt;"Oui",0,IF(COUNTIF($J50:$L50,"Oui")=0,$D50-SUM($T50:U50),ROUND($D50/COUNTIF($G50:$L50,"Oui"),2))),IF($F50="Montants convenus",IF(I50="Oui",O50,0),"")))</f>
      </c>
      <c r="W50" s="87" t="str">
        <f>IF(COUNTIF($A50:$S50,"&lt;&gt;")=0,"",IF($F50="À parts égales entre participants",IF(J50&lt;&gt;"Oui",0,IF(COUNTIF($K50:$L50,"Oui")=0,$D50-SUM($T50:V50),ROUND($D50/COUNTIF($G50:$L50,"Oui"),2))),IF($F50="Montants convenus",IF(J50="Oui",P50,0),"")))</f>
      </c>
      <c r="X50" s="87" t="str">
        <f>IF(COUNTIF($A50:$S50,"&lt;&gt;")=0,"",IF($F50="À parts égales entre participants",IF(K50&lt;&gt;"Oui",0,IF(COUNTIF($L50:$L50,"Oui")=0,$D50-SUM($T50:W50),ROUND($D50/COUNTIF($G50:$L50,"Oui"),2))),IF($F50="Montants convenus",IF(K50="Oui",Q50,0),"")))</f>
      </c>
      <c r="Y50" s="87" t="str">
        <f>IF(COUNTIF($A50:$S50,"&lt;&gt;")=0,"",IF($F50="À parts égales entre participants",IF(L50&lt;&gt;"Oui",0,IF(0=0,$D50-SUM($T50:X50),ROUND($D50/COUNTIF($G50:$L50,"Oui"),2))),IF($F50="Montants convenus",IF(L50="Oui",R50,0),"")))</f>
      </c>
      <c r="Z50" s="81" t="str">
        <f>IF(COUNTIF($A50:$S50,"&lt;&gt;")=0,"",IF(OR($D50="",$D50&lt;=0),"Saisissez un montant supérieur à zéro.",IF($E50="","Sélectionnez la personne qui a payé.",IF(COUNTIF($G50:$L50,"Oui")=0,"Sélectionnez au moins une personne participante.",IF($F50="À parts égales entre participants","Vérifié",IF($F50="Montants convenus",IF(OR(AND(G50="Oui",M50=""),AND(H50="Oui",N50=""),AND(I50="Oui",O50=""),AND(J50="Oui",P50=""),AND(K50="Oui",Q50=""),AND(L50="Oui",R50="")),"Saisissez les montants convenus pour que leur somme corresponde à la dépense.",IF(ABS(SUM($M50:$R50))&lt;0.005,"Saisissez les montants convenus pour que leur somme corresponde à la dépense.",IF(SUM($M50:$R50)&lt;$D50-0.005,"Montant restant à répartir : "&amp;ROUND($D50-SUM($M50:$R50),2)&amp;".",IF(SUM($M50:$R50)&gt;$D50+0.005,"Montant réparti en trop : "&amp;ROUND(SUM($M50:$R50)-$D50,2)&amp;".","Vérifié")))),"Saisissez les montants convenus pour que leur somme corresponde à la dépense."))))))</f>
      </c>
    </row>
    <row r="51">
      <c r="A51" s="83"/>
      <c r="B51" s="57"/>
      <c r="C51" s="57"/>
      <c r="D51" s="85"/>
      <c r="E51" s="57"/>
      <c r="F51" s="57"/>
      <c r="G51" s="57"/>
      <c r="H51" s="57"/>
      <c r="I51" s="57"/>
      <c r="J51" s="57"/>
      <c r="K51" s="57"/>
      <c r="L51" s="57"/>
      <c r="M51" s="85"/>
      <c r="N51" s="85"/>
      <c r="O51" s="85"/>
      <c r="P51" s="85"/>
      <c r="Q51" s="85"/>
      <c r="R51" s="85"/>
      <c r="S51" s="57"/>
      <c r="T51" s="87" t="str">
        <f>IF(COUNTIF($A51:$S51,"&lt;&gt;")=0,"",IF($F51="À parts égales entre participants",IF(G51&lt;&gt;"Oui",0,IF(COUNTIF($H51:$L51,"Oui")=0,$D51-0,ROUND($D51/COUNTIF($G51:$L51,"Oui"),2))),IF($F51="Montants convenus",IF(G51="Oui",M51,0),"")))</f>
      </c>
      <c r="U51" s="87" t="str">
        <f>IF(COUNTIF($A51:$S51,"&lt;&gt;")=0,"",IF($F51="À parts égales entre participants",IF(H51&lt;&gt;"Oui",0,IF(COUNTIF($I51:$L51,"Oui")=0,$D51-SUM($T51:T51),ROUND($D51/COUNTIF($G51:$L51,"Oui"),2))),IF($F51="Montants convenus",IF(H51="Oui",N51,0),"")))</f>
      </c>
      <c r="V51" s="87" t="str">
        <f>IF(COUNTIF($A51:$S51,"&lt;&gt;")=0,"",IF($F51="À parts égales entre participants",IF(I51&lt;&gt;"Oui",0,IF(COUNTIF($J51:$L51,"Oui")=0,$D51-SUM($T51:U51),ROUND($D51/COUNTIF($G51:$L51,"Oui"),2))),IF($F51="Montants convenus",IF(I51="Oui",O51,0),"")))</f>
      </c>
      <c r="W51" s="87" t="str">
        <f>IF(COUNTIF($A51:$S51,"&lt;&gt;")=0,"",IF($F51="À parts égales entre participants",IF(J51&lt;&gt;"Oui",0,IF(COUNTIF($K51:$L51,"Oui")=0,$D51-SUM($T51:V51),ROUND($D51/COUNTIF($G51:$L51,"Oui"),2))),IF($F51="Montants convenus",IF(J51="Oui",P51,0),"")))</f>
      </c>
      <c r="X51" s="87" t="str">
        <f>IF(COUNTIF($A51:$S51,"&lt;&gt;")=0,"",IF($F51="À parts égales entre participants",IF(K51&lt;&gt;"Oui",0,IF(COUNTIF($L51:$L51,"Oui")=0,$D51-SUM($T51:W51),ROUND($D51/COUNTIF($G51:$L51,"Oui"),2))),IF($F51="Montants convenus",IF(K51="Oui",Q51,0),"")))</f>
      </c>
      <c r="Y51" s="87" t="str">
        <f>IF(COUNTIF($A51:$S51,"&lt;&gt;")=0,"",IF($F51="À parts égales entre participants",IF(L51&lt;&gt;"Oui",0,IF(0=0,$D51-SUM($T51:X51),ROUND($D51/COUNTIF($G51:$L51,"Oui"),2))),IF($F51="Montants convenus",IF(L51="Oui",R51,0),"")))</f>
      </c>
      <c r="Z51" s="81" t="str">
        <f>IF(COUNTIF($A51:$S51,"&lt;&gt;")=0,"",IF(OR($D51="",$D51&lt;=0),"Saisissez un montant supérieur à zéro.",IF($E51="","Sélectionnez la personne qui a payé.",IF(COUNTIF($G51:$L51,"Oui")=0,"Sélectionnez au moins une personne participante.",IF($F51="À parts égales entre participants","Vérifié",IF($F51="Montants convenus",IF(OR(AND(G51="Oui",M51=""),AND(H51="Oui",N51=""),AND(I51="Oui",O51=""),AND(J51="Oui",P51=""),AND(K51="Oui",Q51=""),AND(L51="Oui",R51="")),"Saisissez les montants convenus pour que leur somme corresponde à la dépense.",IF(ABS(SUM($M51:$R51))&lt;0.005,"Saisissez les montants convenus pour que leur somme corresponde à la dépense.",IF(SUM($M51:$R51)&lt;$D51-0.005,"Montant restant à répartir : "&amp;ROUND($D51-SUM($M51:$R51),2)&amp;".",IF(SUM($M51:$R51)&gt;$D51+0.005,"Montant réparti en trop : "&amp;ROUND(SUM($M51:$R51)-$D51,2)&amp;".","Vérifié")))),"Saisissez les montants convenus pour que leur somme corresponde à la dépense."))))))</f>
      </c>
    </row>
    <row r="52">
      <c r="A52" s="83"/>
      <c r="B52" s="57"/>
      <c r="C52" s="57"/>
      <c r="D52" s="85"/>
      <c r="E52" s="57"/>
      <c r="F52" s="57"/>
      <c r="G52" s="57"/>
      <c r="H52" s="57"/>
      <c r="I52" s="57"/>
      <c r="J52" s="57"/>
      <c r="K52" s="57"/>
      <c r="L52" s="57"/>
      <c r="M52" s="85"/>
      <c r="N52" s="85"/>
      <c r="O52" s="85"/>
      <c r="P52" s="85"/>
      <c r="Q52" s="85"/>
      <c r="R52" s="85"/>
      <c r="S52" s="57"/>
      <c r="T52" s="87" t="str">
        <f>IF(COUNTIF($A52:$S52,"&lt;&gt;")=0,"",IF($F52="À parts égales entre participants",IF(G52&lt;&gt;"Oui",0,IF(COUNTIF($H52:$L52,"Oui")=0,$D52-0,ROUND($D52/COUNTIF($G52:$L52,"Oui"),2))),IF($F52="Montants convenus",IF(G52="Oui",M52,0),"")))</f>
      </c>
      <c r="U52" s="87" t="str">
        <f>IF(COUNTIF($A52:$S52,"&lt;&gt;")=0,"",IF($F52="À parts égales entre participants",IF(H52&lt;&gt;"Oui",0,IF(COUNTIF($I52:$L52,"Oui")=0,$D52-SUM($T52:T52),ROUND($D52/COUNTIF($G52:$L52,"Oui"),2))),IF($F52="Montants convenus",IF(H52="Oui",N52,0),"")))</f>
      </c>
      <c r="V52" s="87" t="str">
        <f>IF(COUNTIF($A52:$S52,"&lt;&gt;")=0,"",IF($F52="À parts égales entre participants",IF(I52&lt;&gt;"Oui",0,IF(COUNTIF($J52:$L52,"Oui")=0,$D52-SUM($T52:U52),ROUND($D52/COUNTIF($G52:$L52,"Oui"),2))),IF($F52="Montants convenus",IF(I52="Oui",O52,0),"")))</f>
      </c>
      <c r="W52" s="87" t="str">
        <f>IF(COUNTIF($A52:$S52,"&lt;&gt;")=0,"",IF($F52="À parts égales entre participants",IF(J52&lt;&gt;"Oui",0,IF(COUNTIF($K52:$L52,"Oui")=0,$D52-SUM($T52:V52),ROUND($D52/COUNTIF($G52:$L52,"Oui"),2))),IF($F52="Montants convenus",IF(J52="Oui",P52,0),"")))</f>
      </c>
      <c r="X52" s="87" t="str">
        <f>IF(COUNTIF($A52:$S52,"&lt;&gt;")=0,"",IF($F52="À parts égales entre participants",IF(K52&lt;&gt;"Oui",0,IF(COUNTIF($L52:$L52,"Oui")=0,$D52-SUM($T52:W52),ROUND($D52/COUNTIF($G52:$L52,"Oui"),2))),IF($F52="Montants convenus",IF(K52="Oui",Q52,0),"")))</f>
      </c>
      <c r="Y52" s="87" t="str">
        <f>IF(COUNTIF($A52:$S52,"&lt;&gt;")=0,"",IF($F52="À parts égales entre participants",IF(L52&lt;&gt;"Oui",0,IF(0=0,$D52-SUM($T52:X52),ROUND($D52/COUNTIF($G52:$L52,"Oui"),2))),IF($F52="Montants convenus",IF(L52="Oui",R52,0),"")))</f>
      </c>
      <c r="Z52" s="81" t="str">
        <f>IF(COUNTIF($A52:$S52,"&lt;&gt;")=0,"",IF(OR($D52="",$D52&lt;=0),"Saisissez un montant supérieur à zéro.",IF($E52="","Sélectionnez la personne qui a payé.",IF(COUNTIF($G52:$L52,"Oui")=0,"Sélectionnez au moins une personne participante.",IF($F52="À parts égales entre participants","Vérifié",IF($F52="Montants convenus",IF(OR(AND(G52="Oui",M52=""),AND(H52="Oui",N52=""),AND(I52="Oui",O52=""),AND(J52="Oui",P52=""),AND(K52="Oui",Q52=""),AND(L52="Oui",R52="")),"Saisissez les montants convenus pour que leur somme corresponde à la dépense.",IF(ABS(SUM($M52:$R52))&lt;0.005,"Saisissez les montants convenus pour que leur somme corresponde à la dépense.",IF(SUM($M52:$R52)&lt;$D52-0.005,"Montant restant à répartir : "&amp;ROUND($D52-SUM($M52:$R52),2)&amp;".",IF(SUM($M52:$R52)&gt;$D52+0.005,"Montant réparti en trop : "&amp;ROUND(SUM($M52:$R52)-$D52,2)&amp;".","Vérifié")))),"Saisissez les montants convenus pour que leur somme corresponde à la dépense."))))))</f>
      </c>
    </row>
    <row r="53">
      <c r="A53" s="83"/>
      <c r="B53" s="57"/>
      <c r="C53" s="57"/>
      <c r="D53" s="85"/>
      <c r="E53" s="57"/>
      <c r="F53" s="57"/>
      <c r="G53" s="57"/>
      <c r="H53" s="57"/>
      <c r="I53" s="57"/>
      <c r="J53" s="57"/>
      <c r="K53" s="57"/>
      <c r="L53" s="57"/>
      <c r="M53" s="85"/>
      <c r="N53" s="85"/>
      <c r="O53" s="85"/>
      <c r="P53" s="85"/>
      <c r="Q53" s="85"/>
      <c r="R53" s="85"/>
      <c r="S53" s="57"/>
      <c r="T53" s="87" t="str">
        <f>IF(COUNTIF($A53:$S53,"&lt;&gt;")=0,"",IF($F53="À parts égales entre participants",IF(G53&lt;&gt;"Oui",0,IF(COUNTIF($H53:$L53,"Oui")=0,$D53-0,ROUND($D53/COUNTIF($G53:$L53,"Oui"),2))),IF($F53="Montants convenus",IF(G53="Oui",M53,0),"")))</f>
      </c>
      <c r="U53" s="87" t="str">
        <f>IF(COUNTIF($A53:$S53,"&lt;&gt;")=0,"",IF($F53="À parts égales entre participants",IF(H53&lt;&gt;"Oui",0,IF(COUNTIF($I53:$L53,"Oui")=0,$D53-SUM($T53:T53),ROUND($D53/COUNTIF($G53:$L53,"Oui"),2))),IF($F53="Montants convenus",IF(H53="Oui",N53,0),"")))</f>
      </c>
      <c r="V53" s="87" t="str">
        <f>IF(COUNTIF($A53:$S53,"&lt;&gt;")=0,"",IF($F53="À parts égales entre participants",IF(I53&lt;&gt;"Oui",0,IF(COUNTIF($J53:$L53,"Oui")=0,$D53-SUM($T53:U53),ROUND($D53/COUNTIF($G53:$L53,"Oui"),2))),IF($F53="Montants convenus",IF(I53="Oui",O53,0),"")))</f>
      </c>
      <c r="W53" s="87" t="str">
        <f>IF(COUNTIF($A53:$S53,"&lt;&gt;")=0,"",IF($F53="À parts égales entre participants",IF(J53&lt;&gt;"Oui",0,IF(COUNTIF($K53:$L53,"Oui")=0,$D53-SUM($T53:V53),ROUND($D53/COUNTIF($G53:$L53,"Oui"),2))),IF($F53="Montants convenus",IF(J53="Oui",P53,0),"")))</f>
      </c>
      <c r="X53" s="87" t="str">
        <f>IF(COUNTIF($A53:$S53,"&lt;&gt;")=0,"",IF($F53="À parts égales entre participants",IF(K53&lt;&gt;"Oui",0,IF(COUNTIF($L53:$L53,"Oui")=0,$D53-SUM($T53:W53),ROUND($D53/COUNTIF($G53:$L53,"Oui"),2))),IF($F53="Montants convenus",IF(K53="Oui",Q53,0),"")))</f>
      </c>
      <c r="Y53" s="87" t="str">
        <f>IF(COUNTIF($A53:$S53,"&lt;&gt;")=0,"",IF($F53="À parts égales entre participants",IF(L53&lt;&gt;"Oui",0,IF(0=0,$D53-SUM($T53:X53),ROUND($D53/COUNTIF($G53:$L53,"Oui"),2))),IF($F53="Montants convenus",IF(L53="Oui",R53,0),"")))</f>
      </c>
      <c r="Z53" s="81" t="str">
        <f>IF(COUNTIF($A53:$S53,"&lt;&gt;")=0,"",IF(OR($D53="",$D53&lt;=0),"Saisissez un montant supérieur à zéro.",IF($E53="","Sélectionnez la personne qui a payé.",IF(COUNTIF($G53:$L53,"Oui")=0,"Sélectionnez au moins une personne participante.",IF($F53="À parts égales entre participants","Vérifié",IF($F53="Montants convenus",IF(OR(AND(G53="Oui",M53=""),AND(H53="Oui",N53=""),AND(I53="Oui",O53=""),AND(J53="Oui",P53=""),AND(K53="Oui",Q53=""),AND(L53="Oui",R53="")),"Saisissez les montants convenus pour que leur somme corresponde à la dépense.",IF(ABS(SUM($M53:$R53))&lt;0.005,"Saisissez les montants convenus pour que leur somme corresponde à la dépense.",IF(SUM($M53:$R53)&lt;$D53-0.005,"Montant restant à répartir : "&amp;ROUND($D53-SUM($M53:$R53),2)&amp;".",IF(SUM($M53:$R53)&gt;$D53+0.005,"Montant réparti en trop : "&amp;ROUND(SUM($M53:$R53)-$D53,2)&amp;".","Vérifié")))),"Saisissez les montants convenus pour que leur somme corresponde à la dépense."))))))</f>
      </c>
    </row>
    <row r="54">
      <c r="A54" s="83"/>
      <c r="B54" s="57"/>
      <c r="C54" s="57"/>
      <c r="D54" s="85"/>
      <c r="E54" s="57"/>
      <c r="F54" s="57"/>
      <c r="G54" s="57"/>
      <c r="H54" s="57"/>
      <c r="I54" s="57"/>
      <c r="J54" s="57"/>
      <c r="K54" s="57"/>
      <c r="L54" s="57"/>
      <c r="M54" s="85"/>
      <c r="N54" s="85"/>
      <c r="O54" s="85"/>
      <c r="P54" s="85"/>
      <c r="Q54" s="85"/>
      <c r="R54" s="85"/>
      <c r="S54" s="57"/>
      <c r="T54" s="87" t="str">
        <f>IF(COUNTIF($A54:$S54,"&lt;&gt;")=0,"",IF($F54="À parts égales entre participants",IF(G54&lt;&gt;"Oui",0,IF(COUNTIF($H54:$L54,"Oui")=0,$D54-0,ROUND($D54/COUNTIF($G54:$L54,"Oui"),2))),IF($F54="Montants convenus",IF(G54="Oui",M54,0),"")))</f>
      </c>
      <c r="U54" s="87" t="str">
        <f>IF(COUNTIF($A54:$S54,"&lt;&gt;")=0,"",IF($F54="À parts égales entre participants",IF(H54&lt;&gt;"Oui",0,IF(COUNTIF($I54:$L54,"Oui")=0,$D54-SUM($T54:T54),ROUND($D54/COUNTIF($G54:$L54,"Oui"),2))),IF($F54="Montants convenus",IF(H54="Oui",N54,0),"")))</f>
      </c>
      <c r="V54" s="87" t="str">
        <f>IF(COUNTIF($A54:$S54,"&lt;&gt;")=0,"",IF($F54="À parts égales entre participants",IF(I54&lt;&gt;"Oui",0,IF(COUNTIF($J54:$L54,"Oui")=0,$D54-SUM($T54:U54),ROUND($D54/COUNTIF($G54:$L54,"Oui"),2))),IF($F54="Montants convenus",IF(I54="Oui",O54,0),"")))</f>
      </c>
      <c r="W54" s="87" t="str">
        <f>IF(COUNTIF($A54:$S54,"&lt;&gt;")=0,"",IF($F54="À parts égales entre participants",IF(J54&lt;&gt;"Oui",0,IF(COUNTIF($K54:$L54,"Oui")=0,$D54-SUM($T54:V54),ROUND($D54/COUNTIF($G54:$L54,"Oui"),2))),IF($F54="Montants convenus",IF(J54="Oui",P54,0),"")))</f>
      </c>
      <c r="X54" s="87" t="str">
        <f>IF(COUNTIF($A54:$S54,"&lt;&gt;")=0,"",IF($F54="À parts égales entre participants",IF(K54&lt;&gt;"Oui",0,IF(COUNTIF($L54:$L54,"Oui")=0,$D54-SUM($T54:W54),ROUND($D54/COUNTIF($G54:$L54,"Oui"),2))),IF($F54="Montants convenus",IF(K54="Oui",Q54,0),"")))</f>
      </c>
      <c r="Y54" s="87" t="str">
        <f>IF(COUNTIF($A54:$S54,"&lt;&gt;")=0,"",IF($F54="À parts égales entre participants",IF(L54&lt;&gt;"Oui",0,IF(0=0,$D54-SUM($T54:X54),ROUND($D54/COUNTIF($G54:$L54,"Oui"),2))),IF($F54="Montants convenus",IF(L54="Oui",R54,0),"")))</f>
      </c>
      <c r="Z54" s="81" t="str">
        <f>IF(COUNTIF($A54:$S54,"&lt;&gt;")=0,"",IF(OR($D54="",$D54&lt;=0),"Saisissez un montant supérieur à zéro.",IF($E54="","Sélectionnez la personne qui a payé.",IF(COUNTIF($G54:$L54,"Oui")=0,"Sélectionnez au moins une personne participante.",IF($F54="À parts égales entre participants","Vérifié",IF($F54="Montants convenus",IF(OR(AND(G54="Oui",M54=""),AND(H54="Oui",N54=""),AND(I54="Oui",O54=""),AND(J54="Oui",P54=""),AND(K54="Oui",Q54=""),AND(L54="Oui",R54="")),"Saisissez les montants convenus pour que leur somme corresponde à la dépense.",IF(ABS(SUM($M54:$R54))&lt;0.005,"Saisissez les montants convenus pour que leur somme corresponde à la dépense.",IF(SUM($M54:$R54)&lt;$D54-0.005,"Montant restant à répartir : "&amp;ROUND($D54-SUM($M54:$R54),2)&amp;".",IF(SUM($M54:$R54)&gt;$D54+0.005,"Montant réparti en trop : "&amp;ROUND(SUM($M54:$R54)-$D54,2)&amp;".","Vérifié")))),"Saisissez les montants convenus pour que leur somme corresponde à la dépense."))))))</f>
      </c>
    </row>
    <row r="55">
      <c r="A55" s="83"/>
      <c r="B55" s="57"/>
      <c r="C55" s="57"/>
      <c r="D55" s="85"/>
      <c r="E55" s="57"/>
      <c r="F55" s="57"/>
      <c r="G55" s="57"/>
      <c r="H55" s="57"/>
      <c r="I55" s="57"/>
      <c r="J55" s="57"/>
      <c r="K55" s="57"/>
      <c r="L55" s="57"/>
      <c r="M55" s="85"/>
      <c r="N55" s="85"/>
      <c r="O55" s="85"/>
      <c r="P55" s="85"/>
      <c r="Q55" s="85"/>
      <c r="R55" s="85"/>
      <c r="S55" s="57"/>
      <c r="T55" s="87" t="str">
        <f>IF(COUNTIF($A55:$S55,"&lt;&gt;")=0,"",IF($F55="À parts égales entre participants",IF(G55&lt;&gt;"Oui",0,IF(COUNTIF($H55:$L55,"Oui")=0,$D55-0,ROUND($D55/COUNTIF($G55:$L55,"Oui"),2))),IF($F55="Montants convenus",IF(G55="Oui",M55,0),"")))</f>
      </c>
      <c r="U55" s="87" t="str">
        <f>IF(COUNTIF($A55:$S55,"&lt;&gt;")=0,"",IF($F55="À parts égales entre participants",IF(H55&lt;&gt;"Oui",0,IF(COUNTIF($I55:$L55,"Oui")=0,$D55-SUM($T55:T55),ROUND($D55/COUNTIF($G55:$L55,"Oui"),2))),IF($F55="Montants convenus",IF(H55="Oui",N55,0),"")))</f>
      </c>
      <c r="V55" s="87" t="str">
        <f>IF(COUNTIF($A55:$S55,"&lt;&gt;")=0,"",IF($F55="À parts égales entre participants",IF(I55&lt;&gt;"Oui",0,IF(COUNTIF($J55:$L55,"Oui")=0,$D55-SUM($T55:U55),ROUND($D55/COUNTIF($G55:$L55,"Oui"),2))),IF($F55="Montants convenus",IF(I55="Oui",O55,0),"")))</f>
      </c>
      <c r="W55" s="87" t="str">
        <f>IF(COUNTIF($A55:$S55,"&lt;&gt;")=0,"",IF($F55="À parts égales entre participants",IF(J55&lt;&gt;"Oui",0,IF(COUNTIF($K55:$L55,"Oui")=0,$D55-SUM($T55:V55),ROUND($D55/COUNTIF($G55:$L55,"Oui"),2))),IF($F55="Montants convenus",IF(J55="Oui",P55,0),"")))</f>
      </c>
      <c r="X55" s="87" t="str">
        <f>IF(COUNTIF($A55:$S55,"&lt;&gt;")=0,"",IF($F55="À parts égales entre participants",IF(K55&lt;&gt;"Oui",0,IF(COUNTIF($L55:$L55,"Oui")=0,$D55-SUM($T55:W55),ROUND($D55/COUNTIF($G55:$L55,"Oui"),2))),IF($F55="Montants convenus",IF(K55="Oui",Q55,0),"")))</f>
      </c>
      <c r="Y55" s="87" t="str">
        <f>IF(COUNTIF($A55:$S55,"&lt;&gt;")=0,"",IF($F55="À parts égales entre participants",IF(L55&lt;&gt;"Oui",0,IF(0=0,$D55-SUM($T55:X55),ROUND($D55/COUNTIF($G55:$L55,"Oui"),2))),IF($F55="Montants convenus",IF(L55="Oui",R55,0),"")))</f>
      </c>
      <c r="Z55" s="81" t="str">
        <f>IF(COUNTIF($A55:$S55,"&lt;&gt;")=0,"",IF(OR($D55="",$D55&lt;=0),"Saisissez un montant supérieur à zéro.",IF($E55="","Sélectionnez la personne qui a payé.",IF(COUNTIF($G55:$L55,"Oui")=0,"Sélectionnez au moins une personne participante.",IF($F55="À parts égales entre participants","Vérifié",IF($F55="Montants convenus",IF(OR(AND(G55="Oui",M55=""),AND(H55="Oui",N55=""),AND(I55="Oui",O55=""),AND(J55="Oui",P55=""),AND(K55="Oui",Q55=""),AND(L55="Oui",R55="")),"Saisissez les montants convenus pour que leur somme corresponde à la dépense.",IF(ABS(SUM($M55:$R55))&lt;0.005,"Saisissez les montants convenus pour que leur somme corresponde à la dépense.",IF(SUM($M55:$R55)&lt;$D55-0.005,"Montant restant à répartir : "&amp;ROUND($D55-SUM($M55:$R55),2)&amp;".",IF(SUM($M55:$R55)&gt;$D55+0.005,"Montant réparti en trop : "&amp;ROUND(SUM($M55:$R55)-$D55,2)&amp;".","Vérifié")))),"Saisissez les montants convenus pour que leur somme corresponde à la dépense."))))))</f>
      </c>
    </row>
    <row r="56">
      <c r="A56" s="83"/>
      <c r="B56" s="57"/>
      <c r="C56" s="57"/>
      <c r="D56" s="85"/>
      <c r="E56" s="57"/>
      <c r="F56" s="57"/>
      <c r="G56" s="57"/>
      <c r="H56" s="57"/>
      <c r="I56" s="57"/>
      <c r="J56" s="57"/>
      <c r="K56" s="57"/>
      <c r="L56" s="57"/>
      <c r="M56" s="85"/>
      <c r="N56" s="85"/>
      <c r="O56" s="85"/>
      <c r="P56" s="85"/>
      <c r="Q56" s="85"/>
      <c r="R56" s="85"/>
      <c r="S56" s="57"/>
      <c r="T56" s="87" t="str">
        <f>IF(COUNTIF($A56:$S56,"&lt;&gt;")=0,"",IF($F56="À parts égales entre participants",IF(G56&lt;&gt;"Oui",0,IF(COUNTIF($H56:$L56,"Oui")=0,$D56-0,ROUND($D56/COUNTIF($G56:$L56,"Oui"),2))),IF($F56="Montants convenus",IF(G56="Oui",M56,0),"")))</f>
      </c>
      <c r="U56" s="87" t="str">
        <f>IF(COUNTIF($A56:$S56,"&lt;&gt;")=0,"",IF($F56="À parts égales entre participants",IF(H56&lt;&gt;"Oui",0,IF(COUNTIF($I56:$L56,"Oui")=0,$D56-SUM($T56:T56),ROUND($D56/COUNTIF($G56:$L56,"Oui"),2))),IF($F56="Montants convenus",IF(H56="Oui",N56,0),"")))</f>
      </c>
      <c r="V56" s="87" t="str">
        <f>IF(COUNTIF($A56:$S56,"&lt;&gt;")=0,"",IF($F56="À parts égales entre participants",IF(I56&lt;&gt;"Oui",0,IF(COUNTIF($J56:$L56,"Oui")=0,$D56-SUM($T56:U56),ROUND($D56/COUNTIF($G56:$L56,"Oui"),2))),IF($F56="Montants convenus",IF(I56="Oui",O56,0),"")))</f>
      </c>
      <c r="W56" s="87" t="str">
        <f>IF(COUNTIF($A56:$S56,"&lt;&gt;")=0,"",IF($F56="À parts égales entre participants",IF(J56&lt;&gt;"Oui",0,IF(COUNTIF($K56:$L56,"Oui")=0,$D56-SUM($T56:V56),ROUND($D56/COUNTIF($G56:$L56,"Oui"),2))),IF($F56="Montants convenus",IF(J56="Oui",P56,0),"")))</f>
      </c>
      <c r="X56" s="87" t="str">
        <f>IF(COUNTIF($A56:$S56,"&lt;&gt;")=0,"",IF($F56="À parts égales entre participants",IF(K56&lt;&gt;"Oui",0,IF(COUNTIF($L56:$L56,"Oui")=0,$D56-SUM($T56:W56),ROUND($D56/COUNTIF($G56:$L56,"Oui"),2))),IF($F56="Montants convenus",IF(K56="Oui",Q56,0),"")))</f>
      </c>
      <c r="Y56" s="87" t="str">
        <f>IF(COUNTIF($A56:$S56,"&lt;&gt;")=0,"",IF($F56="À parts égales entre participants",IF(L56&lt;&gt;"Oui",0,IF(0=0,$D56-SUM($T56:X56),ROUND($D56/COUNTIF($G56:$L56,"Oui"),2))),IF($F56="Montants convenus",IF(L56="Oui",R56,0),"")))</f>
      </c>
      <c r="Z56" s="81" t="str">
        <f>IF(COUNTIF($A56:$S56,"&lt;&gt;")=0,"",IF(OR($D56="",$D56&lt;=0),"Saisissez un montant supérieur à zéro.",IF($E56="","Sélectionnez la personne qui a payé.",IF(COUNTIF($G56:$L56,"Oui")=0,"Sélectionnez au moins une personne participante.",IF($F56="À parts égales entre participants","Vérifié",IF($F56="Montants convenus",IF(OR(AND(G56="Oui",M56=""),AND(H56="Oui",N56=""),AND(I56="Oui",O56=""),AND(J56="Oui",P56=""),AND(K56="Oui",Q56=""),AND(L56="Oui",R56="")),"Saisissez les montants convenus pour que leur somme corresponde à la dépense.",IF(ABS(SUM($M56:$R56))&lt;0.005,"Saisissez les montants convenus pour que leur somme corresponde à la dépense.",IF(SUM($M56:$R56)&lt;$D56-0.005,"Montant restant à répartir : "&amp;ROUND($D56-SUM($M56:$R56),2)&amp;".",IF(SUM($M56:$R56)&gt;$D56+0.005,"Montant réparti en trop : "&amp;ROUND(SUM($M56:$R56)-$D56,2)&amp;".","Vérifié")))),"Saisissez les montants convenus pour que leur somme corresponde à la dépense."))))))</f>
      </c>
    </row>
    <row r="57">
      <c r="A57" s="83"/>
      <c r="B57" s="57"/>
      <c r="C57" s="57"/>
      <c r="D57" s="85"/>
      <c r="E57" s="57"/>
      <c r="F57" s="57"/>
      <c r="G57" s="57"/>
      <c r="H57" s="57"/>
      <c r="I57" s="57"/>
      <c r="J57" s="57"/>
      <c r="K57" s="57"/>
      <c r="L57" s="57"/>
      <c r="M57" s="85"/>
      <c r="N57" s="85"/>
      <c r="O57" s="85"/>
      <c r="P57" s="85"/>
      <c r="Q57" s="85"/>
      <c r="R57" s="85"/>
      <c r="S57" s="57"/>
      <c r="T57" s="87" t="str">
        <f>IF(COUNTIF($A57:$S57,"&lt;&gt;")=0,"",IF($F57="À parts égales entre participants",IF(G57&lt;&gt;"Oui",0,IF(COUNTIF($H57:$L57,"Oui")=0,$D57-0,ROUND($D57/COUNTIF($G57:$L57,"Oui"),2))),IF($F57="Montants convenus",IF(G57="Oui",M57,0),"")))</f>
      </c>
      <c r="U57" s="87" t="str">
        <f>IF(COUNTIF($A57:$S57,"&lt;&gt;")=0,"",IF($F57="À parts égales entre participants",IF(H57&lt;&gt;"Oui",0,IF(COUNTIF($I57:$L57,"Oui")=0,$D57-SUM($T57:T57),ROUND($D57/COUNTIF($G57:$L57,"Oui"),2))),IF($F57="Montants convenus",IF(H57="Oui",N57,0),"")))</f>
      </c>
      <c r="V57" s="87" t="str">
        <f>IF(COUNTIF($A57:$S57,"&lt;&gt;")=0,"",IF($F57="À parts égales entre participants",IF(I57&lt;&gt;"Oui",0,IF(COUNTIF($J57:$L57,"Oui")=0,$D57-SUM($T57:U57),ROUND($D57/COUNTIF($G57:$L57,"Oui"),2))),IF($F57="Montants convenus",IF(I57="Oui",O57,0),"")))</f>
      </c>
      <c r="W57" s="87" t="str">
        <f>IF(COUNTIF($A57:$S57,"&lt;&gt;")=0,"",IF($F57="À parts égales entre participants",IF(J57&lt;&gt;"Oui",0,IF(COUNTIF($K57:$L57,"Oui")=0,$D57-SUM($T57:V57),ROUND($D57/COUNTIF($G57:$L57,"Oui"),2))),IF($F57="Montants convenus",IF(J57="Oui",P57,0),"")))</f>
      </c>
      <c r="X57" s="87" t="str">
        <f>IF(COUNTIF($A57:$S57,"&lt;&gt;")=0,"",IF($F57="À parts égales entre participants",IF(K57&lt;&gt;"Oui",0,IF(COUNTIF($L57:$L57,"Oui")=0,$D57-SUM($T57:W57),ROUND($D57/COUNTIF($G57:$L57,"Oui"),2))),IF($F57="Montants convenus",IF(K57="Oui",Q57,0),"")))</f>
      </c>
      <c r="Y57" s="87" t="str">
        <f>IF(COUNTIF($A57:$S57,"&lt;&gt;")=0,"",IF($F57="À parts égales entre participants",IF(L57&lt;&gt;"Oui",0,IF(0=0,$D57-SUM($T57:X57),ROUND($D57/COUNTIF($G57:$L57,"Oui"),2))),IF($F57="Montants convenus",IF(L57="Oui",R57,0),"")))</f>
      </c>
      <c r="Z57" s="81" t="str">
        <f>IF(COUNTIF($A57:$S57,"&lt;&gt;")=0,"",IF(OR($D57="",$D57&lt;=0),"Saisissez un montant supérieur à zéro.",IF($E57="","Sélectionnez la personne qui a payé.",IF(COUNTIF($G57:$L57,"Oui")=0,"Sélectionnez au moins une personne participante.",IF($F57="À parts égales entre participants","Vérifié",IF($F57="Montants convenus",IF(OR(AND(G57="Oui",M57=""),AND(H57="Oui",N57=""),AND(I57="Oui",O57=""),AND(J57="Oui",P57=""),AND(K57="Oui",Q57=""),AND(L57="Oui",R57="")),"Saisissez les montants convenus pour que leur somme corresponde à la dépense.",IF(ABS(SUM($M57:$R57))&lt;0.005,"Saisissez les montants convenus pour que leur somme corresponde à la dépense.",IF(SUM($M57:$R57)&lt;$D57-0.005,"Montant restant à répartir : "&amp;ROUND($D57-SUM($M57:$R57),2)&amp;".",IF(SUM($M57:$R57)&gt;$D57+0.005,"Montant réparti en trop : "&amp;ROUND(SUM($M57:$R57)-$D57,2)&amp;".","Vérifié")))),"Saisissez les montants convenus pour que leur somme corresponde à la dépense."))))))</f>
      </c>
    </row>
    <row r="58">
      <c r="A58" s="83"/>
      <c r="B58" s="57"/>
      <c r="C58" s="57"/>
      <c r="D58" s="85"/>
      <c r="E58" s="57"/>
      <c r="F58" s="57"/>
      <c r="G58" s="57"/>
      <c r="H58" s="57"/>
      <c r="I58" s="57"/>
      <c r="J58" s="57"/>
      <c r="K58" s="57"/>
      <c r="L58" s="57"/>
      <c r="M58" s="85"/>
      <c r="N58" s="85"/>
      <c r="O58" s="85"/>
      <c r="P58" s="85"/>
      <c r="Q58" s="85"/>
      <c r="R58" s="85"/>
      <c r="S58" s="57"/>
      <c r="T58" s="87" t="str">
        <f>IF(COUNTIF($A58:$S58,"&lt;&gt;")=0,"",IF($F58="À parts égales entre participants",IF(G58&lt;&gt;"Oui",0,IF(COUNTIF($H58:$L58,"Oui")=0,$D58-0,ROUND($D58/COUNTIF($G58:$L58,"Oui"),2))),IF($F58="Montants convenus",IF(G58="Oui",M58,0),"")))</f>
      </c>
      <c r="U58" s="87" t="str">
        <f>IF(COUNTIF($A58:$S58,"&lt;&gt;")=0,"",IF($F58="À parts égales entre participants",IF(H58&lt;&gt;"Oui",0,IF(COUNTIF($I58:$L58,"Oui")=0,$D58-SUM($T58:T58),ROUND($D58/COUNTIF($G58:$L58,"Oui"),2))),IF($F58="Montants convenus",IF(H58="Oui",N58,0),"")))</f>
      </c>
      <c r="V58" s="87" t="str">
        <f>IF(COUNTIF($A58:$S58,"&lt;&gt;")=0,"",IF($F58="À parts égales entre participants",IF(I58&lt;&gt;"Oui",0,IF(COUNTIF($J58:$L58,"Oui")=0,$D58-SUM($T58:U58),ROUND($D58/COUNTIF($G58:$L58,"Oui"),2))),IF($F58="Montants convenus",IF(I58="Oui",O58,0),"")))</f>
      </c>
      <c r="W58" s="87" t="str">
        <f>IF(COUNTIF($A58:$S58,"&lt;&gt;")=0,"",IF($F58="À parts égales entre participants",IF(J58&lt;&gt;"Oui",0,IF(COUNTIF($K58:$L58,"Oui")=0,$D58-SUM($T58:V58),ROUND($D58/COUNTIF($G58:$L58,"Oui"),2))),IF($F58="Montants convenus",IF(J58="Oui",P58,0),"")))</f>
      </c>
      <c r="X58" s="87" t="str">
        <f>IF(COUNTIF($A58:$S58,"&lt;&gt;")=0,"",IF($F58="À parts égales entre participants",IF(K58&lt;&gt;"Oui",0,IF(COUNTIF($L58:$L58,"Oui")=0,$D58-SUM($T58:W58),ROUND($D58/COUNTIF($G58:$L58,"Oui"),2))),IF($F58="Montants convenus",IF(K58="Oui",Q58,0),"")))</f>
      </c>
      <c r="Y58" s="87" t="str">
        <f>IF(COUNTIF($A58:$S58,"&lt;&gt;")=0,"",IF($F58="À parts égales entre participants",IF(L58&lt;&gt;"Oui",0,IF(0=0,$D58-SUM($T58:X58),ROUND($D58/COUNTIF($G58:$L58,"Oui"),2))),IF($F58="Montants convenus",IF(L58="Oui",R58,0),"")))</f>
      </c>
      <c r="Z58" s="81" t="str">
        <f>IF(COUNTIF($A58:$S58,"&lt;&gt;")=0,"",IF(OR($D58="",$D58&lt;=0),"Saisissez un montant supérieur à zéro.",IF($E58="","Sélectionnez la personne qui a payé.",IF(COUNTIF($G58:$L58,"Oui")=0,"Sélectionnez au moins une personne participante.",IF($F58="À parts égales entre participants","Vérifié",IF($F58="Montants convenus",IF(OR(AND(G58="Oui",M58=""),AND(H58="Oui",N58=""),AND(I58="Oui",O58=""),AND(J58="Oui",P58=""),AND(K58="Oui",Q58=""),AND(L58="Oui",R58="")),"Saisissez les montants convenus pour que leur somme corresponde à la dépense.",IF(ABS(SUM($M58:$R58))&lt;0.005,"Saisissez les montants convenus pour que leur somme corresponde à la dépense.",IF(SUM($M58:$R58)&lt;$D58-0.005,"Montant restant à répartir : "&amp;ROUND($D58-SUM($M58:$R58),2)&amp;".",IF(SUM($M58:$R58)&gt;$D58+0.005,"Montant réparti en trop : "&amp;ROUND(SUM($M58:$R58)-$D58,2)&amp;".","Vérifié")))),"Saisissez les montants convenus pour que leur somme corresponde à la dépense."))))))</f>
      </c>
    </row>
    <row r="59">
      <c r="A59" s="83"/>
      <c r="B59" s="57"/>
      <c r="C59" s="57"/>
      <c r="D59" s="85"/>
      <c r="E59" s="57"/>
      <c r="F59" s="57"/>
      <c r="G59" s="57"/>
      <c r="H59" s="57"/>
      <c r="I59" s="57"/>
      <c r="J59" s="57"/>
      <c r="K59" s="57"/>
      <c r="L59" s="57"/>
      <c r="M59" s="85"/>
      <c r="N59" s="85"/>
      <c r="O59" s="85"/>
      <c r="P59" s="85"/>
      <c r="Q59" s="85"/>
      <c r="R59" s="85"/>
      <c r="S59" s="57"/>
      <c r="T59" s="87" t="str">
        <f>IF(COUNTIF($A59:$S59,"&lt;&gt;")=0,"",IF($F59="À parts égales entre participants",IF(G59&lt;&gt;"Oui",0,IF(COUNTIF($H59:$L59,"Oui")=0,$D59-0,ROUND($D59/COUNTIF($G59:$L59,"Oui"),2))),IF($F59="Montants convenus",IF(G59="Oui",M59,0),"")))</f>
      </c>
      <c r="U59" s="87" t="str">
        <f>IF(COUNTIF($A59:$S59,"&lt;&gt;")=0,"",IF($F59="À parts égales entre participants",IF(H59&lt;&gt;"Oui",0,IF(COUNTIF($I59:$L59,"Oui")=0,$D59-SUM($T59:T59),ROUND($D59/COUNTIF($G59:$L59,"Oui"),2))),IF($F59="Montants convenus",IF(H59="Oui",N59,0),"")))</f>
      </c>
      <c r="V59" s="87" t="str">
        <f>IF(COUNTIF($A59:$S59,"&lt;&gt;")=0,"",IF($F59="À parts égales entre participants",IF(I59&lt;&gt;"Oui",0,IF(COUNTIF($J59:$L59,"Oui")=0,$D59-SUM($T59:U59),ROUND($D59/COUNTIF($G59:$L59,"Oui"),2))),IF($F59="Montants convenus",IF(I59="Oui",O59,0),"")))</f>
      </c>
      <c r="W59" s="87" t="str">
        <f>IF(COUNTIF($A59:$S59,"&lt;&gt;")=0,"",IF($F59="À parts égales entre participants",IF(J59&lt;&gt;"Oui",0,IF(COUNTIF($K59:$L59,"Oui")=0,$D59-SUM($T59:V59),ROUND($D59/COUNTIF($G59:$L59,"Oui"),2))),IF($F59="Montants convenus",IF(J59="Oui",P59,0),"")))</f>
      </c>
      <c r="X59" s="87" t="str">
        <f>IF(COUNTIF($A59:$S59,"&lt;&gt;")=0,"",IF($F59="À parts égales entre participants",IF(K59&lt;&gt;"Oui",0,IF(COUNTIF($L59:$L59,"Oui")=0,$D59-SUM($T59:W59),ROUND($D59/COUNTIF($G59:$L59,"Oui"),2))),IF($F59="Montants convenus",IF(K59="Oui",Q59,0),"")))</f>
      </c>
      <c r="Y59" s="87" t="str">
        <f>IF(COUNTIF($A59:$S59,"&lt;&gt;")=0,"",IF($F59="À parts égales entre participants",IF(L59&lt;&gt;"Oui",0,IF(0=0,$D59-SUM($T59:X59),ROUND($D59/COUNTIF($G59:$L59,"Oui"),2))),IF($F59="Montants convenus",IF(L59="Oui",R59,0),"")))</f>
      </c>
      <c r="Z59" s="81" t="str">
        <f>IF(COUNTIF($A59:$S59,"&lt;&gt;")=0,"",IF(OR($D59="",$D59&lt;=0),"Saisissez un montant supérieur à zéro.",IF($E59="","Sélectionnez la personne qui a payé.",IF(COUNTIF($G59:$L59,"Oui")=0,"Sélectionnez au moins une personne participante.",IF($F59="À parts égales entre participants","Vérifié",IF($F59="Montants convenus",IF(OR(AND(G59="Oui",M59=""),AND(H59="Oui",N59=""),AND(I59="Oui",O59=""),AND(J59="Oui",P59=""),AND(K59="Oui",Q59=""),AND(L59="Oui",R59="")),"Saisissez les montants convenus pour que leur somme corresponde à la dépense.",IF(ABS(SUM($M59:$R59))&lt;0.005,"Saisissez les montants convenus pour que leur somme corresponde à la dépense.",IF(SUM($M59:$R59)&lt;$D59-0.005,"Montant restant à répartir : "&amp;ROUND($D59-SUM($M59:$R59),2)&amp;".",IF(SUM($M59:$R59)&gt;$D59+0.005,"Montant réparti en trop : "&amp;ROUND(SUM($M59:$R59)-$D59,2)&amp;".","Vérifié")))),"Saisissez les montants convenus pour que leur somme corresponde à la dépense."))))))</f>
      </c>
    </row>
    <row r="60">
      <c r="A60" s="83"/>
      <c r="B60" s="57"/>
      <c r="C60" s="57"/>
      <c r="D60" s="85"/>
      <c r="E60" s="57"/>
      <c r="F60" s="57"/>
      <c r="G60" s="57"/>
      <c r="H60" s="57"/>
      <c r="I60" s="57"/>
      <c r="J60" s="57"/>
      <c r="K60" s="57"/>
      <c r="L60" s="57"/>
      <c r="M60" s="85"/>
      <c r="N60" s="85"/>
      <c r="O60" s="85"/>
      <c r="P60" s="85"/>
      <c r="Q60" s="85"/>
      <c r="R60" s="85"/>
      <c r="S60" s="57"/>
      <c r="T60" s="87" t="str">
        <f>IF(COUNTIF($A60:$S60,"&lt;&gt;")=0,"",IF($F60="À parts égales entre participants",IF(G60&lt;&gt;"Oui",0,IF(COUNTIF($H60:$L60,"Oui")=0,$D60-0,ROUND($D60/COUNTIF($G60:$L60,"Oui"),2))),IF($F60="Montants convenus",IF(G60="Oui",M60,0),"")))</f>
      </c>
      <c r="U60" s="87" t="str">
        <f>IF(COUNTIF($A60:$S60,"&lt;&gt;")=0,"",IF($F60="À parts égales entre participants",IF(H60&lt;&gt;"Oui",0,IF(COUNTIF($I60:$L60,"Oui")=0,$D60-SUM($T60:T60),ROUND($D60/COUNTIF($G60:$L60,"Oui"),2))),IF($F60="Montants convenus",IF(H60="Oui",N60,0),"")))</f>
      </c>
      <c r="V60" s="87" t="str">
        <f>IF(COUNTIF($A60:$S60,"&lt;&gt;")=0,"",IF($F60="À parts égales entre participants",IF(I60&lt;&gt;"Oui",0,IF(COUNTIF($J60:$L60,"Oui")=0,$D60-SUM($T60:U60),ROUND($D60/COUNTIF($G60:$L60,"Oui"),2))),IF($F60="Montants convenus",IF(I60="Oui",O60,0),"")))</f>
      </c>
      <c r="W60" s="87" t="str">
        <f>IF(COUNTIF($A60:$S60,"&lt;&gt;")=0,"",IF($F60="À parts égales entre participants",IF(J60&lt;&gt;"Oui",0,IF(COUNTIF($K60:$L60,"Oui")=0,$D60-SUM($T60:V60),ROUND($D60/COUNTIF($G60:$L60,"Oui"),2))),IF($F60="Montants convenus",IF(J60="Oui",P60,0),"")))</f>
      </c>
      <c r="X60" s="87" t="str">
        <f>IF(COUNTIF($A60:$S60,"&lt;&gt;")=0,"",IF($F60="À parts égales entre participants",IF(K60&lt;&gt;"Oui",0,IF(COUNTIF($L60:$L60,"Oui")=0,$D60-SUM($T60:W60),ROUND($D60/COUNTIF($G60:$L60,"Oui"),2))),IF($F60="Montants convenus",IF(K60="Oui",Q60,0),"")))</f>
      </c>
      <c r="Y60" s="87" t="str">
        <f>IF(COUNTIF($A60:$S60,"&lt;&gt;")=0,"",IF($F60="À parts égales entre participants",IF(L60&lt;&gt;"Oui",0,IF(0=0,$D60-SUM($T60:X60),ROUND($D60/COUNTIF($G60:$L60,"Oui"),2))),IF($F60="Montants convenus",IF(L60="Oui",R60,0),"")))</f>
      </c>
      <c r="Z60" s="81" t="str">
        <f>IF(COUNTIF($A60:$S60,"&lt;&gt;")=0,"",IF(OR($D60="",$D60&lt;=0),"Saisissez un montant supérieur à zéro.",IF($E60="","Sélectionnez la personne qui a payé.",IF(COUNTIF($G60:$L60,"Oui")=0,"Sélectionnez au moins une personne participante.",IF($F60="À parts égales entre participants","Vérifié",IF($F60="Montants convenus",IF(OR(AND(G60="Oui",M60=""),AND(H60="Oui",N60=""),AND(I60="Oui",O60=""),AND(J60="Oui",P60=""),AND(K60="Oui",Q60=""),AND(L60="Oui",R60="")),"Saisissez les montants convenus pour que leur somme corresponde à la dépense.",IF(ABS(SUM($M60:$R60))&lt;0.005,"Saisissez les montants convenus pour que leur somme corresponde à la dépense.",IF(SUM($M60:$R60)&lt;$D60-0.005,"Montant restant à répartir : "&amp;ROUND($D60-SUM($M60:$R60),2)&amp;".",IF(SUM($M60:$R60)&gt;$D60+0.005,"Montant réparti en trop : "&amp;ROUND(SUM($M60:$R60)-$D60,2)&amp;".","Vérifié")))),"Saisissez les montants convenus pour que leur somme corresponde à la dépense."))))))</f>
      </c>
    </row>
    <row r="61">
      <c r="A61" s="83"/>
      <c r="B61" s="57"/>
      <c r="C61" s="57"/>
      <c r="D61" s="85"/>
      <c r="E61" s="57"/>
      <c r="F61" s="57"/>
      <c r="G61" s="57"/>
      <c r="H61" s="57"/>
      <c r="I61" s="57"/>
      <c r="J61" s="57"/>
      <c r="K61" s="57"/>
      <c r="L61" s="57"/>
      <c r="M61" s="85"/>
      <c r="N61" s="85"/>
      <c r="O61" s="85"/>
      <c r="P61" s="85"/>
      <c r="Q61" s="85"/>
      <c r="R61" s="85"/>
      <c r="S61" s="57"/>
      <c r="T61" s="87" t="str">
        <f>IF(COUNTIF($A61:$S61,"&lt;&gt;")=0,"",IF($F61="À parts égales entre participants",IF(G61&lt;&gt;"Oui",0,IF(COUNTIF($H61:$L61,"Oui")=0,$D61-0,ROUND($D61/COUNTIF($G61:$L61,"Oui"),2))),IF($F61="Montants convenus",IF(G61="Oui",M61,0),"")))</f>
      </c>
      <c r="U61" s="87" t="str">
        <f>IF(COUNTIF($A61:$S61,"&lt;&gt;")=0,"",IF($F61="À parts égales entre participants",IF(H61&lt;&gt;"Oui",0,IF(COUNTIF($I61:$L61,"Oui")=0,$D61-SUM($T61:T61),ROUND($D61/COUNTIF($G61:$L61,"Oui"),2))),IF($F61="Montants convenus",IF(H61="Oui",N61,0),"")))</f>
      </c>
      <c r="V61" s="87" t="str">
        <f>IF(COUNTIF($A61:$S61,"&lt;&gt;")=0,"",IF($F61="À parts égales entre participants",IF(I61&lt;&gt;"Oui",0,IF(COUNTIF($J61:$L61,"Oui")=0,$D61-SUM($T61:U61),ROUND($D61/COUNTIF($G61:$L61,"Oui"),2))),IF($F61="Montants convenus",IF(I61="Oui",O61,0),"")))</f>
      </c>
      <c r="W61" s="87" t="str">
        <f>IF(COUNTIF($A61:$S61,"&lt;&gt;")=0,"",IF($F61="À parts égales entre participants",IF(J61&lt;&gt;"Oui",0,IF(COUNTIF($K61:$L61,"Oui")=0,$D61-SUM($T61:V61),ROUND($D61/COUNTIF($G61:$L61,"Oui"),2))),IF($F61="Montants convenus",IF(J61="Oui",P61,0),"")))</f>
      </c>
      <c r="X61" s="87" t="str">
        <f>IF(COUNTIF($A61:$S61,"&lt;&gt;")=0,"",IF($F61="À parts égales entre participants",IF(K61&lt;&gt;"Oui",0,IF(COUNTIF($L61:$L61,"Oui")=0,$D61-SUM($T61:W61),ROUND($D61/COUNTIF($G61:$L61,"Oui"),2))),IF($F61="Montants convenus",IF(K61="Oui",Q61,0),"")))</f>
      </c>
      <c r="Y61" s="87" t="str">
        <f>IF(COUNTIF($A61:$S61,"&lt;&gt;")=0,"",IF($F61="À parts égales entre participants",IF(L61&lt;&gt;"Oui",0,IF(0=0,$D61-SUM($T61:X61),ROUND($D61/COUNTIF($G61:$L61,"Oui"),2))),IF($F61="Montants convenus",IF(L61="Oui",R61,0),"")))</f>
      </c>
      <c r="Z61" s="81" t="str">
        <f>IF(COUNTIF($A61:$S61,"&lt;&gt;")=0,"",IF(OR($D61="",$D61&lt;=0),"Saisissez un montant supérieur à zéro.",IF($E61="","Sélectionnez la personne qui a payé.",IF(COUNTIF($G61:$L61,"Oui")=0,"Sélectionnez au moins une personne participante.",IF($F61="À parts égales entre participants","Vérifié",IF($F61="Montants convenus",IF(OR(AND(G61="Oui",M61=""),AND(H61="Oui",N61=""),AND(I61="Oui",O61=""),AND(J61="Oui",P61=""),AND(K61="Oui",Q61=""),AND(L61="Oui",R61="")),"Saisissez les montants convenus pour que leur somme corresponde à la dépense.",IF(ABS(SUM($M61:$R61))&lt;0.005,"Saisissez les montants convenus pour que leur somme corresponde à la dépense.",IF(SUM($M61:$R61)&lt;$D61-0.005,"Montant restant à répartir : "&amp;ROUND($D61-SUM($M61:$R61),2)&amp;".",IF(SUM($M61:$R61)&gt;$D61+0.005,"Montant réparti en trop : "&amp;ROUND(SUM($M61:$R61)-$D61,2)&amp;".","Vérifié")))),"Saisissez les montants convenus pour que leur somme corresponde à la dépense."))))))</f>
      </c>
    </row>
    <row r="62">
      <c r="A62" s="83"/>
      <c r="B62" s="57"/>
      <c r="C62" s="57"/>
      <c r="D62" s="85"/>
      <c r="E62" s="57"/>
      <c r="F62" s="57"/>
      <c r="G62" s="57"/>
      <c r="H62" s="57"/>
      <c r="I62" s="57"/>
      <c r="J62" s="57"/>
      <c r="K62" s="57"/>
      <c r="L62" s="57"/>
      <c r="M62" s="85"/>
      <c r="N62" s="85"/>
      <c r="O62" s="85"/>
      <c r="P62" s="85"/>
      <c r="Q62" s="85"/>
      <c r="R62" s="85"/>
      <c r="S62" s="57"/>
      <c r="T62" s="87" t="str">
        <f>IF(COUNTIF($A62:$S62,"&lt;&gt;")=0,"",IF($F62="À parts égales entre participants",IF(G62&lt;&gt;"Oui",0,IF(COUNTIF($H62:$L62,"Oui")=0,$D62-0,ROUND($D62/COUNTIF($G62:$L62,"Oui"),2))),IF($F62="Montants convenus",IF(G62="Oui",M62,0),"")))</f>
      </c>
      <c r="U62" s="87" t="str">
        <f>IF(COUNTIF($A62:$S62,"&lt;&gt;")=0,"",IF($F62="À parts égales entre participants",IF(H62&lt;&gt;"Oui",0,IF(COUNTIF($I62:$L62,"Oui")=0,$D62-SUM($T62:T62),ROUND($D62/COUNTIF($G62:$L62,"Oui"),2))),IF($F62="Montants convenus",IF(H62="Oui",N62,0),"")))</f>
      </c>
      <c r="V62" s="87" t="str">
        <f>IF(COUNTIF($A62:$S62,"&lt;&gt;")=0,"",IF($F62="À parts égales entre participants",IF(I62&lt;&gt;"Oui",0,IF(COUNTIF($J62:$L62,"Oui")=0,$D62-SUM($T62:U62),ROUND($D62/COUNTIF($G62:$L62,"Oui"),2))),IF($F62="Montants convenus",IF(I62="Oui",O62,0),"")))</f>
      </c>
      <c r="W62" s="87" t="str">
        <f>IF(COUNTIF($A62:$S62,"&lt;&gt;")=0,"",IF($F62="À parts égales entre participants",IF(J62&lt;&gt;"Oui",0,IF(COUNTIF($K62:$L62,"Oui")=0,$D62-SUM($T62:V62),ROUND($D62/COUNTIF($G62:$L62,"Oui"),2))),IF($F62="Montants convenus",IF(J62="Oui",P62,0),"")))</f>
      </c>
      <c r="X62" s="87" t="str">
        <f>IF(COUNTIF($A62:$S62,"&lt;&gt;")=0,"",IF($F62="À parts égales entre participants",IF(K62&lt;&gt;"Oui",0,IF(COUNTIF($L62:$L62,"Oui")=0,$D62-SUM($T62:W62),ROUND($D62/COUNTIF($G62:$L62,"Oui"),2))),IF($F62="Montants convenus",IF(K62="Oui",Q62,0),"")))</f>
      </c>
      <c r="Y62" s="87" t="str">
        <f>IF(COUNTIF($A62:$S62,"&lt;&gt;")=0,"",IF($F62="À parts égales entre participants",IF(L62&lt;&gt;"Oui",0,IF(0=0,$D62-SUM($T62:X62),ROUND($D62/COUNTIF($G62:$L62,"Oui"),2))),IF($F62="Montants convenus",IF(L62="Oui",R62,0),"")))</f>
      </c>
      <c r="Z62" s="81" t="str">
        <f>IF(COUNTIF($A62:$S62,"&lt;&gt;")=0,"",IF(OR($D62="",$D62&lt;=0),"Saisissez un montant supérieur à zéro.",IF($E62="","Sélectionnez la personne qui a payé.",IF(COUNTIF($G62:$L62,"Oui")=0,"Sélectionnez au moins une personne participante.",IF($F62="À parts égales entre participants","Vérifié",IF($F62="Montants convenus",IF(OR(AND(G62="Oui",M62=""),AND(H62="Oui",N62=""),AND(I62="Oui",O62=""),AND(J62="Oui",P62=""),AND(K62="Oui",Q62=""),AND(L62="Oui",R62="")),"Saisissez les montants convenus pour que leur somme corresponde à la dépense.",IF(ABS(SUM($M62:$R62))&lt;0.005,"Saisissez les montants convenus pour que leur somme corresponde à la dépense.",IF(SUM($M62:$R62)&lt;$D62-0.005,"Montant restant à répartir : "&amp;ROUND($D62-SUM($M62:$R62),2)&amp;".",IF(SUM($M62:$R62)&gt;$D62+0.005,"Montant réparti en trop : "&amp;ROUND(SUM($M62:$R62)-$D62,2)&amp;".","Vérifié")))),"Saisissez les montants convenus pour que leur somme corresponde à la dépense."))))))</f>
      </c>
    </row>
    <row r="63">
      <c r="A63" s="83"/>
      <c r="B63" s="57"/>
      <c r="C63" s="57"/>
      <c r="D63" s="85"/>
      <c r="E63" s="57"/>
      <c r="F63" s="57"/>
      <c r="G63" s="57"/>
      <c r="H63" s="57"/>
      <c r="I63" s="57"/>
      <c r="J63" s="57"/>
      <c r="K63" s="57"/>
      <c r="L63" s="57"/>
      <c r="M63" s="85"/>
      <c r="N63" s="85"/>
      <c r="O63" s="85"/>
      <c r="P63" s="85"/>
      <c r="Q63" s="85"/>
      <c r="R63" s="85"/>
      <c r="S63" s="57"/>
      <c r="T63" s="87" t="str">
        <f>IF(COUNTIF($A63:$S63,"&lt;&gt;")=0,"",IF($F63="À parts égales entre participants",IF(G63&lt;&gt;"Oui",0,IF(COUNTIF($H63:$L63,"Oui")=0,$D63-0,ROUND($D63/COUNTIF($G63:$L63,"Oui"),2))),IF($F63="Montants convenus",IF(G63="Oui",M63,0),"")))</f>
      </c>
      <c r="U63" s="87" t="str">
        <f>IF(COUNTIF($A63:$S63,"&lt;&gt;")=0,"",IF($F63="À parts égales entre participants",IF(H63&lt;&gt;"Oui",0,IF(COUNTIF($I63:$L63,"Oui")=0,$D63-SUM($T63:T63),ROUND($D63/COUNTIF($G63:$L63,"Oui"),2))),IF($F63="Montants convenus",IF(H63="Oui",N63,0),"")))</f>
      </c>
      <c r="V63" s="87" t="str">
        <f>IF(COUNTIF($A63:$S63,"&lt;&gt;")=0,"",IF($F63="À parts égales entre participants",IF(I63&lt;&gt;"Oui",0,IF(COUNTIF($J63:$L63,"Oui")=0,$D63-SUM($T63:U63),ROUND($D63/COUNTIF($G63:$L63,"Oui"),2))),IF($F63="Montants convenus",IF(I63="Oui",O63,0),"")))</f>
      </c>
      <c r="W63" s="87" t="str">
        <f>IF(COUNTIF($A63:$S63,"&lt;&gt;")=0,"",IF($F63="À parts égales entre participants",IF(J63&lt;&gt;"Oui",0,IF(COUNTIF($K63:$L63,"Oui")=0,$D63-SUM($T63:V63),ROUND($D63/COUNTIF($G63:$L63,"Oui"),2))),IF($F63="Montants convenus",IF(J63="Oui",P63,0),"")))</f>
      </c>
      <c r="X63" s="87" t="str">
        <f>IF(COUNTIF($A63:$S63,"&lt;&gt;")=0,"",IF($F63="À parts égales entre participants",IF(K63&lt;&gt;"Oui",0,IF(COUNTIF($L63:$L63,"Oui")=0,$D63-SUM($T63:W63),ROUND($D63/COUNTIF($G63:$L63,"Oui"),2))),IF($F63="Montants convenus",IF(K63="Oui",Q63,0),"")))</f>
      </c>
      <c r="Y63" s="87" t="str">
        <f>IF(COUNTIF($A63:$S63,"&lt;&gt;")=0,"",IF($F63="À parts égales entre participants",IF(L63&lt;&gt;"Oui",0,IF(0=0,$D63-SUM($T63:X63),ROUND($D63/COUNTIF($G63:$L63,"Oui"),2))),IF($F63="Montants convenus",IF(L63="Oui",R63,0),"")))</f>
      </c>
      <c r="Z63" s="81" t="str">
        <f>IF(COUNTIF($A63:$S63,"&lt;&gt;")=0,"",IF(OR($D63="",$D63&lt;=0),"Saisissez un montant supérieur à zéro.",IF($E63="","Sélectionnez la personne qui a payé.",IF(COUNTIF($G63:$L63,"Oui")=0,"Sélectionnez au moins une personne participante.",IF($F63="À parts égales entre participants","Vérifié",IF($F63="Montants convenus",IF(OR(AND(G63="Oui",M63=""),AND(H63="Oui",N63=""),AND(I63="Oui",O63=""),AND(J63="Oui",P63=""),AND(K63="Oui",Q63=""),AND(L63="Oui",R63="")),"Saisissez les montants convenus pour que leur somme corresponde à la dépense.",IF(ABS(SUM($M63:$R63))&lt;0.005,"Saisissez les montants convenus pour que leur somme corresponde à la dépense.",IF(SUM($M63:$R63)&lt;$D63-0.005,"Montant restant à répartir : "&amp;ROUND($D63-SUM($M63:$R63),2)&amp;".",IF(SUM($M63:$R63)&gt;$D63+0.005,"Montant réparti en trop : "&amp;ROUND(SUM($M63:$R63)-$D63,2)&amp;".","Vérifié")))),"Saisissez les montants convenus pour que leur somme corresponde à la dépense."))))))</f>
      </c>
    </row>
    <row r="64">
      <c r="A64" s="83"/>
      <c r="B64" s="57"/>
      <c r="C64" s="57"/>
      <c r="D64" s="85"/>
      <c r="E64" s="57"/>
      <c r="F64" s="57"/>
      <c r="G64" s="57"/>
      <c r="H64" s="57"/>
      <c r="I64" s="57"/>
      <c r="J64" s="57"/>
      <c r="K64" s="57"/>
      <c r="L64" s="57"/>
      <c r="M64" s="85"/>
      <c r="N64" s="85"/>
      <c r="O64" s="85"/>
      <c r="P64" s="85"/>
      <c r="Q64" s="85"/>
      <c r="R64" s="85"/>
      <c r="S64" s="57"/>
      <c r="T64" s="87" t="str">
        <f>IF(COUNTIF($A64:$S64,"&lt;&gt;")=0,"",IF($F64="À parts égales entre participants",IF(G64&lt;&gt;"Oui",0,IF(COUNTIF($H64:$L64,"Oui")=0,$D64-0,ROUND($D64/COUNTIF($G64:$L64,"Oui"),2))),IF($F64="Montants convenus",IF(G64="Oui",M64,0),"")))</f>
      </c>
      <c r="U64" s="87" t="str">
        <f>IF(COUNTIF($A64:$S64,"&lt;&gt;")=0,"",IF($F64="À parts égales entre participants",IF(H64&lt;&gt;"Oui",0,IF(COUNTIF($I64:$L64,"Oui")=0,$D64-SUM($T64:T64),ROUND($D64/COUNTIF($G64:$L64,"Oui"),2))),IF($F64="Montants convenus",IF(H64="Oui",N64,0),"")))</f>
      </c>
      <c r="V64" s="87" t="str">
        <f>IF(COUNTIF($A64:$S64,"&lt;&gt;")=0,"",IF($F64="À parts égales entre participants",IF(I64&lt;&gt;"Oui",0,IF(COUNTIF($J64:$L64,"Oui")=0,$D64-SUM($T64:U64),ROUND($D64/COUNTIF($G64:$L64,"Oui"),2))),IF($F64="Montants convenus",IF(I64="Oui",O64,0),"")))</f>
      </c>
      <c r="W64" s="87" t="str">
        <f>IF(COUNTIF($A64:$S64,"&lt;&gt;")=0,"",IF($F64="À parts égales entre participants",IF(J64&lt;&gt;"Oui",0,IF(COUNTIF($K64:$L64,"Oui")=0,$D64-SUM($T64:V64),ROUND($D64/COUNTIF($G64:$L64,"Oui"),2))),IF($F64="Montants convenus",IF(J64="Oui",P64,0),"")))</f>
      </c>
      <c r="X64" s="87" t="str">
        <f>IF(COUNTIF($A64:$S64,"&lt;&gt;")=0,"",IF($F64="À parts égales entre participants",IF(K64&lt;&gt;"Oui",0,IF(COUNTIF($L64:$L64,"Oui")=0,$D64-SUM($T64:W64),ROUND($D64/COUNTIF($G64:$L64,"Oui"),2))),IF($F64="Montants convenus",IF(K64="Oui",Q64,0),"")))</f>
      </c>
      <c r="Y64" s="87" t="str">
        <f>IF(COUNTIF($A64:$S64,"&lt;&gt;")=0,"",IF($F64="À parts égales entre participants",IF(L64&lt;&gt;"Oui",0,IF(0=0,$D64-SUM($T64:X64),ROUND($D64/COUNTIF($G64:$L64,"Oui"),2))),IF($F64="Montants convenus",IF(L64="Oui",R64,0),"")))</f>
      </c>
      <c r="Z64" s="81" t="str">
        <f>IF(COUNTIF($A64:$S64,"&lt;&gt;")=0,"",IF(OR($D64="",$D64&lt;=0),"Saisissez un montant supérieur à zéro.",IF($E64="","Sélectionnez la personne qui a payé.",IF(COUNTIF($G64:$L64,"Oui")=0,"Sélectionnez au moins une personne participante.",IF($F64="À parts égales entre participants","Vérifié",IF($F64="Montants convenus",IF(OR(AND(G64="Oui",M64=""),AND(H64="Oui",N64=""),AND(I64="Oui",O64=""),AND(J64="Oui",P64=""),AND(K64="Oui",Q64=""),AND(L64="Oui",R64="")),"Saisissez les montants convenus pour que leur somme corresponde à la dépense.",IF(ABS(SUM($M64:$R64))&lt;0.005,"Saisissez les montants convenus pour que leur somme corresponde à la dépense.",IF(SUM($M64:$R64)&lt;$D64-0.005,"Montant restant à répartir : "&amp;ROUND($D64-SUM($M64:$R64),2)&amp;".",IF(SUM($M64:$R64)&gt;$D64+0.005,"Montant réparti en trop : "&amp;ROUND(SUM($M64:$R64)-$D64,2)&amp;".","Vérifié")))),"Saisissez les montants convenus pour que leur somme corresponde à la dépense."))))))</f>
      </c>
    </row>
    <row r="65">
      <c r="A65" s="83"/>
      <c r="B65" s="57"/>
      <c r="C65" s="57"/>
      <c r="D65" s="85"/>
      <c r="E65" s="57"/>
      <c r="F65" s="57"/>
      <c r="G65" s="57"/>
      <c r="H65" s="57"/>
      <c r="I65" s="57"/>
      <c r="J65" s="57"/>
      <c r="K65" s="57"/>
      <c r="L65" s="57"/>
      <c r="M65" s="85"/>
      <c r="N65" s="85"/>
      <c r="O65" s="85"/>
      <c r="P65" s="85"/>
      <c r="Q65" s="85"/>
      <c r="R65" s="85"/>
      <c r="S65" s="57"/>
      <c r="T65" s="87" t="str">
        <f>IF(COUNTIF($A65:$S65,"&lt;&gt;")=0,"",IF($F65="À parts égales entre participants",IF(G65&lt;&gt;"Oui",0,IF(COUNTIF($H65:$L65,"Oui")=0,$D65-0,ROUND($D65/COUNTIF($G65:$L65,"Oui"),2))),IF($F65="Montants convenus",IF(G65="Oui",M65,0),"")))</f>
      </c>
      <c r="U65" s="87" t="str">
        <f>IF(COUNTIF($A65:$S65,"&lt;&gt;")=0,"",IF($F65="À parts égales entre participants",IF(H65&lt;&gt;"Oui",0,IF(COUNTIF($I65:$L65,"Oui")=0,$D65-SUM($T65:T65),ROUND($D65/COUNTIF($G65:$L65,"Oui"),2))),IF($F65="Montants convenus",IF(H65="Oui",N65,0),"")))</f>
      </c>
      <c r="V65" s="87" t="str">
        <f>IF(COUNTIF($A65:$S65,"&lt;&gt;")=0,"",IF($F65="À parts égales entre participants",IF(I65&lt;&gt;"Oui",0,IF(COUNTIF($J65:$L65,"Oui")=0,$D65-SUM($T65:U65),ROUND($D65/COUNTIF($G65:$L65,"Oui"),2))),IF($F65="Montants convenus",IF(I65="Oui",O65,0),"")))</f>
      </c>
      <c r="W65" s="87" t="str">
        <f>IF(COUNTIF($A65:$S65,"&lt;&gt;")=0,"",IF($F65="À parts égales entre participants",IF(J65&lt;&gt;"Oui",0,IF(COUNTIF($K65:$L65,"Oui")=0,$D65-SUM($T65:V65),ROUND($D65/COUNTIF($G65:$L65,"Oui"),2))),IF($F65="Montants convenus",IF(J65="Oui",P65,0),"")))</f>
      </c>
      <c r="X65" s="87" t="str">
        <f>IF(COUNTIF($A65:$S65,"&lt;&gt;")=0,"",IF($F65="À parts égales entre participants",IF(K65&lt;&gt;"Oui",0,IF(COUNTIF($L65:$L65,"Oui")=0,$D65-SUM($T65:W65),ROUND($D65/COUNTIF($G65:$L65,"Oui"),2))),IF($F65="Montants convenus",IF(K65="Oui",Q65,0),"")))</f>
      </c>
      <c r="Y65" s="87" t="str">
        <f>IF(COUNTIF($A65:$S65,"&lt;&gt;")=0,"",IF($F65="À parts égales entre participants",IF(L65&lt;&gt;"Oui",0,IF(0=0,$D65-SUM($T65:X65),ROUND($D65/COUNTIF($G65:$L65,"Oui"),2))),IF($F65="Montants convenus",IF(L65="Oui",R65,0),"")))</f>
      </c>
      <c r="Z65" s="81" t="str">
        <f>IF(COUNTIF($A65:$S65,"&lt;&gt;")=0,"",IF(OR($D65="",$D65&lt;=0),"Saisissez un montant supérieur à zéro.",IF($E65="","Sélectionnez la personne qui a payé.",IF(COUNTIF($G65:$L65,"Oui")=0,"Sélectionnez au moins une personne participante.",IF($F65="À parts égales entre participants","Vérifié",IF($F65="Montants convenus",IF(OR(AND(G65="Oui",M65=""),AND(H65="Oui",N65=""),AND(I65="Oui",O65=""),AND(J65="Oui",P65=""),AND(K65="Oui",Q65=""),AND(L65="Oui",R65="")),"Saisissez les montants convenus pour que leur somme corresponde à la dépense.",IF(ABS(SUM($M65:$R65))&lt;0.005,"Saisissez les montants convenus pour que leur somme corresponde à la dépense.",IF(SUM($M65:$R65)&lt;$D65-0.005,"Montant restant à répartir : "&amp;ROUND($D65-SUM($M65:$R65),2)&amp;".",IF(SUM($M65:$R65)&gt;$D65+0.005,"Montant réparti en trop : "&amp;ROUND(SUM($M65:$R65)-$D65,2)&amp;".","Vérifié")))),"Saisissez les montants convenus pour que leur somme corresponde à la dépense."))))))</f>
      </c>
    </row>
    <row r="66">
      <c r="A66" s="83"/>
      <c r="B66" s="57"/>
      <c r="C66" s="57"/>
      <c r="D66" s="85"/>
      <c r="E66" s="57"/>
      <c r="F66" s="57"/>
      <c r="G66" s="57"/>
      <c r="H66" s="57"/>
      <c r="I66" s="57"/>
      <c r="J66" s="57"/>
      <c r="K66" s="57"/>
      <c r="L66" s="57"/>
      <c r="M66" s="85"/>
      <c r="N66" s="85"/>
      <c r="O66" s="85"/>
      <c r="P66" s="85"/>
      <c r="Q66" s="85"/>
      <c r="R66" s="85"/>
      <c r="S66" s="57"/>
      <c r="T66" s="87" t="str">
        <f>IF(COUNTIF($A66:$S66,"&lt;&gt;")=0,"",IF($F66="À parts égales entre participants",IF(G66&lt;&gt;"Oui",0,IF(COUNTIF($H66:$L66,"Oui")=0,$D66-0,ROUND($D66/COUNTIF($G66:$L66,"Oui"),2))),IF($F66="Montants convenus",IF(G66="Oui",M66,0),"")))</f>
      </c>
      <c r="U66" s="87" t="str">
        <f>IF(COUNTIF($A66:$S66,"&lt;&gt;")=0,"",IF($F66="À parts égales entre participants",IF(H66&lt;&gt;"Oui",0,IF(COUNTIF($I66:$L66,"Oui")=0,$D66-SUM($T66:T66),ROUND($D66/COUNTIF($G66:$L66,"Oui"),2))),IF($F66="Montants convenus",IF(H66="Oui",N66,0),"")))</f>
      </c>
      <c r="V66" s="87" t="str">
        <f>IF(COUNTIF($A66:$S66,"&lt;&gt;")=0,"",IF($F66="À parts égales entre participants",IF(I66&lt;&gt;"Oui",0,IF(COUNTIF($J66:$L66,"Oui")=0,$D66-SUM($T66:U66),ROUND($D66/COUNTIF($G66:$L66,"Oui"),2))),IF($F66="Montants convenus",IF(I66="Oui",O66,0),"")))</f>
      </c>
      <c r="W66" s="87" t="str">
        <f>IF(COUNTIF($A66:$S66,"&lt;&gt;")=0,"",IF($F66="À parts égales entre participants",IF(J66&lt;&gt;"Oui",0,IF(COUNTIF($K66:$L66,"Oui")=0,$D66-SUM($T66:V66),ROUND($D66/COUNTIF($G66:$L66,"Oui"),2))),IF($F66="Montants convenus",IF(J66="Oui",P66,0),"")))</f>
      </c>
      <c r="X66" s="87" t="str">
        <f>IF(COUNTIF($A66:$S66,"&lt;&gt;")=0,"",IF($F66="À parts égales entre participants",IF(K66&lt;&gt;"Oui",0,IF(COUNTIF($L66:$L66,"Oui")=0,$D66-SUM($T66:W66),ROUND($D66/COUNTIF($G66:$L66,"Oui"),2))),IF($F66="Montants convenus",IF(K66="Oui",Q66,0),"")))</f>
      </c>
      <c r="Y66" s="87" t="str">
        <f>IF(COUNTIF($A66:$S66,"&lt;&gt;")=0,"",IF($F66="À parts égales entre participants",IF(L66&lt;&gt;"Oui",0,IF(0=0,$D66-SUM($T66:X66),ROUND($D66/COUNTIF($G66:$L66,"Oui"),2))),IF($F66="Montants convenus",IF(L66="Oui",R66,0),"")))</f>
      </c>
      <c r="Z66" s="81" t="str">
        <f>IF(COUNTIF($A66:$S66,"&lt;&gt;")=0,"",IF(OR($D66="",$D66&lt;=0),"Saisissez un montant supérieur à zéro.",IF($E66="","Sélectionnez la personne qui a payé.",IF(COUNTIF($G66:$L66,"Oui")=0,"Sélectionnez au moins une personne participante.",IF($F66="À parts égales entre participants","Vérifié",IF($F66="Montants convenus",IF(OR(AND(G66="Oui",M66=""),AND(H66="Oui",N66=""),AND(I66="Oui",O66=""),AND(J66="Oui",P66=""),AND(K66="Oui",Q66=""),AND(L66="Oui",R66="")),"Saisissez les montants convenus pour que leur somme corresponde à la dépense.",IF(ABS(SUM($M66:$R66))&lt;0.005,"Saisissez les montants convenus pour que leur somme corresponde à la dépense.",IF(SUM($M66:$R66)&lt;$D66-0.005,"Montant restant à répartir : "&amp;ROUND($D66-SUM($M66:$R66),2)&amp;".",IF(SUM($M66:$R66)&gt;$D66+0.005,"Montant réparti en trop : "&amp;ROUND(SUM($M66:$R66)-$D66,2)&amp;".","Vérifié")))),"Saisissez les montants convenus pour que leur somme corresponde à la dépense."))))))</f>
      </c>
    </row>
    <row r="67">
      <c r="A67" s="83"/>
      <c r="B67" s="57"/>
      <c r="C67" s="57"/>
      <c r="D67" s="85"/>
      <c r="E67" s="57"/>
      <c r="F67" s="57"/>
      <c r="G67" s="57"/>
      <c r="H67" s="57"/>
      <c r="I67" s="57"/>
      <c r="J67" s="57"/>
      <c r="K67" s="57"/>
      <c r="L67" s="57"/>
      <c r="M67" s="85"/>
      <c r="N67" s="85"/>
      <c r="O67" s="85"/>
      <c r="P67" s="85"/>
      <c r="Q67" s="85"/>
      <c r="R67" s="85"/>
      <c r="S67" s="57"/>
      <c r="T67" s="87" t="str">
        <f>IF(COUNTIF($A67:$S67,"&lt;&gt;")=0,"",IF($F67="À parts égales entre participants",IF(G67&lt;&gt;"Oui",0,IF(COUNTIF($H67:$L67,"Oui")=0,$D67-0,ROUND($D67/COUNTIF($G67:$L67,"Oui"),2))),IF($F67="Montants convenus",IF(G67="Oui",M67,0),"")))</f>
      </c>
      <c r="U67" s="87" t="str">
        <f>IF(COUNTIF($A67:$S67,"&lt;&gt;")=0,"",IF($F67="À parts égales entre participants",IF(H67&lt;&gt;"Oui",0,IF(COUNTIF($I67:$L67,"Oui")=0,$D67-SUM($T67:T67),ROUND($D67/COUNTIF($G67:$L67,"Oui"),2))),IF($F67="Montants convenus",IF(H67="Oui",N67,0),"")))</f>
      </c>
      <c r="V67" s="87" t="str">
        <f>IF(COUNTIF($A67:$S67,"&lt;&gt;")=0,"",IF($F67="À parts égales entre participants",IF(I67&lt;&gt;"Oui",0,IF(COUNTIF($J67:$L67,"Oui")=0,$D67-SUM($T67:U67),ROUND($D67/COUNTIF($G67:$L67,"Oui"),2))),IF($F67="Montants convenus",IF(I67="Oui",O67,0),"")))</f>
      </c>
      <c r="W67" s="87" t="str">
        <f>IF(COUNTIF($A67:$S67,"&lt;&gt;")=0,"",IF($F67="À parts égales entre participants",IF(J67&lt;&gt;"Oui",0,IF(COUNTIF($K67:$L67,"Oui")=0,$D67-SUM($T67:V67),ROUND($D67/COUNTIF($G67:$L67,"Oui"),2))),IF($F67="Montants convenus",IF(J67="Oui",P67,0),"")))</f>
      </c>
      <c r="X67" s="87" t="str">
        <f>IF(COUNTIF($A67:$S67,"&lt;&gt;")=0,"",IF($F67="À parts égales entre participants",IF(K67&lt;&gt;"Oui",0,IF(COUNTIF($L67:$L67,"Oui")=0,$D67-SUM($T67:W67),ROUND($D67/COUNTIF($G67:$L67,"Oui"),2))),IF($F67="Montants convenus",IF(K67="Oui",Q67,0),"")))</f>
      </c>
      <c r="Y67" s="87" t="str">
        <f>IF(COUNTIF($A67:$S67,"&lt;&gt;")=0,"",IF($F67="À parts égales entre participants",IF(L67&lt;&gt;"Oui",0,IF(0=0,$D67-SUM($T67:X67),ROUND($D67/COUNTIF($G67:$L67,"Oui"),2))),IF($F67="Montants convenus",IF(L67="Oui",R67,0),"")))</f>
      </c>
      <c r="Z67" s="81" t="str">
        <f>IF(COUNTIF($A67:$S67,"&lt;&gt;")=0,"",IF(OR($D67="",$D67&lt;=0),"Saisissez un montant supérieur à zéro.",IF($E67="","Sélectionnez la personne qui a payé.",IF(COUNTIF($G67:$L67,"Oui")=0,"Sélectionnez au moins une personne participante.",IF($F67="À parts égales entre participants","Vérifié",IF($F67="Montants convenus",IF(OR(AND(G67="Oui",M67=""),AND(H67="Oui",N67=""),AND(I67="Oui",O67=""),AND(J67="Oui",P67=""),AND(K67="Oui",Q67=""),AND(L67="Oui",R67="")),"Saisissez les montants convenus pour que leur somme corresponde à la dépense.",IF(ABS(SUM($M67:$R67))&lt;0.005,"Saisissez les montants convenus pour que leur somme corresponde à la dépense.",IF(SUM($M67:$R67)&lt;$D67-0.005,"Montant restant à répartir : "&amp;ROUND($D67-SUM($M67:$R67),2)&amp;".",IF(SUM($M67:$R67)&gt;$D67+0.005,"Montant réparti en trop : "&amp;ROUND(SUM($M67:$R67)-$D67,2)&amp;".","Vérifié")))),"Saisissez les montants convenus pour que leur somme corresponde à la dépense."))))))</f>
      </c>
    </row>
    <row r="68">
      <c r="A68" s="83"/>
      <c r="B68" s="57"/>
      <c r="C68" s="57"/>
      <c r="D68" s="85"/>
      <c r="E68" s="57"/>
      <c r="F68" s="57"/>
      <c r="G68" s="57"/>
      <c r="H68" s="57"/>
      <c r="I68" s="57"/>
      <c r="J68" s="57"/>
      <c r="K68" s="57"/>
      <c r="L68" s="57"/>
      <c r="M68" s="85"/>
      <c r="N68" s="85"/>
      <c r="O68" s="85"/>
      <c r="P68" s="85"/>
      <c r="Q68" s="85"/>
      <c r="R68" s="85"/>
      <c r="S68" s="57"/>
      <c r="T68" s="87" t="str">
        <f>IF(COUNTIF($A68:$S68,"&lt;&gt;")=0,"",IF($F68="À parts égales entre participants",IF(G68&lt;&gt;"Oui",0,IF(COUNTIF($H68:$L68,"Oui")=0,$D68-0,ROUND($D68/COUNTIF($G68:$L68,"Oui"),2))),IF($F68="Montants convenus",IF(G68="Oui",M68,0),"")))</f>
      </c>
      <c r="U68" s="87" t="str">
        <f>IF(COUNTIF($A68:$S68,"&lt;&gt;")=0,"",IF($F68="À parts égales entre participants",IF(H68&lt;&gt;"Oui",0,IF(COUNTIF($I68:$L68,"Oui")=0,$D68-SUM($T68:T68),ROUND($D68/COUNTIF($G68:$L68,"Oui"),2))),IF($F68="Montants convenus",IF(H68="Oui",N68,0),"")))</f>
      </c>
      <c r="V68" s="87" t="str">
        <f>IF(COUNTIF($A68:$S68,"&lt;&gt;")=0,"",IF($F68="À parts égales entre participants",IF(I68&lt;&gt;"Oui",0,IF(COUNTIF($J68:$L68,"Oui")=0,$D68-SUM($T68:U68),ROUND($D68/COUNTIF($G68:$L68,"Oui"),2))),IF($F68="Montants convenus",IF(I68="Oui",O68,0),"")))</f>
      </c>
      <c r="W68" s="87" t="str">
        <f>IF(COUNTIF($A68:$S68,"&lt;&gt;")=0,"",IF($F68="À parts égales entre participants",IF(J68&lt;&gt;"Oui",0,IF(COUNTIF($K68:$L68,"Oui")=0,$D68-SUM($T68:V68),ROUND($D68/COUNTIF($G68:$L68,"Oui"),2))),IF($F68="Montants convenus",IF(J68="Oui",P68,0),"")))</f>
      </c>
      <c r="X68" s="87" t="str">
        <f>IF(COUNTIF($A68:$S68,"&lt;&gt;")=0,"",IF($F68="À parts égales entre participants",IF(K68&lt;&gt;"Oui",0,IF(COUNTIF($L68:$L68,"Oui")=0,$D68-SUM($T68:W68),ROUND($D68/COUNTIF($G68:$L68,"Oui"),2))),IF($F68="Montants convenus",IF(K68="Oui",Q68,0),"")))</f>
      </c>
      <c r="Y68" s="87" t="str">
        <f>IF(COUNTIF($A68:$S68,"&lt;&gt;")=0,"",IF($F68="À parts égales entre participants",IF(L68&lt;&gt;"Oui",0,IF(0=0,$D68-SUM($T68:X68),ROUND($D68/COUNTIF($G68:$L68,"Oui"),2))),IF($F68="Montants convenus",IF(L68="Oui",R68,0),"")))</f>
      </c>
      <c r="Z68" s="81" t="str">
        <f>IF(COUNTIF($A68:$S68,"&lt;&gt;")=0,"",IF(OR($D68="",$D68&lt;=0),"Saisissez un montant supérieur à zéro.",IF($E68="","Sélectionnez la personne qui a payé.",IF(COUNTIF($G68:$L68,"Oui")=0,"Sélectionnez au moins une personne participante.",IF($F68="À parts égales entre participants","Vérifié",IF($F68="Montants convenus",IF(OR(AND(G68="Oui",M68=""),AND(H68="Oui",N68=""),AND(I68="Oui",O68=""),AND(J68="Oui",P68=""),AND(K68="Oui",Q68=""),AND(L68="Oui",R68="")),"Saisissez les montants convenus pour que leur somme corresponde à la dépense.",IF(ABS(SUM($M68:$R68))&lt;0.005,"Saisissez les montants convenus pour que leur somme corresponde à la dépense.",IF(SUM($M68:$R68)&lt;$D68-0.005,"Montant restant à répartir : "&amp;ROUND($D68-SUM($M68:$R68),2)&amp;".",IF(SUM($M68:$R68)&gt;$D68+0.005,"Montant réparti en trop : "&amp;ROUND(SUM($M68:$R68)-$D68,2)&amp;".","Vérifié")))),"Saisissez les montants convenus pour que leur somme corresponde à la dépense."))))))</f>
      </c>
    </row>
    <row r="69">
      <c r="A69" s="83"/>
      <c r="B69" s="57"/>
      <c r="C69" s="57"/>
      <c r="D69" s="85"/>
      <c r="E69" s="57"/>
      <c r="F69" s="57"/>
      <c r="G69" s="57"/>
      <c r="H69" s="57"/>
      <c r="I69" s="57"/>
      <c r="J69" s="57"/>
      <c r="K69" s="57"/>
      <c r="L69" s="57"/>
      <c r="M69" s="85"/>
      <c r="N69" s="85"/>
      <c r="O69" s="85"/>
      <c r="P69" s="85"/>
      <c r="Q69" s="85"/>
      <c r="R69" s="85"/>
      <c r="S69" s="57"/>
      <c r="T69" s="87" t="str">
        <f>IF(COUNTIF($A69:$S69,"&lt;&gt;")=0,"",IF($F69="À parts égales entre participants",IF(G69&lt;&gt;"Oui",0,IF(COUNTIF($H69:$L69,"Oui")=0,$D69-0,ROUND($D69/COUNTIF($G69:$L69,"Oui"),2))),IF($F69="Montants convenus",IF(G69="Oui",M69,0),"")))</f>
      </c>
      <c r="U69" s="87" t="str">
        <f>IF(COUNTIF($A69:$S69,"&lt;&gt;")=0,"",IF($F69="À parts égales entre participants",IF(H69&lt;&gt;"Oui",0,IF(COUNTIF($I69:$L69,"Oui")=0,$D69-SUM($T69:T69),ROUND($D69/COUNTIF($G69:$L69,"Oui"),2))),IF($F69="Montants convenus",IF(H69="Oui",N69,0),"")))</f>
      </c>
      <c r="V69" s="87" t="str">
        <f>IF(COUNTIF($A69:$S69,"&lt;&gt;")=0,"",IF($F69="À parts égales entre participants",IF(I69&lt;&gt;"Oui",0,IF(COUNTIF($J69:$L69,"Oui")=0,$D69-SUM($T69:U69),ROUND($D69/COUNTIF($G69:$L69,"Oui"),2))),IF($F69="Montants convenus",IF(I69="Oui",O69,0),"")))</f>
      </c>
      <c r="W69" s="87" t="str">
        <f>IF(COUNTIF($A69:$S69,"&lt;&gt;")=0,"",IF($F69="À parts égales entre participants",IF(J69&lt;&gt;"Oui",0,IF(COUNTIF($K69:$L69,"Oui")=0,$D69-SUM($T69:V69),ROUND($D69/COUNTIF($G69:$L69,"Oui"),2))),IF($F69="Montants convenus",IF(J69="Oui",P69,0),"")))</f>
      </c>
      <c r="X69" s="87" t="str">
        <f>IF(COUNTIF($A69:$S69,"&lt;&gt;")=0,"",IF($F69="À parts égales entre participants",IF(K69&lt;&gt;"Oui",0,IF(COUNTIF($L69:$L69,"Oui")=0,$D69-SUM($T69:W69),ROUND($D69/COUNTIF($G69:$L69,"Oui"),2))),IF($F69="Montants convenus",IF(K69="Oui",Q69,0),"")))</f>
      </c>
      <c r="Y69" s="87" t="str">
        <f>IF(COUNTIF($A69:$S69,"&lt;&gt;")=0,"",IF($F69="À parts égales entre participants",IF(L69&lt;&gt;"Oui",0,IF(0=0,$D69-SUM($T69:X69),ROUND($D69/COUNTIF($G69:$L69,"Oui"),2))),IF($F69="Montants convenus",IF(L69="Oui",R69,0),"")))</f>
      </c>
      <c r="Z69" s="81" t="str">
        <f>IF(COUNTIF($A69:$S69,"&lt;&gt;")=0,"",IF(OR($D69="",$D69&lt;=0),"Saisissez un montant supérieur à zéro.",IF($E69="","Sélectionnez la personne qui a payé.",IF(COUNTIF($G69:$L69,"Oui")=0,"Sélectionnez au moins une personne participante.",IF($F69="À parts égales entre participants","Vérifié",IF($F69="Montants convenus",IF(OR(AND(G69="Oui",M69=""),AND(H69="Oui",N69=""),AND(I69="Oui",O69=""),AND(J69="Oui",P69=""),AND(K69="Oui",Q69=""),AND(L69="Oui",R69="")),"Saisissez les montants convenus pour que leur somme corresponde à la dépense.",IF(ABS(SUM($M69:$R69))&lt;0.005,"Saisissez les montants convenus pour que leur somme corresponde à la dépense.",IF(SUM($M69:$R69)&lt;$D69-0.005,"Montant restant à répartir : "&amp;ROUND($D69-SUM($M69:$R69),2)&amp;".",IF(SUM($M69:$R69)&gt;$D69+0.005,"Montant réparti en trop : "&amp;ROUND(SUM($M69:$R69)-$D69,2)&amp;".","Vérifié")))),"Saisissez les montants convenus pour que leur somme corresponde à la dépense."))))))</f>
      </c>
    </row>
    <row r="70">
      <c r="A70" s="83"/>
      <c r="B70" s="57"/>
      <c r="C70" s="57"/>
      <c r="D70" s="85"/>
      <c r="E70" s="57"/>
      <c r="F70" s="57"/>
      <c r="G70" s="57"/>
      <c r="H70" s="57"/>
      <c r="I70" s="57"/>
      <c r="J70" s="57"/>
      <c r="K70" s="57"/>
      <c r="L70" s="57"/>
      <c r="M70" s="85"/>
      <c r="N70" s="85"/>
      <c r="O70" s="85"/>
      <c r="P70" s="85"/>
      <c r="Q70" s="85"/>
      <c r="R70" s="85"/>
      <c r="S70" s="57"/>
      <c r="T70" s="87" t="str">
        <f>IF(COUNTIF($A70:$S70,"&lt;&gt;")=0,"",IF($F70="À parts égales entre participants",IF(G70&lt;&gt;"Oui",0,IF(COUNTIF($H70:$L70,"Oui")=0,$D70-0,ROUND($D70/COUNTIF($G70:$L70,"Oui"),2))),IF($F70="Montants convenus",IF(G70="Oui",M70,0),"")))</f>
      </c>
      <c r="U70" s="87" t="str">
        <f>IF(COUNTIF($A70:$S70,"&lt;&gt;")=0,"",IF($F70="À parts égales entre participants",IF(H70&lt;&gt;"Oui",0,IF(COUNTIF($I70:$L70,"Oui")=0,$D70-SUM($T70:T70),ROUND($D70/COUNTIF($G70:$L70,"Oui"),2))),IF($F70="Montants convenus",IF(H70="Oui",N70,0),"")))</f>
      </c>
      <c r="V70" s="87" t="str">
        <f>IF(COUNTIF($A70:$S70,"&lt;&gt;")=0,"",IF($F70="À parts égales entre participants",IF(I70&lt;&gt;"Oui",0,IF(COUNTIF($J70:$L70,"Oui")=0,$D70-SUM($T70:U70),ROUND($D70/COUNTIF($G70:$L70,"Oui"),2))),IF($F70="Montants convenus",IF(I70="Oui",O70,0),"")))</f>
      </c>
      <c r="W70" s="87" t="str">
        <f>IF(COUNTIF($A70:$S70,"&lt;&gt;")=0,"",IF($F70="À parts égales entre participants",IF(J70&lt;&gt;"Oui",0,IF(COUNTIF($K70:$L70,"Oui")=0,$D70-SUM($T70:V70),ROUND($D70/COUNTIF($G70:$L70,"Oui"),2))),IF($F70="Montants convenus",IF(J70="Oui",P70,0),"")))</f>
      </c>
      <c r="X70" s="87" t="str">
        <f>IF(COUNTIF($A70:$S70,"&lt;&gt;")=0,"",IF($F70="À parts égales entre participants",IF(K70&lt;&gt;"Oui",0,IF(COUNTIF($L70:$L70,"Oui")=0,$D70-SUM($T70:W70),ROUND($D70/COUNTIF($G70:$L70,"Oui"),2))),IF($F70="Montants convenus",IF(K70="Oui",Q70,0),"")))</f>
      </c>
      <c r="Y70" s="87" t="str">
        <f>IF(COUNTIF($A70:$S70,"&lt;&gt;")=0,"",IF($F70="À parts égales entre participants",IF(L70&lt;&gt;"Oui",0,IF(0=0,$D70-SUM($T70:X70),ROUND($D70/COUNTIF($G70:$L70,"Oui"),2))),IF($F70="Montants convenus",IF(L70="Oui",R70,0),"")))</f>
      </c>
      <c r="Z70" s="81" t="str">
        <f>IF(COUNTIF($A70:$S70,"&lt;&gt;")=0,"",IF(OR($D70="",$D70&lt;=0),"Saisissez un montant supérieur à zéro.",IF($E70="","Sélectionnez la personne qui a payé.",IF(COUNTIF($G70:$L70,"Oui")=0,"Sélectionnez au moins une personne participante.",IF($F70="À parts égales entre participants","Vérifié",IF($F70="Montants convenus",IF(OR(AND(G70="Oui",M70=""),AND(H70="Oui",N70=""),AND(I70="Oui",O70=""),AND(J70="Oui",P70=""),AND(K70="Oui",Q70=""),AND(L70="Oui",R70="")),"Saisissez les montants convenus pour que leur somme corresponde à la dépense.",IF(ABS(SUM($M70:$R70))&lt;0.005,"Saisissez les montants convenus pour que leur somme corresponde à la dépense.",IF(SUM($M70:$R70)&lt;$D70-0.005,"Montant restant à répartir : "&amp;ROUND($D70-SUM($M70:$R70),2)&amp;".",IF(SUM($M70:$R70)&gt;$D70+0.005,"Montant réparti en trop : "&amp;ROUND(SUM($M70:$R70)-$D70,2)&amp;".","Vérifié")))),"Saisissez les montants convenus pour que leur somme corresponde à la dépense."))))))</f>
      </c>
    </row>
    <row r="71">
      <c r="A71" s="83"/>
      <c r="B71" s="57"/>
      <c r="C71" s="57"/>
      <c r="D71" s="85"/>
      <c r="E71" s="57"/>
      <c r="F71" s="57"/>
      <c r="G71" s="57"/>
      <c r="H71" s="57"/>
      <c r="I71" s="57"/>
      <c r="J71" s="57"/>
      <c r="K71" s="57"/>
      <c r="L71" s="57"/>
      <c r="M71" s="85"/>
      <c r="N71" s="85"/>
      <c r="O71" s="85"/>
      <c r="P71" s="85"/>
      <c r="Q71" s="85"/>
      <c r="R71" s="85"/>
      <c r="S71" s="57"/>
      <c r="T71" s="87" t="str">
        <f>IF(COUNTIF($A71:$S71,"&lt;&gt;")=0,"",IF($F71="À parts égales entre participants",IF(G71&lt;&gt;"Oui",0,IF(COUNTIF($H71:$L71,"Oui")=0,$D71-0,ROUND($D71/COUNTIF($G71:$L71,"Oui"),2))),IF($F71="Montants convenus",IF(G71="Oui",M71,0),"")))</f>
      </c>
      <c r="U71" s="87" t="str">
        <f>IF(COUNTIF($A71:$S71,"&lt;&gt;")=0,"",IF($F71="À parts égales entre participants",IF(H71&lt;&gt;"Oui",0,IF(COUNTIF($I71:$L71,"Oui")=0,$D71-SUM($T71:T71),ROUND($D71/COUNTIF($G71:$L71,"Oui"),2))),IF($F71="Montants convenus",IF(H71="Oui",N71,0),"")))</f>
      </c>
      <c r="V71" s="87" t="str">
        <f>IF(COUNTIF($A71:$S71,"&lt;&gt;")=0,"",IF($F71="À parts égales entre participants",IF(I71&lt;&gt;"Oui",0,IF(COUNTIF($J71:$L71,"Oui")=0,$D71-SUM($T71:U71),ROUND($D71/COUNTIF($G71:$L71,"Oui"),2))),IF($F71="Montants convenus",IF(I71="Oui",O71,0),"")))</f>
      </c>
      <c r="W71" s="87" t="str">
        <f>IF(COUNTIF($A71:$S71,"&lt;&gt;")=0,"",IF($F71="À parts égales entre participants",IF(J71&lt;&gt;"Oui",0,IF(COUNTIF($K71:$L71,"Oui")=0,$D71-SUM($T71:V71),ROUND($D71/COUNTIF($G71:$L71,"Oui"),2))),IF($F71="Montants convenus",IF(J71="Oui",P71,0),"")))</f>
      </c>
      <c r="X71" s="87" t="str">
        <f>IF(COUNTIF($A71:$S71,"&lt;&gt;")=0,"",IF($F71="À parts égales entre participants",IF(K71&lt;&gt;"Oui",0,IF(COUNTIF($L71:$L71,"Oui")=0,$D71-SUM($T71:W71),ROUND($D71/COUNTIF($G71:$L71,"Oui"),2))),IF($F71="Montants convenus",IF(K71="Oui",Q71,0),"")))</f>
      </c>
      <c r="Y71" s="87" t="str">
        <f>IF(COUNTIF($A71:$S71,"&lt;&gt;")=0,"",IF($F71="À parts égales entre participants",IF(L71&lt;&gt;"Oui",0,IF(0=0,$D71-SUM($T71:X71),ROUND($D71/COUNTIF($G71:$L71,"Oui"),2))),IF($F71="Montants convenus",IF(L71="Oui",R71,0),"")))</f>
      </c>
      <c r="Z71" s="81" t="str">
        <f>IF(COUNTIF($A71:$S71,"&lt;&gt;")=0,"",IF(OR($D71="",$D71&lt;=0),"Saisissez un montant supérieur à zéro.",IF($E71="","Sélectionnez la personne qui a payé.",IF(COUNTIF($G71:$L71,"Oui")=0,"Sélectionnez au moins une personne participante.",IF($F71="À parts égales entre participants","Vérifié",IF($F71="Montants convenus",IF(OR(AND(G71="Oui",M71=""),AND(H71="Oui",N71=""),AND(I71="Oui",O71=""),AND(J71="Oui",P71=""),AND(K71="Oui",Q71=""),AND(L71="Oui",R71="")),"Saisissez les montants convenus pour que leur somme corresponde à la dépense.",IF(ABS(SUM($M71:$R71))&lt;0.005,"Saisissez les montants convenus pour que leur somme corresponde à la dépense.",IF(SUM($M71:$R71)&lt;$D71-0.005,"Montant restant à répartir : "&amp;ROUND($D71-SUM($M71:$R71),2)&amp;".",IF(SUM($M71:$R71)&gt;$D71+0.005,"Montant réparti en trop : "&amp;ROUND(SUM($M71:$R71)-$D71,2)&amp;".","Vérifié")))),"Saisissez les montants convenus pour que leur somme corresponde à la dépense."))))))</f>
      </c>
    </row>
    <row r="72">
      <c r="A72" s="83"/>
      <c r="B72" s="57"/>
      <c r="C72" s="57"/>
      <c r="D72" s="85"/>
      <c r="E72" s="57"/>
      <c r="F72" s="57"/>
      <c r="G72" s="57"/>
      <c r="H72" s="57"/>
      <c r="I72" s="57"/>
      <c r="J72" s="57"/>
      <c r="K72" s="57"/>
      <c r="L72" s="57"/>
      <c r="M72" s="85"/>
      <c r="N72" s="85"/>
      <c r="O72" s="85"/>
      <c r="P72" s="85"/>
      <c r="Q72" s="85"/>
      <c r="R72" s="85"/>
      <c r="S72" s="57"/>
      <c r="T72" s="87" t="str">
        <f>IF(COUNTIF($A72:$S72,"&lt;&gt;")=0,"",IF($F72="À parts égales entre participants",IF(G72&lt;&gt;"Oui",0,IF(COUNTIF($H72:$L72,"Oui")=0,$D72-0,ROUND($D72/COUNTIF($G72:$L72,"Oui"),2))),IF($F72="Montants convenus",IF(G72="Oui",M72,0),"")))</f>
      </c>
      <c r="U72" s="87" t="str">
        <f>IF(COUNTIF($A72:$S72,"&lt;&gt;")=0,"",IF($F72="À parts égales entre participants",IF(H72&lt;&gt;"Oui",0,IF(COUNTIF($I72:$L72,"Oui")=0,$D72-SUM($T72:T72),ROUND($D72/COUNTIF($G72:$L72,"Oui"),2))),IF($F72="Montants convenus",IF(H72="Oui",N72,0),"")))</f>
      </c>
      <c r="V72" s="87" t="str">
        <f>IF(COUNTIF($A72:$S72,"&lt;&gt;")=0,"",IF($F72="À parts égales entre participants",IF(I72&lt;&gt;"Oui",0,IF(COUNTIF($J72:$L72,"Oui")=0,$D72-SUM($T72:U72),ROUND($D72/COUNTIF($G72:$L72,"Oui"),2))),IF($F72="Montants convenus",IF(I72="Oui",O72,0),"")))</f>
      </c>
      <c r="W72" s="87" t="str">
        <f>IF(COUNTIF($A72:$S72,"&lt;&gt;")=0,"",IF($F72="À parts égales entre participants",IF(J72&lt;&gt;"Oui",0,IF(COUNTIF($K72:$L72,"Oui")=0,$D72-SUM($T72:V72),ROUND($D72/COUNTIF($G72:$L72,"Oui"),2))),IF($F72="Montants convenus",IF(J72="Oui",P72,0),"")))</f>
      </c>
      <c r="X72" s="87" t="str">
        <f>IF(COUNTIF($A72:$S72,"&lt;&gt;")=0,"",IF($F72="À parts égales entre participants",IF(K72&lt;&gt;"Oui",0,IF(COUNTIF($L72:$L72,"Oui")=0,$D72-SUM($T72:W72),ROUND($D72/COUNTIF($G72:$L72,"Oui"),2))),IF($F72="Montants convenus",IF(K72="Oui",Q72,0),"")))</f>
      </c>
      <c r="Y72" s="87" t="str">
        <f>IF(COUNTIF($A72:$S72,"&lt;&gt;")=0,"",IF($F72="À parts égales entre participants",IF(L72&lt;&gt;"Oui",0,IF(0=0,$D72-SUM($T72:X72),ROUND($D72/COUNTIF($G72:$L72,"Oui"),2))),IF($F72="Montants convenus",IF(L72="Oui",R72,0),"")))</f>
      </c>
      <c r="Z72" s="81" t="str">
        <f>IF(COUNTIF($A72:$S72,"&lt;&gt;")=0,"",IF(OR($D72="",$D72&lt;=0),"Saisissez un montant supérieur à zéro.",IF($E72="","Sélectionnez la personne qui a payé.",IF(COUNTIF($G72:$L72,"Oui")=0,"Sélectionnez au moins une personne participante.",IF($F72="À parts égales entre participants","Vérifié",IF($F72="Montants convenus",IF(OR(AND(G72="Oui",M72=""),AND(H72="Oui",N72=""),AND(I72="Oui",O72=""),AND(J72="Oui",P72=""),AND(K72="Oui",Q72=""),AND(L72="Oui",R72="")),"Saisissez les montants convenus pour que leur somme corresponde à la dépense.",IF(ABS(SUM($M72:$R72))&lt;0.005,"Saisissez les montants convenus pour que leur somme corresponde à la dépense.",IF(SUM($M72:$R72)&lt;$D72-0.005,"Montant restant à répartir : "&amp;ROUND($D72-SUM($M72:$R72),2)&amp;".",IF(SUM($M72:$R72)&gt;$D72+0.005,"Montant réparti en trop : "&amp;ROUND(SUM($M72:$R72)-$D72,2)&amp;".","Vérifié")))),"Saisissez les montants convenus pour que leur somme corresponde à la dépense."))))))</f>
      </c>
    </row>
    <row r="73">
      <c r="A73" s="83"/>
      <c r="B73" s="57"/>
      <c r="C73" s="57"/>
      <c r="D73" s="85"/>
      <c r="E73" s="57"/>
      <c r="F73" s="57"/>
      <c r="G73" s="57"/>
      <c r="H73" s="57"/>
      <c r="I73" s="57"/>
      <c r="J73" s="57"/>
      <c r="K73" s="57"/>
      <c r="L73" s="57"/>
      <c r="M73" s="85"/>
      <c r="N73" s="85"/>
      <c r="O73" s="85"/>
      <c r="P73" s="85"/>
      <c r="Q73" s="85"/>
      <c r="R73" s="85"/>
      <c r="S73" s="57"/>
      <c r="T73" s="87" t="str">
        <f>IF(COUNTIF($A73:$S73,"&lt;&gt;")=0,"",IF($F73="À parts égales entre participants",IF(G73&lt;&gt;"Oui",0,IF(COUNTIF($H73:$L73,"Oui")=0,$D73-0,ROUND($D73/COUNTIF($G73:$L73,"Oui"),2))),IF($F73="Montants convenus",IF(G73="Oui",M73,0),"")))</f>
      </c>
      <c r="U73" s="87" t="str">
        <f>IF(COUNTIF($A73:$S73,"&lt;&gt;")=0,"",IF($F73="À parts égales entre participants",IF(H73&lt;&gt;"Oui",0,IF(COUNTIF($I73:$L73,"Oui")=0,$D73-SUM($T73:T73),ROUND($D73/COUNTIF($G73:$L73,"Oui"),2))),IF($F73="Montants convenus",IF(H73="Oui",N73,0),"")))</f>
      </c>
      <c r="V73" s="87" t="str">
        <f>IF(COUNTIF($A73:$S73,"&lt;&gt;")=0,"",IF($F73="À parts égales entre participants",IF(I73&lt;&gt;"Oui",0,IF(COUNTIF($J73:$L73,"Oui")=0,$D73-SUM($T73:U73),ROUND($D73/COUNTIF($G73:$L73,"Oui"),2))),IF($F73="Montants convenus",IF(I73="Oui",O73,0),"")))</f>
      </c>
      <c r="W73" s="87" t="str">
        <f>IF(COUNTIF($A73:$S73,"&lt;&gt;")=0,"",IF($F73="À parts égales entre participants",IF(J73&lt;&gt;"Oui",0,IF(COUNTIF($K73:$L73,"Oui")=0,$D73-SUM($T73:V73),ROUND($D73/COUNTIF($G73:$L73,"Oui"),2))),IF($F73="Montants convenus",IF(J73="Oui",P73,0),"")))</f>
      </c>
      <c r="X73" s="87" t="str">
        <f>IF(COUNTIF($A73:$S73,"&lt;&gt;")=0,"",IF($F73="À parts égales entre participants",IF(K73&lt;&gt;"Oui",0,IF(COUNTIF($L73:$L73,"Oui")=0,$D73-SUM($T73:W73),ROUND($D73/COUNTIF($G73:$L73,"Oui"),2))),IF($F73="Montants convenus",IF(K73="Oui",Q73,0),"")))</f>
      </c>
      <c r="Y73" s="87" t="str">
        <f>IF(COUNTIF($A73:$S73,"&lt;&gt;")=0,"",IF($F73="À parts égales entre participants",IF(L73&lt;&gt;"Oui",0,IF(0=0,$D73-SUM($T73:X73),ROUND($D73/COUNTIF($G73:$L73,"Oui"),2))),IF($F73="Montants convenus",IF(L73="Oui",R73,0),"")))</f>
      </c>
      <c r="Z73" s="81" t="str">
        <f>IF(COUNTIF($A73:$S73,"&lt;&gt;")=0,"",IF(OR($D73="",$D73&lt;=0),"Saisissez un montant supérieur à zéro.",IF($E73="","Sélectionnez la personne qui a payé.",IF(COUNTIF($G73:$L73,"Oui")=0,"Sélectionnez au moins une personne participante.",IF($F73="À parts égales entre participants","Vérifié",IF($F73="Montants convenus",IF(OR(AND(G73="Oui",M73=""),AND(H73="Oui",N73=""),AND(I73="Oui",O73=""),AND(J73="Oui",P73=""),AND(K73="Oui",Q73=""),AND(L73="Oui",R73="")),"Saisissez les montants convenus pour que leur somme corresponde à la dépense.",IF(ABS(SUM($M73:$R73))&lt;0.005,"Saisissez les montants convenus pour que leur somme corresponde à la dépense.",IF(SUM($M73:$R73)&lt;$D73-0.005,"Montant restant à répartir : "&amp;ROUND($D73-SUM($M73:$R73),2)&amp;".",IF(SUM($M73:$R73)&gt;$D73+0.005,"Montant réparti en trop : "&amp;ROUND(SUM($M73:$R73)-$D73,2)&amp;".","Vérifié")))),"Saisissez les montants convenus pour que leur somme corresponde à la dépense."))))))</f>
      </c>
    </row>
    <row r="74">
      <c r="A74" s="83"/>
      <c r="B74" s="57"/>
      <c r="C74" s="57"/>
      <c r="D74" s="85"/>
      <c r="E74" s="57"/>
      <c r="F74" s="57"/>
      <c r="G74" s="57"/>
      <c r="H74" s="57"/>
      <c r="I74" s="57"/>
      <c r="J74" s="57"/>
      <c r="K74" s="57"/>
      <c r="L74" s="57"/>
      <c r="M74" s="85"/>
      <c r="N74" s="85"/>
      <c r="O74" s="85"/>
      <c r="P74" s="85"/>
      <c r="Q74" s="85"/>
      <c r="R74" s="85"/>
      <c r="S74" s="57"/>
      <c r="T74" s="87" t="str">
        <f>IF(COUNTIF($A74:$S74,"&lt;&gt;")=0,"",IF($F74="À parts égales entre participants",IF(G74&lt;&gt;"Oui",0,IF(COUNTIF($H74:$L74,"Oui")=0,$D74-0,ROUND($D74/COUNTIF($G74:$L74,"Oui"),2))),IF($F74="Montants convenus",IF(G74="Oui",M74,0),"")))</f>
      </c>
      <c r="U74" s="87" t="str">
        <f>IF(COUNTIF($A74:$S74,"&lt;&gt;")=0,"",IF($F74="À parts égales entre participants",IF(H74&lt;&gt;"Oui",0,IF(COUNTIF($I74:$L74,"Oui")=0,$D74-SUM($T74:T74),ROUND($D74/COUNTIF($G74:$L74,"Oui"),2))),IF($F74="Montants convenus",IF(H74="Oui",N74,0),"")))</f>
      </c>
      <c r="V74" s="87" t="str">
        <f>IF(COUNTIF($A74:$S74,"&lt;&gt;")=0,"",IF($F74="À parts égales entre participants",IF(I74&lt;&gt;"Oui",0,IF(COUNTIF($J74:$L74,"Oui")=0,$D74-SUM($T74:U74),ROUND($D74/COUNTIF($G74:$L74,"Oui"),2))),IF($F74="Montants convenus",IF(I74="Oui",O74,0),"")))</f>
      </c>
      <c r="W74" s="87" t="str">
        <f>IF(COUNTIF($A74:$S74,"&lt;&gt;")=0,"",IF($F74="À parts égales entre participants",IF(J74&lt;&gt;"Oui",0,IF(COUNTIF($K74:$L74,"Oui")=0,$D74-SUM($T74:V74),ROUND($D74/COUNTIF($G74:$L74,"Oui"),2))),IF($F74="Montants convenus",IF(J74="Oui",P74,0),"")))</f>
      </c>
      <c r="X74" s="87" t="str">
        <f>IF(COUNTIF($A74:$S74,"&lt;&gt;")=0,"",IF($F74="À parts égales entre participants",IF(K74&lt;&gt;"Oui",0,IF(COUNTIF($L74:$L74,"Oui")=0,$D74-SUM($T74:W74),ROUND($D74/COUNTIF($G74:$L74,"Oui"),2))),IF($F74="Montants convenus",IF(K74="Oui",Q74,0),"")))</f>
      </c>
      <c r="Y74" s="87" t="str">
        <f>IF(COUNTIF($A74:$S74,"&lt;&gt;")=0,"",IF($F74="À parts égales entre participants",IF(L74&lt;&gt;"Oui",0,IF(0=0,$D74-SUM($T74:X74),ROUND($D74/COUNTIF($G74:$L74,"Oui"),2))),IF($F74="Montants convenus",IF(L74="Oui",R74,0),"")))</f>
      </c>
      <c r="Z74" s="81" t="str">
        <f>IF(COUNTIF($A74:$S74,"&lt;&gt;")=0,"",IF(OR($D74="",$D74&lt;=0),"Saisissez un montant supérieur à zéro.",IF($E74="","Sélectionnez la personne qui a payé.",IF(COUNTIF($G74:$L74,"Oui")=0,"Sélectionnez au moins une personne participante.",IF($F74="À parts égales entre participants","Vérifié",IF($F74="Montants convenus",IF(OR(AND(G74="Oui",M74=""),AND(H74="Oui",N74=""),AND(I74="Oui",O74=""),AND(J74="Oui",P74=""),AND(K74="Oui",Q74=""),AND(L74="Oui",R74="")),"Saisissez les montants convenus pour que leur somme corresponde à la dépense.",IF(ABS(SUM($M74:$R74))&lt;0.005,"Saisissez les montants convenus pour que leur somme corresponde à la dépense.",IF(SUM($M74:$R74)&lt;$D74-0.005,"Montant restant à répartir : "&amp;ROUND($D74-SUM($M74:$R74),2)&amp;".",IF(SUM($M74:$R74)&gt;$D74+0.005,"Montant réparti en trop : "&amp;ROUND(SUM($M74:$R74)-$D74,2)&amp;".","Vérifié")))),"Saisissez les montants convenus pour que leur somme corresponde à la dépense."))))))</f>
      </c>
    </row>
    <row r="75">
      <c r="A75" s="83"/>
      <c r="B75" s="57"/>
      <c r="C75" s="57"/>
      <c r="D75" s="85"/>
      <c r="E75" s="57"/>
      <c r="F75" s="57"/>
      <c r="G75" s="57"/>
      <c r="H75" s="57"/>
      <c r="I75" s="57"/>
      <c r="J75" s="57"/>
      <c r="K75" s="57"/>
      <c r="L75" s="57"/>
      <c r="M75" s="85"/>
      <c r="N75" s="85"/>
      <c r="O75" s="85"/>
      <c r="P75" s="85"/>
      <c r="Q75" s="85"/>
      <c r="R75" s="85"/>
      <c r="S75" s="57"/>
      <c r="T75" s="87" t="str">
        <f>IF(COUNTIF($A75:$S75,"&lt;&gt;")=0,"",IF($F75="À parts égales entre participants",IF(G75&lt;&gt;"Oui",0,IF(COUNTIF($H75:$L75,"Oui")=0,$D75-0,ROUND($D75/COUNTIF($G75:$L75,"Oui"),2))),IF($F75="Montants convenus",IF(G75="Oui",M75,0),"")))</f>
      </c>
      <c r="U75" s="87" t="str">
        <f>IF(COUNTIF($A75:$S75,"&lt;&gt;")=0,"",IF($F75="À parts égales entre participants",IF(H75&lt;&gt;"Oui",0,IF(COUNTIF($I75:$L75,"Oui")=0,$D75-SUM($T75:T75),ROUND($D75/COUNTIF($G75:$L75,"Oui"),2))),IF($F75="Montants convenus",IF(H75="Oui",N75,0),"")))</f>
      </c>
      <c r="V75" s="87" t="str">
        <f>IF(COUNTIF($A75:$S75,"&lt;&gt;")=0,"",IF($F75="À parts égales entre participants",IF(I75&lt;&gt;"Oui",0,IF(COUNTIF($J75:$L75,"Oui")=0,$D75-SUM($T75:U75),ROUND($D75/COUNTIF($G75:$L75,"Oui"),2))),IF($F75="Montants convenus",IF(I75="Oui",O75,0),"")))</f>
      </c>
      <c r="W75" s="87" t="str">
        <f>IF(COUNTIF($A75:$S75,"&lt;&gt;")=0,"",IF($F75="À parts égales entre participants",IF(J75&lt;&gt;"Oui",0,IF(COUNTIF($K75:$L75,"Oui")=0,$D75-SUM($T75:V75),ROUND($D75/COUNTIF($G75:$L75,"Oui"),2))),IF($F75="Montants convenus",IF(J75="Oui",P75,0),"")))</f>
      </c>
      <c r="X75" s="87" t="str">
        <f>IF(COUNTIF($A75:$S75,"&lt;&gt;")=0,"",IF($F75="À parts égales entre participants",IF(K75&lt;&gt;"Oui",0,IF(COUNTIF($L75:$L75,"Oui")=0,$D75-SUM($T75:W75),ROUND($D75/COUNTIF($G75:$L75,"Oui"),2))),IF($F75="Montants convenus",IF(K75="Oui",Q75,0),"")))</f>
      </c>
      <c r="Y75" s="87" t="str">
        <f>IF(COUNTIF($A75:$S75,"&lt;&gt;")=0,"",IF($F75="À parts égales entre participants",IF(L75&lt;&gt;"Oui",0,IF(0=0,$D75-SUM($T75:X75),ROUND($D75/COUNTIF($G75:$L75,"Oui"),2))),IF($F75="Montants convenus",IF(L75="Oui",R75,0),"")))</f>
      </c>
      <c r="Z75" s="81" t="str">
        <f>IF(COUNTIF($A75:$S75,"&lt;&gt;")=0,"",IF(OR($D75="",$D75&lt;=0),"Saisissez un montant supérieur à zéro.",IF($E75="","Sélectionnez la personne qui a payé.",IF(COUNTIF($G75:$L75,"Oui")=0,"Sélectionnez au moins une personne participante.",IF($F75="À parts égales entre participants","Vérifié",IF($F75="Montants convenus",IF(OR(AND(G75="Oui",M75=""),AND(H75="Oui",N75=""),AND(I75="Oui",O75=""),AND(J75="Oui",P75=""),AND(K75="Oui",Q75=""),AND(L75="Oui",R75="")),"Saisissez les montants convenus pour que leur somme corresponde à la dépense.",IF(ABS(SUM($M75:$R75))&lt;0.005,"Saisissez les montants convenus pour que leur somme corresponde à la dépense.",IF(SUM($M75:$R75)&lt;$D75-0.005,"Montant restant à répartir : "&amp;ROUND($D75-SUM($M75:$R75),2)&amp;".",IF(SUM($M75:$R75)&gt;$D75+0.005,"Montant réparti en trop : "&amp;ROUND(SUM($M75:$R75)-$D75,2)&amp;".","Vérifié")))),"Saisissez les montants convenus pour que leur somme corresponde à la dépense."))))))</f>
      </c>
    </row>
    <row r="76">
      <c r="A76" s="83"/>
      <c r="B76" s="57"/>
      <c r="C76" s="57"/>
      <c r="D76" s="85"/>
      <c r="E76" s="57"/>
      <c r="F76" s="57"/>
      <c r="G76" s="57"/>
      <c r="H76" s="57"/>
      <c r="I76" s="57"/>
      <c r="J76" s="57"/>
      <c r="K76" s="57"/>
      <c r="L76" s="57"/>
      <c r="M76" s="85"/>
      <c r="N76" s="85"/>
      <c r="O76" s="85"/>
      <c r="P76" s="85"/>
      <c r="Q76" s="85"/>
      <c r="R76" s="85"/>
      <c r="S76" s="57"/>
      <c r="T76" s="87" t="str">
        <f>IF(COUNTIF($A76:$S76,"&lt;&gt;")=0,"",IF($F76="À parts égales entre participants",IF(G76&lt;&gt;"Oui",0,IF(COUNTIF($H76:$L76,"Oui")=0,$D76-0,ROUND($D76/COUNTIF($G76:$L76,"Oui"),2))),IF($F76="Montants convenus",IF(G76="Oui",M76,0),"")))</f>
      </c>
      <c r="U76" s="87" t="str">
        <f>IF(COUNTIF($A76:$S76,"&lt;&gt;")=0,"",IF($F76="À parts égales entre participants",IF(H76&lt;&gt;"Oui",0,IF(COUNTIF($I76:$L76,"Oui")=0,$D76-SUM($T76:T76),ROUND($D76/COUNTIF($G76:$L76,"Oui"),2))),IF($F76="Montants convenus",IF(H76="Oui",N76,0),"")))</f>
      </c>
      <c r="V76" s="87" t="str">
        <f>IF(COUNTIF($A76:$S76,"&lt;&gt;")=0,"",IF($F76="À parts égales entre participants",IF(I76&lt;&gt;"Oui",0,IF(COUNTIF($J76:$L76,"Oui")=0,$D76-SUM($T76:U76),ROUND($D76/COUNTIF($G76:$L76,"Oui"),2))),IF($F76="Montants convenus",IF(I76="Oui",O76,0),"")))</f>
      </c>
      <c r="W76" s="87" t="str">
        <f>IF(COUNTIF($A76:$S76,"&lt;&gt;")=0,"",IF($F76="À parts égales entre participants",IF(J76&lt;&gt;"Oui",0,IF(COUNTIF($K76:$L76,"Oui")=0,$D76-SUM($T76:V76),ROUND($D76/COUNTIF($G76:$L76,"Oui"),2))),IF($F76="Montants convenus",IF(J76="Oui",P76,0),"")))</f>
      </c>
      <c r="X76" s="87" t="str">
        <f>IF(COUNTIF($A76:$S76,"&lt;&gt;")=0,"",IF($F76="À parts égales entre participants",IF(K76&lt;&gt;"Oui",0,IF(COUNTIF($L76:$L76,"Oui")=0,$D76-SUM($T76:W76),ROUND($D76/COUNTIF($G76:$L76,"Oui"),2))),IF($F76="Montants convenus",IF(K76="Oui",Q76,0),"")))</f>
      </c>
      <c r="Y76" s="87" t="str">
        <f>IF(COUNTIF($A76:$S76,"&lt;&gt;")=0,"",IF($F76="À parts égales entre participants",IF(L76&lt;&gt;"Oui",0,IF(0=0,$D76-SUM($T76:X76),ROUND($D76/COUNTIF($G76:$L76,"Oui"),2))),IF($F76="Montants convenus",IF(L76="Oui",R76,0),"")))</f>
      </c>
      <c r="Z76" s="81" t="str">
        <f>IF(COUNTIF($A76:$S76,"&lt;&gt;")=0,"",IF(OR($D76="",$D76&lt;=0),"Saisissez un montant supérieur à zéro.",IF($E76="","Sélectionnez la personne qui a payé.",IF(COUNTIF($G76:$L76,"Oui")=0,"Sélectionnez au moins une personne participante.",IF($F76="À parts égales entre participants","Vérifié",IF($F76="Montants convenus",IF(OR(AND(G76="Oui",M76=""),AND(H76="Oui",N76=""),AND(I76="Oui",O76=""),AND(J76="Oui",P76=""),AND(K76="Oui",Q76=""),AND(L76="Oui",R76="")),"Saisissez les montants convenus pour que leur somme corresponde à la dépense.",IF(ABS(SUM($M76:$R76))&lt;0.005,"Saisissez les montants convenus pour que leur somme corresponde à la dépense.",IF(SUM($M76:$R76)&lt;$D76-0.005,"Montant restant à répartir : "&amp;ROUND($D76-SUM($M76:$R76),2)&amp;".",IF(SUM($M76:$R76)&gt;$D76+0.005,"Montant réparti en trop : "&amp;ROUND(SUM($M76:$R76)-$D76,2)&amp;".","Vérifié")))),"Saisissez les montants convenus pour que leur somme corresponde à la dépense."))))))</f>
      </c>
    </row>
    <row r="77">
      <c r="A77" s="83"/>
      <c r="B77" s="57"/>
      <c r="C77" s="57"/>
      <c r="D77" s="85"/>
      <c r="E77" s="57"/>
      <c r="F77" s="57"/>
      <c r="G77" s="57"/>
      <c r="H77" s="57"/>
      <c r="I77" s="57"/>
      <c r="J77" s="57"/>
      <c r="K77" s="57"/>
      <c r="L77" s="57"/>
      <c r="M77" s="85"/>
      <c r="N77" s="85"/>
      <c r="O77" s="85"/>
      <c r="P77" s="85"/>
      <c r="Q77" s="85"/>
      <c r="R77" s="85"/>
      <c r="S77" s="57"/>
      <c r="T77" s="87" t="str">
        <f>IF(COUNTIF($A77:$S77,"&lt;&gt;")=0,"",IF($F77="À parts égales entre participants",IF(G77&lt;&gt;"Oui",0,IF(COUNTIF($H77:$L77,"Oui")=0,$D77-0,ROUND($D77/COUNTIF($G77:$L77,"Oui"),2))),IF($F77="Montants convenus",IF(G77="Oui",M77,0),"")))</f>
      </c>
      <c r="U77" s="87" t="str">
        <f>IF(COUNTIF($A77:$S77,"&lt;&gt;")=0,"",IF($F77="À parts égales entre participants",IF(H77&lt;&gt;"Oui",0,IF(COUNTIF($I77:$L77,"Oui")=0,$D77-SUM($T77:T77),ROUND($D77/COUNTIF($G77:$L77,"Oui"),2))),IF($F77="Montants convenus",IF(H77="Oui",N77,0),"")))</f>
      </c>
      <c r="V77" s="87" t="str">
        <f>IF(COUNTIF($A77:$S77,"&lt;&gt;")=0,"",IF($F77="À parts égales entre participants",IF(I77&lt;&gt;"Oui",0,IF(COUNTIF($J77:$L77,"Oui")=0,$D77-SUM($T77:U77),ROUND($D77/COUNTIF($G77:$L77,"Oui"),2))),IF($F77="Montants convenus",IF(I77="Oui",O77,0),"")))</f>
      </c>
      <c r="W77" s="87" t="str">
        <f>IF(COUNTIF($A77:$S77,"&lt;&gt;")=0,"",IF($F77="À parts égales entre participants",IF(J77&lt;&gt;"Oui",0,IF(COUNTIF($K77:$L77,"Oui")=0,$D77-SUM($T77:V77),ROUND($D77/COUNTIF($G77:$L77,"Oui"),2))),IF($F77="Montants convenus",IF(J77="Oui",P77,0),"")))</f>
      </c>
      <c r="X77" s="87" t="str">
        <f>IF(COUNTIF($A77:$S77,"&lt;&gt;")=0,"",IF($F77="À parts égales entre participants",IF(K77&lt;&gt;"Oui",0,IF(COUNTIF($L77:$L77,"Oui")=0,$D77-SUM($T77:W77),ROUND($D77/COUNTIF($G77:$L77,"Oui"),2))),IF($F77="Montants convenus",IF(K77="Oui",Q77,0),"")))</f>
      </c>
      <c r="Y77" s="87" t="str">
        <f>IF(COUNTIF($A77:$S77,"&lt;&gt;")=0,"",IF($F77="À parts égales entre participants",IF(L77&lt;&gt;"Oui",0,IF(0=0,$D77-SUM($T77:X77),ROUND($D77/COUNTIF($G77:$L77,"Oui"),2))),IF($F77="Montants convenus",IF(L77="Oui",R77,0),"")))</f>
      </c>
      <c r="Z77" s="81" t="str">
        <f>IF(COUNTIF($A77:$S77,"&lt;&gt;")=0,"",IF(OR($D77="",$D77&lt;=0),"Saisissez un montant supérieur à zéro.",IF($E77="","Sélectionnez la personne qui a payé.",IF(COUNTIF($G77:$L77,"Oui")=0,"Sélectionnez au moins une personne participante.",IF($F77="À parts égales entre participants","Vérifié",IF($F77="Montants convenus",IF(OR(AND(G77="Oui",M77=""),AND(H77="Oui",N77=""),AND(I77="Oui",O77=""),AND(J77="Oui",P77=""),AND(K77="Oui",Q77=""),AND(L77="Oui",R77="")),"Saisissez les montants convenus pour que leur somme corresponde à la dépense.",IF(ABS(SUM($M77:$R77))&lt;0.005,"Saisissez les montants convenus pour que leur somme corresponde à la dépense.",IF(SUM($M77:$R77)&lt;$D77-0.005,"Montant restant à répartir : "&amp;ROUND($D77-SUM($M77:$R77),2)&amp;".",IF(SUM($M77:$R77)&gt;$D77+0.005,"Montant réparti en trop : "&amp;ROUND(SUM($M77:$R77)-$D77,2)&amp;".","Vérifié")))),"Saisissez les montants convenus pour que leur somme corresponde à la dépense."))))))</f>
      </c>
    </row>
    <row r="78">
      <c r="A78" s="83"/>
      <c r="B78" s="57"/>
      <c r="C78" s="57"/>
      <c r="D78" s="85"/>
      <c r="E78" s="57"/>
      <c r="F78" s="57"/>
      <c r="G78" s="57"/>
      <c r="H78" s="57"/>
      <c r="I78" s="57"/>
      <c r="J78" s="57"/>
      <c r="K78" s="57"/>
      <c r="L78" s="57"/>
      <c r="M78" s="85"/>
      <c r="N78" s="85"/>
      <c r="O78" s="85"/>
      <c r="P78" s="85"/>
      <c r="Q78" s="85"/>
      <c r="R78" s="85"/>
      <c r="S78" s="57"/>
      <c r="T78" s="87" t="str">
        <f>IF(COUNTIF($A78:$S78,"&lt;&gt;")=0,"",IF($F78="À parts égales entre participants",IF(G78&lt;&gt;"Oui",0,IF(COUNTIF($H78:$L78,"Oui")=0,$D78-0,ROUND($D78/COUNTIF($G78:$L78,"Oui"),2))),IF($F78="Montants convenus",IF(G78="Oui",M78,0),"")))</f>
      </c>
      <c r="U78" s="87" t="str">
        <f>IF(COUNTIF($A78:$S78,"&lt;&gt;")=0,"",IF($F78="À parts égales entre participants",IF(H78&lt;&gt;"Oui",0,IF(COUNTIF($I78:$L78,"Oui")=0,$D78-SUM($T78:T78),ROUND($D78/COUNTIF($G78:$L78,"Oui"),2))),IF($F78="Montants convenus",IF(H78="Oui",N78,0),"")))</f>
      </c>
      <c r="V78" s="87" t="str">
        <f>IF(COUNTIF($A78:$S78,"&lt;&gt;")=0,"",IF($F78="À parts égales entre participants",IF(I78&lt;&gt;"Oui",0,IF(COUNTIF($J78:$L78,"Oui")=0,$D78-SUM($T78:U78),ROUND($D78/COUNTIF($G78:$L78,"Oui"),2))),IF($F78="Montants convenus",IF(I78="Oui",O78,0),"")))</f>
      </c>
      <c r="W78" s="87" t="str">
        <f>IF(COUNTIF($A78:$S78,"&lt;&gt;")=0,"",IF($F78="À parts égales entre participants",IF(J78&lt;&gt;"Oui",0,IF(COUNTIF($K78:$L78,"Oui")=0,$D78-SUM($T78:V78),ROUND($D78/COUNTIF($G78:$L78,"Oui"),2))),IF($F78="Montants convenus",IF(J78="Oui",P78,0),"")))</f>
      </c>
      <c r="X78" s="87" t="str">
        <f>IF(COUNTIF($A78:$S78,"&lt;&gt;")=0,"",IF($F78="À parts égales entre participants",IF(K78&lt;&gt;"Oui",0,IF(COUNTIF($L78:$L78,"Oui")=0,$D78-SUM($T78:W78),ROUND($D78/COUNTIF($G78:$L78,"Oui"),2))),IF($F78="Montants convenus",IF(K78="Oui",Q78,0),"")))</f>
      </c>
      <c r="Y78" s="87" t="str">
        <f>IF(COUNTIF($A78:$S78,"&lt;&gt;")=0,"",IF($F78="À parts égales entre participants",IF(L78&lt;&gt;"Oui",0,IF(0=0,$D78-SUM($T78:X78),ROUND($D78/COUNTIF($G78:$L78,"Oui"),2))),IF($F78="Montants convenus",IF(L78="Oui",R78,0),"")))</f>
      </c>
      <c r="Z78" s="81" t="str">
        <f>IF(COUNTIF($A78:$S78,"&lt;&gt;")=0,"",IF(OR($D78="",$D78&lt;=0),"Saisissez un montant supérieur à zéro.",IF($E78="","Sélectionnez la personne qui a payé.",IF(COUNTIF($G78:$L78,"Oui")=0,"Sélectionnez au moins une personne participante.",IF($F78="À parts égales entre participants","Vérifié",IF($F78="Montants convenus",IF(OR(AND(G78="Oui",M78=""),AND(H78="Oui",N78=""),AND(I78="Oui",O78=""),AND(J78="Oui",P78=""),AND(K78="Oui",Q78=""),AND(L78="Oui",R78="")),"Saisissez les montants convenus pour que leur somme corresponde à la dépense.",IF(ABS(SUM($M78:$R78))&lt;0.005,"Saisissez les montants convenus pour que leur somme corresponde à la dépense.",IF(SUM($M78:$R78)&lt;$D78-0.005,"Montant restant à répartir : "&amp;ROUND($D78-SUM($M78:$R78),2)&amp;".",IF(SUM($M78:$R78)&gt;$D78+0.005,"Montant réparti en trop : "&amp;ROUND(SUM($M78:$R78)-$D78,2)&amp;".","Vérifié")))),"Saisissez les montants convenus pour que leur somme corresponde à la dépense."))))))</f>
      </c>
    </row>
    <row r="79">
      <c r="A79" s="83"/>
      <c r="B79" s="57"/>
      <c r="C79" s="57"/>
      <c r="D79" s="85"/>
      <c r="E79" s="57"/>
      <c r="F79" s="57"/>
      <c r="G79" s="57"/>
      <c r="H79" s="57"/>
      <c r="I79" s="57"/>
      <c r="J79" s="57"/>
      <c r="K79" s="57"/>
      <c r="L79" s="57"/>
      <c r="M79" s="85"/>
      <c r="N79" s="85"/>
      <c r="O79" s="85"/>
      <c r="P79" s="85"/>
      <c r="Q79" s="85"/>
      <c r="R79" s="85"/>
      <c r="S79" s="57"/>
      <c r="T79" s="87" t="str">
        <f>IF(COUNTIF($A79:$S79,"&lt;&gt;")=0,"",IF($F79="À parts égales entre participants",IF(G79&lt;&gt;"Oui",0,IF(COUNTIF($H79:$L79,"Oui")=0,$D79-0,ROUND($D79/COUNTIF($G79:$L79,"Oui"),2))),IF($F79="Montants convenus",IF(G79="Oui",M79,0),"")))</f>
      </c>
      <c r="U79" s="87" t="str">
        <f>IF(COUNTIF($A79:$S79,"&lt;&gt;")=0,"",IF($F79="À parts égales entre participants",IF(H79&lt;&gt;"Oui",0,IF(COUNTIF($I79:$L79,"Oui")=0,$D79-SUM($T79:T79),ROUND($D79/COUNTIF($G79:$L79,"Oui"),2))),IF($F79="Montants convenus",IF(H79="Oui",N79,0),"")))</f>
      </c>
      <c r="V79" s="87" t="str">
        <f>IF(COUNTIF($A79:$S79,"&lt;&gt;")=0,"",IF($F79="À parts égales entre participants",IF(I79&lt;&gt;"Oui",0,IF(COUNTIF($J79:$L79,"Oui")=0,$D79-SUM($T79:U79),ROUND($D79/COUNTIF($G79:$L79,"Oui"),2))),IF($F79="Montants convenus",IF(I79="Oui",O79,0),"")))</f>
      </c>
      <c r="W79" s="87" t="str">
        <f>IF(COUNTIF($A79:$S79,"&lt;&gt;")=0,"",IF($F79="À parts égales entre participants",IF(J79&lt;&gt;"Oui",0,IF(COUNTIF($K79:$L79,"Oui")=0,$D79-SUM($T79:V79),ROUND($D79/COUNTIF($G79:$L79,"Oui"),2))),IF($F79="Montants convenus",IF(J79="Oui",P79,0),"")))</f>
      </c>
      <c r="X79" s="87" t="str">
        <f>IF(COUNTIF($A79:$S79,"&lt;&gt;")=0,"",IF($F79="À parts égales entre participants",IF(K79&lt;&gt;"Oui",0,IF(COUNTIF($L79:$L79,"Oui")=0,$D79-SUM($T79:W79),ROUND($D79/COUNTIF($G79:$L79,"Oui"),2))),IF($F79="Montants convenus",IF(K79="Oui",Q79,0),"")))</f>
      </c>
      <c r="Y79" s="87" t="str">
        <f>IF(COUNTIF($A79:$S79,"&lt;&gt;")=0,"",IF($F79="À parts égales entre participants",IF(L79&lt;&gt;"Oui",0,IF(0=0,$D79-SUM($T79:X79),ROUND($D79/COUNTIF($G79:$L79,"Oui"),2))),IF($F79="Montants convenus",IF(L79="Oui",R79,0),"")))</f>
      </c>
      <c r="Z79" s="81" t="str">
        <f>IF(COUNTIF($A79:$S79,"&lt;&gt;")=0,"",IF(OR($D79="",$D79&lt;=0),"Saisissez un montant supérieur à zéro.",IF($E79="","Sélectionnez la personne qui a payé.",IF(COUNTIF($G79:$L79,"Oui")=0,"Sélectionnez au moins une personne participante.",IF($F79="À parts égales entre participants","Vérifié",IF($F79="Montants convenus",IF(OR(AND(G79="Oui",M79=""),AND(H79="Oui",N79=""),AND(I79="Oui",O79=""),AND(J79="Oui",P79=""),AND(K79="Oui",Q79=""),AND(L79="Oui",R79="")),"Saisissez les montants convenus pour que leur somme corresponde à la dépense.",IF(ABS(SUM($M79:$R79))&lt;0.005,"Saisissez les montants convenus pour que leur somme corresponde à la dépense.",IF(SUM($M79:$R79)&lt;$D79-0.005,"Montant restant à répartir : "&amp;ROUND($D79-SUM($M79:$R79),2)&amp;".",IF(SUM($M79:$R79)&gt;$D79+0.005,"Montant réparti en trop : "&amp;ROUND(SUM($M79:$R79)-$D79,2)&amp;".","Vérifié")))),"Saisissez les montants convenus pour que leur somme corresponde à la dépense."))))))</f>
      </c>
    </row>
    <row r="80">
      <c r="A80" s="83"/>
      <c r="B80" s="57"/>
      <c r="C80" s="57"/>
      <c r="D80" s="85"/>
      <c r="E80" s="57"/>
      <c r="F80" s="57"/>
      <c r="G80" s="57"/>
      <c r="H80" s="57"/>
      <c r="I80" s="57"/>
      <c r="J80" s="57"/>
      <c r="K80" s="57"/>
      <c r="L80" s="57"/>
      <c r="M80" s="85"/>
      <c r="N80" s="85"/>
      <c r="O80" s="85"/>
      <c r="P80" s="85"/>
      <c r="Q80" s="85"/>
      <c r="R80" s="85"/>
      <c r="S80" s="57"/>
      <c r="T80" s="87" t="str">
        <f>IF(COUNTIF($A80:$S80,"&lt;&gt;")=0,"",IF($F80="À parts égales entre participants",IF(G80&lt;&gt;"Oui",0,IF(COUNTIF($H80:$L80,"Oui")=0,$D80-0,ROUND($D80/COUNTIF($G80:$L80,"Oui"),2))),IF($F80="Montants convenus",IF(G80="Oui",M80,0),"")))</f>
      </c>
      <c r="U80" s="87" t="str">
        <f>IF(COUNTIF($A80:$S80,"&lt;&gt;")=0,"",IF($F80="À parts égales entre participants",IF(H80&lt;&gt;"Oui",0,IF(COUNTIF($I80:$L80,"Oui")=0,$D80-SUM($T80:T80),ROUND($D80/COUNTIF($G80:$L80,"Oui"),2))),IF($F80="Montants convenus",IF(H80="Oui",N80,0),"")))</f>
      </c>
      <c r="V80" s="87" t="str">
        <f>IF(COUNTIF($A80:$S80,"&lt;&gt;")=0,"",IF($F80="À parts égales entre participants",IF(I80&lt;&gt;"Oui",0,IF(COUNTIF($J80:$L80,"Oui")=0,$D80-SUM($T80:U80),ROUND($D80/COUNTIF($G80:$L80,"Oui"),2))),IF($F80="Montants convenus",IF(I80="Oui",O80,0),"")))</f>
      </c>
      <c r="W80" s="87" t="str">
        <f>IF(COUNTIF($A80:$S80,"&lt;&gt;")=0,"",IF($F80="À parts égales entre participants",IF(J80&lt;&gt;"Oui",0,IF(COUNTIF($K80:$L80,"Oui")=0,$D80-SUM($T80:V80),ROUND($D80/COUNTIF($G80:$L80,"Oui"),2))),IF($F80="Montants convenus",IF(J80="Oui",P80,0),"")))</f>
      </c>
      <c r="X80" s="87" t="str">
        <f>IF(COUNTIF($A80:$S80,"&lt;&gt;")=0,"",IF($F80="À parts égales entre participants",IF(K80&lt;&gt;"Oui",0,IF(COUNTIF($L80:$L80,"Oui")=0,$D80-SUM($T80:W80),ROUND($D80/COUNTIF($G80:$L80,"Oui"),2))),IF($F80="Montants convenus",IF(K80="Oui",Q80,0),"")))</f>
      </c>
      <c r="Y80" s="87" t="str">
        <f>IF(COUNTIF($A80:$S80,"&lt;&gt;")=0,"",IF($F80="À parts égales entre participants",IF(L80&lt;&gt;"Oui",0,IF(0=0,$D80-SUM($T80:X80),ROUND($D80/COUNTIF($G80:$L80,"Oui"),2))),IF($F80="Montants convenus",IF(L80="Oui",R80,0),"")))</f>
      </c>
      <c r="Z80" s="81" t="str">
        <f>IF(COUNTIF($A80:$S80,"&lt;&gt;")=0,"",IF(OR($D80="",$D80&lt;=0),"Saisissez un montant supérieur à zéro.",IF($E80="","Sélectionnez la personne qui a payé.",IF(COUNTIF($G80:$L80,"Oui")=0,"Sélectionnez au moins une personne participante.",IF($F80="À parts égales entre participants","Vérifié",IF($F80="Montants convenus",IF(OR(AND(G80="Oui",M80=""),AND(H80="Oui",N80=""),AND(I80="Oui",O80=""),AND(J80="Oui",P80=""),AND(K80="Oui",Q80=""),AND(L80="Oui",R80="")),"Saisissez les montants convenus pour que leur somme corresponde à la dépense.",IF(ABS(SUM($M80:$R80))&lt;0.005,"Saisissez les montants convenus pour que leur somme corresponde à la dépense.",IF(SUM($M80:$R80)&lt;$D80-0.005,"Montant restant à répartir : "&amp;ROUND($D80-SUM($M80:$R80),2)&amp;".",IF(SUM($M80:$R80)&gt;$D80+0.005,"Montant réparti en trop : "&amp;ROUND(SUM($M80:$R80)-$D80,2)&amp;".","Vérifié")))),"Saisissez les montants convenus pour que leur somme corresponde à la dépense."))))))</f>
      </c>
    </row>
    <row r="81">
      <c r="A81" s="83"/>
      <c r="B81" s="57"/>
      <c r="C81" s="57"/>
      <c r="D81" s="85"/>
      <c r="E81" s="57"/>
      <c r="F81" s="57"/>
      <c r="G81" s="57"/>
      <c r="H81" s="57"/>
      <c r="I81" s="57"/>
      <c r="J81" s="57"/>
      <c r="K81" s="57"/>
      <c r="L81" s="57"/>
      <c r="M81" s="85"/>
      <c r="N81" s="85"/>
      <c r="O81" s="85"/>
      <c r="P81" s="85"/>
      <c r="Q81" s="85"/>
      <c r="R81" s="85"/>
      <c r="S81" s="57"/>
      <c r="T81" s="87" t="str">
        <f>IF(COUNTIF($A81:$S81,"&lt;&gt;")=0,"",IF($F81="À parts égales entre participants",IF(G81&lt;&gt;"Oui",0,IF(COUNTIF($H81:$L81,"Oui")=0,$D81-0,ROUND($D81/COUNTIF($G81:$L81,"Oui"),2))),IF($F81="Montants convenus",IF(G81="Oui",M81,0),"")))</f>
      </c>
      <c r="U81" s="87" t="str">
        <f>IF(COUNTIF($A81:$S81,"&lt;&gt;")=0,"",IF($F81="À parts égales entre participants",IF(H81&lt;&gt;"Oui",0,IF(COUNTIF($I81:$L81,"Oui")=0,$D81-SUM($T81:T81),ROUND($D81/COUNTIF($G81:$L81,"Oui"),2))),IF($F81="Montants convenus",IF(H81="Oui",N81,0),"")))</f>
      </c>
      <c r="V81" s="87" t="str">
        <f>IF(COUNTIF($A81:$S81,"&lt;&gt;")=0,"",IF($F81="À parts égales entre participants",IF(I81&lt;&gt;"Oui",0,IF(COUNTIF($J81:$L81,"Oui")=0,$D81-SUM($T81:U81),ROUND($D81/COUNTIF($G81:$L81,"Oui"),2))),IF($F81="Montants convenus",IF(I81="Oui",O81,0),"")))</f>
      </c>
      <c r="W81" s="87" t="str">
        <f>IF(COUNTIF($A81:$S81,"&lt;&gt;")=0,"",IF($F81="À parts égales entre participants",IF(J81&lt;&gt;"Oui",0,IF(COUNTIF($K81:$L81,"Oui")=0,$D81-SUM($T81:V81),ROUND($D81/COUNTIF($G81:$L81,"Oui"),2))),IF($F81="Montants convenus",IF(J81="Oui",P81,0),"")))</f>
      </c>
      <c r="X81" s="87" t="str">
        <f>IF(COUNTIF($A81:$S81,"&lt;&gt;")=0,"",IF($F81="À parts égales entre participants",IF(K81&lt;&gt;"Oui",0,IF(COUNTIF($L81:$L81,"Oui")=0,$D81-SUM($T81:W81),ROUND($D81/COUNTIF($G81:$L81,"Oui"),2))),IF($F81="Montants convenus",IF(K81="Oui",Q81,0),"")))</f>
      </c>
      <c r="Y81" s="87" t="str">
        <f>IF(COUNTIF($A81:$S81,"&lt;&gt;")=0,"",IF($F81="À parts égales entre participants",IF(L81&lt;&gt;"Oui",0,IF(0=0,$D81-SUM($T81:X81),ROUND($D81/COUNTIF($G81:$L81,"Oui"),2))),IF($F81="Montants convenus",IF(L81="Oui",R81,0),"")))</f>
      </c>
      <c r="Z81" s="81" t="str">
        <f>IF(COUNTIF($A81:$S81,"&lt;&gt;")=0,"",IF(OR($D81="",$D81&lt;=0),"Saisissez un montant supérieur à zéro.",IF($E81="","Sélectionnez la personne qui a payé.",IF(COUNTIF($G81:$L81,"Oui")=0,"Sélectionnez au moins une personne participante.",IF($F81="À parts égales entre participants","Vérifié",IF($F81="Montants convenus",IF(OR(AND(G81="Oui",M81=""),AND(H81="Oui",N81=""),AND(I81="Oui",O81=""),AND(J81="Oui",P81=""),AND(K81="Oui",Q81=""),AND(L81="Oui",R81="")),"Saisissez les montants convenus pour que leur somme corresponde à la dépense.",IF(ABS(SUM($M81:$R81))&lt;0.005,"Saisissez les montants convenus pour que leur somme corresponde à la dépense.",IF(SUM($M81:$R81)&lt;$D81-0.005,"Montant restant à répartir : "&amp;ROUND($D81-SUM($M81:$R81),2)&amp;".",IF(SUM($M81:$R81)&gt;$D81+0.005,"Montant réparti en trop : "&amp;ROUND(SUM($M81:$R81)-$D81,2)&amp;".","Vérifié")))),"Saisissez les montants convenus pour que leur somme corresponde à la dépense."))))))</f>
      </c>
    </row>
    <row r="82">
      <c r="A82" s="83"/>
      <c r="B82" s="57"/>
      <c r="C82" s="57"/>
      <c r="D82" s="85"/>
      <c r="E82" s="57"/>
      <c r="F82" s="57"/>
      <c r="G82" s="57"/>
      <c r="H82" s="57"/>
      <c r="I82" s="57"/>
      <c r="J82" s="57"/>
      <c r="K82" s="57"/>
      <c r="L82" s="57"/>
      <c r="M82" s="85"/>
      <c r="N82" s="85"/>
      <c r="O82" s="85"/>
      <c r="P82" s="85"/>
      <c r="Q82" s="85"/>
      <c r="R82" s="85"/>
      <c r="S82" s="57"/>
      <c r="T82" s="87" t="str">
        <f>IF(COUNTIF($A82:$S82,"&lt;&gt;")=0,"",IF($F82="À parts égales entre participants",IF(G82&lt;&gt;"Oui",0,IF(COUNTIF($H82:$L82,"Oui")=0,$D82-0,ROUND($D82/COUNTIF($G82:$L82,"Oui"),2))),IF($F82="Montants convenus",IF(G82="Oui",M82,0),"")))</f>
      </c>
      <c r="U82" s="87" t="str">
        <f>IF(COUNTIF($A82:$S82,"&lt;&gt;")=0,"",IF($F82="À parts égales entre participants",IF(H82&lt;&gt;"Oui",0,IF(COUNTIF($I82:$L82,"Oui")=0,$D82-SUM($T82:T82),ROUND($D82/COUNTIF($G82:$L82,"Oui"),2))),IF($F82="Montants convenus",IF(H82="Oui",N82,0),"")))</f>
      </c>
      <c r="V82" s="87" t="str">
        <f>IF(COUNTIF($A82:$S82,"&lt;&gt;")=0,"",IF($F82="À parts égales entre participants",IF(I82&lt;&gt;"Oui",0,IF(COUNTIF($J82:$L82,"Oui")=0,$D82-SUM($T82:U82),ROUND($D82/COUNTIF($G82:$L82,"Oui"),2))),IF($F82="Montants convenus",IF(I82="Oui",O82,0),"")))</f>
      </c>
      <c r="W82" s="87" t="str">
        <f>IF(COUNTIF($A82:$S82,"&lt;&gt;")=0,"",IF($F82="À parts égales entre participants",IF(J82&lt;&gt;"Oui",0,IF(COUNTIF($K82:$L82,"Oui")=0,$D82-SUM($T82:V82),ROUND($D82/COUNTIF($G82:$L82,"Oui"),2))),IF($F82="Montants convenus",IF(J82="Oui",P82,0),"")))</f>
      </c>
      <c r="X82" s="87" t="str">
        <f>IF(COUNTIF($A82:$S82,"&lt;&gt;")=0,"",IF($F82="À parts égales entre participants",IF(K82&lt;&gt;"Oui",0,IF(COUNTIF($L82:$L82,"Oui")=0,$D82-SUM($T82:W82),ROUND($D82/COUNTIF($G82:$L82,"Oui"),2))),IF($F82="Montants convenus",IF(K82="Oui",Q82,0),"")))</f>
      </c>
      <c r="Y82" s="87" t="str">
        <f>IF(COUNTIF($A82:$S82,"&lt;&gt;")=0,"",IF($F82="À parts égales entre participants",IF(L82&lt;&gt;"Oui",0,IF(0=0,$D82-SUM($T82:X82),ROUND($D82/COUNTIF($G82:$L82,"Oui"),2))),IF($F82="Montants convenus",IF(L82="Oui",R82,0),"")))</f>
      </c>
      <c r="Z82" s="81" t="str">
        <f>IF(COUNTIF($A82:$S82,"&lt;&gt;")=0,"",IF(OR($D82="",$D82&lt;=0),"Saisissez un montant supérieur à zéro.",IF($E82="","Sélectionnez la personne qui a payé.",IF(COUNTIF($G82:$L82,"Oui")=0,"Sélectionnez au moins une personne participante.",IF($F82="À parts égales entre participants","Vérifié",IF($F82="Montants convenus",IF(OR(AND(G82="Oui",M82=""),AND(H82="Oui",N82=""),AND(I82="Oui",O82=""),AND(J82="Oui",P82=""),AND(K82="Oui",Q82=""),AND(L82="Oui",R82="")),"Saisissez les montants convenus pour que leur somme corresponde à la dépense.",IF(ABS(SUM($M82:$R82))&lt;0.005,"Saisissez les montants convenus pour que leur somme corresponde à la dépense.",IF(SUM($M82:$R82)&lt;$D82-0.005,"Montant restant à répartir : "&amp;ROUND($D82-SUM($M82:$R82),2)&amp;".",IF(SUM($M82:$R82)&gt;$D82+0.005,"Montant réparti en trop : "&amp;ROUND(SUM($M82:$R82)-$D82,2)&amp;".","Vérifié")))),"Saisissez les montants convenus pour que leur somme corresponde à la dépense."))))))</f>
      </c>
    </row>
    <row r="83">
      <c r="A83" s="83"/>
      <c r="B83" s="57"/>
      <c r="C83" s="57"/>
      <c r="D83" s="85"/>
      <c r="E83" s="57"/>
      <c r="F83" s="57"/>
      <c r="G83" s="57"/>
      <c r="H83" s="57"/>
      <c r="I83" s="57"/>
      <c r="J83" s="57"/>
      <c r="K83" s="57"/>
      <c r="L83" s="57"/>
      <c r="M83" s="85"/>
      <c r="N83" s="85"/>
      <c r="O83" s="85"/>
      <c r="P83" s="85"/>
      <c r="Q83" s="85"/>
      <c r="R83" s="85"/>
      <c r="S83" s="57"/>
      <c r="T83" s="87" t="str">
        <f>IF(COUNTIF($A83:$S83,"&lt;&gt;")=0,"",IF($F83="À parts égales entre participants",IF(G83&lt;&gt;"Oui",0,IF(COUNTIF($H83:$L83,"Oui")=0,$D83-0,ROUND($D83/COUNTIF($G83:$L83,"Oui"),2))),IF($F83="Montants convenus",IF(G83="Oui",M83,0),"")))</f>
      </c>
      <c r="U83" s="87" t="str">
        <f>IF(COUNTIF($A83:$S83,"&lt;&gt;")=0,"",IF($F83="À parts égales entre participants",IF(H83&lt;&gt;"Oui",0,IF(COUNTIF($I83:$L83,"Oui")=0,$D83-SUM($T83:T83),ROUND($D83/COUNTIF($G83:$L83,"Oui"),2))),IF($F83="Montants convenus",IF(H83="Oui",N83,0),"")))</f>
      </c>
      <c r="V83" s="87" t="str">
        <f>IF(COUNTIF($A83:$S83,"&lt;&gt;")=0,"",IF($F83="À parts égales entre participants",IF(I83&lt;&gt;"Oui",0,IF(COUNTIF($J83:$L83,"Oui")=0,$D83-SUM($T83:U83),ROUND($D83/COUNTIF($G83:$L83,"Oui"),2))),IF($F83="Montants convenus",IF(I83="Oui",O83,0),"")))</f>
      </c>
      <c r="W83" s="87" t="str">
        <f>IF(COUNTIF($A83:$S83,"&lt;&gt;")=0,"",IF($F83="À parts égales entre participants",IF(J83&lt;&gt;"Oui",0,IF(COUNTIF($K83:$L83,"Oui")=0,$D83-SUM($T83:V83),ROUND($D83/COUNTIF($G83:$L83,"Oui"),2))),IF($F83="Montants convenus",IF(J83="Oui",P83,0),"")))</f>
      </c>
      <c r="X83" s="87" t="str">
        <f>IF(COUNTIF($A83:$S83,"&lt;&gt;")=0,"",IF($F83="À parts égales entre participants",IF(K83&lt;&gt;"Oui",0,IF(COUNTIF($L83:$L83,"Oui")=0,$D83-SUM($T83:W83),ROUND($D83/COUNTIF($G83:$L83,"Oui"),2))),IF($F83="Montants convenus",IF(K83="Oui",Q83,0),"")))</f>
      </c>
      <c r="Y83" s="87" t="str">
        <f>IF(COUNTIF($A83:$S83,"&lt;&gt;")=0,"",IF($F83="À parts égales entre participants",IF(L83&lt;&gt;"Oui",0,IF(0=0,$D83-SUM($T83:X83),ROUND($D83/COUNTIF($G83:$L83,"Oui"),2))),IF($F83="Montants convenus",IF(L83="Oui",R83,0),"")))</f>
      </c>
      <c r="Z83" s="81" t="str">
        <f>IF(COUNTIF($A83:$S83,"&lt;&gt;")=0,"",IF(OR($D83="",$D83&lt;=0),"Saisissez un montant supérieur à zéro.",IF($E83="","Sélectionnez la personne qui a payé.",IF(COUNTIF($G83:$L83,"Oui")=0,"Sélectionnez au moins une personne participante.",IF($F83="À parts égales entre participants","Vérifié",IF($F83="Montants convenus",IF(OR(AND(G83="Oui",M83=""),AND(H83="Oui",N83=""),AND(I83="Oui",O83=""),AND(J83="Oui",P83=""),AND(K83="Oui",Q83=""),AND(L83="Oui",R83="")),"Saisissez les montants convenus pour que leur somme corresponde à la dépense.",IF(ABS(SUM($M83:$R83))&lt;0.005,"Saisissez les montants convenus pour que leur somme corresponde à la dépense.",IF(SUM($M83:$R83)&lt;$D83-0.005,"Montant restant à répartir : "&amp;ROUND($D83-SUM($M83:$R83),2)&amp;".",IF(SUM($M83:$R83)&gt;$D83+0.005,"Montant réparti en trop : "&amp;ROUND(SUM($M83:$R83)-$D83,2)&amp;".","Vérifié")))),"Saisissez les montants convenus pour que leur somme corresponde à la dépense."))))))</f>
      </c>
    </row>
    <row r="84">
      <c r="A84" s="83"/>
      <c r="B84" s="57"/>
      <c r="C84" s="57"/>
      <c r="D84" s="85"/>
      <c r="E84" s="57"/>
      <c r="F84" s="57"/>
      <c r="G84" s="57"/>
      <c r="H84" s="57"/>
      <c r="I84" s="57"/>
      <c r="J84" s="57"/>
      <c r="K84" s="57"/>
      <c r="L84" s="57"/>
      <c r="M84" s="85"/>
      <c r="N84" s="85"/>
      <c r="O84" s="85"/>
      <c r="P84" s="85"/>
      <c r="Q84" s="85"/>
      <c r="R84" s="85"/>
      <c r="S84" s="57"/>
      <c r="T84" s="87" t="str">
        <f>IF(COUNTIF($A84:$S84,"&lt;&gt;")=0,"",IF($F84="À parts égales entre participants",IF(G84&lt;&gt;"Oui",0,IF(COUNTIF($H84:$L84,"Oui")=0,$D84-0,ROUND($D84/COUNTIF($G84:$L84,"Oui"),2))),IF($F84="Montants convenus",IF(G84="Oui",M84,0),"")))</f>
      </c>
      <c r="U84" s="87" t="str">
        <f>IF(COUNTIF($A84:$S84,"&lt;&gt;")=0,"",IF($F84="À parts égales entre participants",IF(H84&lt;&gt;"Oui",0,IF(COUNTIF($I84:$L84,"Oui")=0,$D84-SUM($T84:T84),ROUND($D84/COUNTIF($G84:$L84,"Oui"),2))),IF($F84="Montants convenus",IF(H84="Oui",N84,0),"")))</f>
      </c>
      <c r="V84" s="87" t="str">
        <f>IF(COUNTIF($A84:$S84,"&lt;&gt;")=0,"",IF($F84="À parts égales entre participants",IF(I84&lt;&gt;"Oui",0,IF(COUNTIF($J84:$L84,"Oui")=0,$D84-SUM($T84:U84),ROUND($D84/COUNTIF($G84:$L84,"Oui"),2))),IF($F84="Montants convenus",IF(I84="Oui",O84,0),"")))</f>
      </c>
      <c r="W84" s="87" t="str">
        <f>IF(COUNTIF($A84:$S84,"&lt;&gt;")=0,"",IF($F84="À parts égales entre participants",IF(J84&lt;&gt;"Oui",0,IF(COUNTIF($K84:$L84,"Oui")=0,$D84-SUM($T84:V84),ROUND($D84/COUNTIF($G84:$L84,"Oui"),2))),IF($F84="Montants convenus",IF(J84="Oui",P84,0),"")))</f>
      </c>
      <c r="X84" s="87" t="str">
        <f>IF(COUNTIF($A84:$S84,"&lt;&gt;")=0,"",IF($F84="À parts égales entre participants",IF(K84&lt;&gt;"Oui",0,IF(COUNTIF($L84:$L84,"Oui")=0,$D84-SUM($T84:W84),ROUND($D84/COUNTIF($G84:$L84,"Oui"),2))),IF($F84="Montants convenus",IF(K84="Oui",Q84,0),"")))</f>
      </c>
      <c r="Y84" s="87" t="str">
        <f>IF(COUNTIF($A84:$S84,"&lt;&gt;")=0,"",IF($F84="À parts égales entre participants",IF(L84&lt;&gt;"Oui",0,IF(0=0,$D84-SUM($T84:X84),ROUND($D84/COUNTIF($G84:$L84,"Oui"),2))),IF($F84="Montants convenus",IF(L84="Oui",R84,0),"")))</f>
      </c>
      <c r="Z84" s="81" t="str">
        <f>IF(COUNTIF($A84:$S84,"&lt;&gt;")=0,"",IF(OR($D84="",$D84&lt;=0),"Saisissez un montant supérieur à zéro.",IF($E84="","Sélectionnez la personne qui a payé.",IF(COUNTIF($G84:$L84,"Oui")=0,"Sélectionnez au moins une personne participante.",IF($F84="À parts égales entre participants","Vérifié",IF($F84="Montants convenus",IF(OR(AND(G84="Oui",M84=""),AND(H84="Oui",N84=""),AND(I84="Oui",O84=""),AND(J84="Oui",P84=""),AND(K84="Oui",Q84=""),AND(L84="Oui",R84="")),"Saisissez les montants convenus pour que leur somme corresponde à la dépense.",IF(ABS(SUM($M84:$R84))&lt;0.005,"Saisissez les montants convenus pour que leur somme corresponde à la dépense.",IF(SUM($M84:$R84)&lt;$D84-0.005,"Montant restant à répartir : "&amp;ROUND($D84-SUM($M84:$R84),2)&amp;".",IF(SUM($M84:$R84)&gt;$D84+0.005,"Montant réparti en trop : "&amp;ROUND(SUM($M84:$R84)-$D84,2)&amp;".","Vérifié")))),"Saisissez les montants convenus pour que leur somme corresponde à la dépense."))))))</f>
      </c>
    </row>
    <row r="85">
      <c r="A85" s="83"/>
      <c r="B85" s="57"/>
      <c r="C85" s="57"/>
      <c r="D85" s="85"/>
      <c r="E85" s="57"/>
      <c r="F85" s="57"/>
      <c r="G85" s="57"/>
      <c r="H85" s="57"/>
      <c r="I85" s="57"/>
      <c r="J85" s="57"/>
      <c r="K85" s="57"/>
      <c r="L85" s="57"/>
      <c r="M85" s="85"/>
      <c r="N85" s="85"/>
      <c r="O85" s="85"/>
      <c r="P85" s="85"/>
      <c r="Q85" s="85"/>
      <c r="R85" s="85"/>
      <c r="S85" s="57"/>
      <c r="T85" s="87" t="str">
        <f>IF(COUNTIF($A85:$S85,"&lt;&gt;")=0,"",IF($F85="À parts égales entre participants",IF(G85&lt;&gt;"Oui",0,IF(COUNTIF($H85:$L85,"Oui")=0,$D85-0,ROUND($D85/COUNTIF($G85:$L85,"Oui"),2))),IF($F85="Montants convenus",IF(G85="Oui",M85,0),"")))</f>
      </c>
      <c r="U85" s="87" t="str">
        <f>IF(COUNTIF($A85:$S85,"&lt;&gt;")=0,"",IF($F85="À parts égales entre participants",IF(H85&lt;&gt;"Oui",0,IF(COUNTIF($I85:$L85,"Oui")=0,$D85-SUM($T85:T85),ROUND($D85/COUNTIF($G85:$L85,"Oui"),2))),IF($F85="Montants convenus",IF(H85="Oui",N85,0),"")))</f>
      </c>
      <c r="V85" s="87" t="str">
        <f>IF(COUNTIF($A85:$S85,"&lt;&gt;")=0,"",IF($F85="À parts égales entre participants",IF(I85&lt;&gt;"Oui",0,IF(COUNTIF($J85:$L85,"Oui")=0,$D85-SUM($T85:U85),ROUND($D85/COUNTIF($G85:$L85,"Oui"),2))),IF($F85="Montants convenus",IF(I85="Oui",O85,0),"")))</f>
      </c>
      <c r="W85" s="87" t="str">
        <f>IF(COUNTIF($A85:$S85,"&lt;&gt;")=0,"",IF($F85="À parts égales entre participants",IF(J85&lt;&gt;"Oui",0,IF(COUNTIF($K85:$L85,"Oui")=0,$D85-SUM($T85:V85),ROUND($D85/COUNTIF($G85:$L85,"Oui"),2))),IF($F85="Montants convenus",IF(J85="Oui",P85,0),"")))</f>
      </c>
      <c r="X85" s="87" t="str">
        <f>IF(COUNTIF($A85:$S85,"&lt;&gt;")=0,"",IF($F85="À parts égales entre participants",IF(K85&lt;&gt;"Oui",0,IF(COUNTIF($L85:$L85,"Oui")=0,$D85-SUM($T85:W85),ROUND($D85/COUNTIF($G85:$L85,"Oui"),2))),IF($F85="Montants convenus",IF(K85="Oui",Q85,0),"")))</f>
      </c>
      <c r="Y85" s="87" t="str">
        <f>IF(COUNTIF($A85:$S85,"&lt;&gt;")=0,"",IF($F85="À parts égales entre participants",IF(L85&lt;&gt;"Oui",0,IF(0=0,$D85-SUM($T85:X85),ROUND($D85/COUNTIF($G85:$L85,"Oui"),2))),IF($F85="Montants convenus",IF(L85="Oui",R85,0),"")))</f>
      </c>
      <c r="Z85" s="81" t="str">
        <f>IF(COUNTIF($A85:$S85,"&lt;&gt;")=0,"",IF(OR($D85="",$D85&lt;=0),"Saisissez un montant supérieur à zéro.",IF($E85="","Sélectionnez la personne qui a payé.",IF(COUNTIF($G85:$L85,"Oui")=0,"Sélectionnez au moins une personne participante.",IF($F85="À parts égales entre participants","Vérifié",IF($F85="Montants convenus",IF(OR(AND(G85="Oui",M85=""),AND(H85="Oui",N85=""),AND(I85="Oui",O85=""),AND(J85="Oui",P85=""),AND(K85="Oui",Q85=""),AND(L85="Oui",R85="")),"Saisissez les montants convenus pour que leur somme corresponde à la dépense.",IF(ABS(SUM($M85:$R85))&lt;0.005,"Saisissez les montants convenus pour que leur somme corresponde à la dépense.",IF(SUM($M85:$R85)&lt;$D85-0.005,"Montant restant à répartir : "&amp;ROUND($D85-SUM($M85:$R85),2)&amp;".",IF(SUM($M85:$R85)&gt;$D85+0.005,"Montant réparti en trop : "&amp;ROUND(SUM($M85:$R85)-$D85,2)&amp;".","Vérifié")))),"Saisissez les montants convenus pour que leur somme corresponde à la dépense."))))))</f>
      </c>
    </row>
    <row r="86">
      <c r="A86" s="83"/>
      <c r="B86" s="57"/>
      <c r="C86" s="57"/>
      <c r="D86" s="85"/>
      <c r="E86" s="57"/>
      <c r="F86" s="57"/>
      <c r="G86" s="57"/>
      <c r="H86" s="57"/>
      <c r="I86" s="57"/>
      <c r="J86" s="57"/>
      <c r="K86" s="57"/>
      <c r="L86" s="57"/>
      <c r="M86" s="85"/>
      <c r="N86" s="85"/>
      <c r="O86" s="85"/>
      <c r="P86" s="85"/>
      <c r="Q86" s="85"/>
      <c r="R86" s="85"/>
      <c r="S86" s="57"/>
      <c r="T86" s="87" t="str">
        <f>IF(COUNTIF($A86:$S86,"&lt;&gt;")=0,"",IF($F86="À parts égales entre participants",IF(G86&lt;&gt;"Oui",0,IF(COUNTIF($H86:$L86,"Oui")=0,$D86-0,ROUND($D86/COUNTIF($G86:$L86,"Oui"),2))),IF($F86="Montants convenus",IF(G86="Oui",M86,0),"")))</f>
      </c>
      <c r="U86" s="87" t="str">
        <f>IF(COUNTIF($A86:$S86,"&lt;&gt;")=0,"",IF($F86="À parts égales entre participants",IF(H86&lt;&gt;"Oui",0,IF(COUNTIF($I86:$L86,"Oui")=0,$D86-SUM($T86:T86),ROUND($D86/COUNTIF($G86:$L86,"Oui"),2))),IF($F86="Montants convenus",IF(H86="Oui",N86,0),"")))</f>
      </c>
      <c r="V86" s="87" t="str">
        <f>IF(COUNTIF($A86:$S86,"&lt;&gt;")=0,"",IF($F86="À parts égales entre participants",IF(I86&lt;&gt;"Oui",0,IF(COUNTIF($J86:$L86,"Oui")=0,$D86-SUM($T86:U86),ROUND($D86/COUNTIF($G86:$L86,"Oui"),2))),IF($F86="Montants convenus",IF(I86="Oui",O86,0),"")))</f>
      </c>
      <c r="W86" s="87" t="str">
        <f>IF(COUNTIF($A86:$S86,"&lt;&gt;")=0,"",IF($F86="À parts égales entre participants",IF(J86&lt;&gt;"Oui",0,IF(COUNTIF($K86:$L86,"Oui")=0,$D86-SUM($T86:V86),ROUND($D86/COUNTIF($G86:$L86,"Oui"),2))),IF($F86="Montants convenus",IF(J86="Oui",P86,0),"")))</f>
      </c>
      <c r="X86" s="87" t="str">
        <f>IF(COUNTIF($A86:$S86,"&lt;&gt;")=0,"",IF($F86="À parts égales entre participants",IF(K86&lt;&gt;"Oui",0,IF(COUNTIF($L86:$L86,"Oui")=0,$D86-SUM($T86:W86),ROUND($D86/COUNTIF($G86:$L86,"Oui"),2))),IF($F86="Montants convenus",IF(K86="Oui",Q86,0),"")))</f>
      </c>
      <c r="Y86" s="87" t="str">
        <f>IF(COUNTIF($A86:$S86,"&lt;&gt;")=0,"",IF($F86="À parts égales entre participants",IF(L86&lt;&gt;"Oui",0,IF(0=0,$D86-SUM($T86:X86),ROUND($D86/COUNTIF($G86:$L86,"Oui"),2))),IF($F86="Montants convenus",IF(L86="Oui",R86,0),"")))</f>
      </c>
      <c r="Z86" s="81" t="str">
        <f>IF(COUNTIF($A86:$S86,"&lt;&gt;")=0,"",IF(OR($D86="",$D86&lt;=0),"Saisissez un montant supérieur à zéro.",IF($E86="","Sélectionnez la personne qui a payé.",IF(COUNTIF($G86:$L86,"Oui")=0,"Sélectionnez au moins une personne participante.",IF($F86="À parts égales entre participants","Vérifié",IF($F86="Montants convenus",IF(OR(AND(G86="Oui",M86=""),AND(H86="Oui",N86=""),AND(I86="Oui",O86=""),AND(J86="Oui",P86=""),AND(K86="Oui",Q86=""),AND(L86="Oui",R86="")),"Saisissez les montants convenus pour que leur somme corresponde à la dépense.",IF(ABS(SUM($M86:$R86))&lt;0.005,"Saisissez les montants convenus pour que leur somme corresponde à la dépense.",IF(SUM($M86:$R86)&lt;$D86-0.005,"Montant restant à répartir : "&amp;ROUND($D86-SUM($M86:$R86),2)&amp;".",IF(SUM($M86:$R86)&gt;$D86+0.005,"Montant réparti en trop : "&amp;ROUND(SUM($M86:$R86)-$D86,2)&amp;".","Vérifié")))),"Saisissez les montants convenus pour que leur somme corresponde à la dépense."))))))</f>
      </c>
    </row>
    <row r="87">
      <c r="A87" s="83"/>
      <c r="B87" s="57"/>
      <c r="C87" s="57"/>
      <c r="D87" s="85"/>
      <c r="E87" s="57"/>
      <c r="F87" s="57"/>
      <c r="G87" s="57"/>
      <c r="H87" s="57"/>
      <c r="I87" s="57"/>
      <c r="J87" s="57"/>
      <c r="K87" s="57"/>
      <c r="L87" s="57"/>
      <c r="M87" s="85"/>
      <c r="N87" s="85"/>
      <c r="O87" s="85"/>
      <c r="P87" s="85"/>
      <c r="Q87" s="85"/>
      <c r="R87" s="85"/>
      <c r="S87" s="57"/>
      <c r="T87" s="87" t="str">
        <f>IF(COUNTIF($A87:$S87,"&lt;&gt;")=0,"",IF($F87="À parts égales entre participants",IF(G87&lt;&gt;"Oui",0,IF(COUNTIF($H87:$L87,"Oui")=0,$D87-0,ROUND($D87/COUNTIF($G87:$L87,"Oui"),2))),IF($F87="Montants convenus",IF(G87="Oui",M87,0),"")))</f>
      </c>
      <c r="U87" s="87" t="str">
        <f>IF(COUNTIF($A87:$S87,"&lt;&gt;")=0,"",IF($F87="À parts égales entre participants",IF(H87&lt;&gt;"Oui",0,IF(COUNTIF($I87:$L87,"Oui")=0,$D87-SUM($T87:T87),ROUND($D87/COUNTIF($G87:$L87,"Oui"),2))),IF($F87="Montants convenus",IF(H87="Oui",N87,0),"")))</f>
      </c>
      <c r="V87" s="87" t="str">
        <f>IF(COUNTIF($A87:$S87,"&lt;&gt;")=0,"",IF($F87="À parts égales entre participants",IF(I87&lt;&gt;"Oui",0,IF(COUNTIF($J87:$L87,"Oui")=0,$D87-SUM($T87:U87),ROUND($D87/COUNTIF($G87:$L87,"Oui"),2))),IF($F87="Montants convenus",IF(I87="Oui",O87,0),"")))</f>
      </c>
      <c r="W87" s="87" t="str">
        <f>IF(COUNTIF($A87:$S87,"&lt;&gt;")=0,"",IF($F87="À parts égales entre participants",IF(J87&lt;&gt;"Oui",0,IF(COUNTIF($K87:$L87,"Oui")=0,$D87-SUM($T87:V87),ROUND($D87/COUNTIF($G87:$L87,"Oui"),2))),IF($F87="Montants convenus",IF(J87="Oui",P87,0),"")))</f>
      </c>
      <c r="X87" s="87" t="str">
        <f>IF(COUNTIF($A87:$S87,"&lt;&gt;")=0,"",IF($F87="À parts égales entre participants",IF(K87&lt;&gt;"Oui",0,IF(COUNTIF($L87:$L87,"Oui")=0,$D87-SUM($T87:W87),ROUND($D87/COUNTIF($G87:$L87,"Oui"),2))),IF($F87="Montants convenus",IF(K87="Oui",Q87,0),"")))</f>
      </c>
      <c r="Y87" s="87" t="str">
        <f>IF(COUNTIF($A87:$S87,"&lt;&gt;")=0,"",IF($F87="À parts égales entre participants",IF(L87&lt;&gt;"Oui",0,IF(0=0,$D87-SUM($T87:X87),ROUND($D87/COUNTIF($G87:$L87,"Oui"),2))),IF($F87="Montants convenus",IF(L87="Oui",R87,0),"")))</f>
      </c>
      <c r="Z87" s="81" t="str">
        <f>IF(COUNTIF($A87:$S87,"&lt;&gt;")=0,"",IF(OR($D87="",$D87&lt;=0),"Saisissez un montant supérieur à zéro.",IF($E87="","Sélectionnez la personne qui a payé.",IF(COUNTIF($G87:$L87,"Oui")=0,"Sélectionnez au moins une personne participante.",IF($F87="À parts égales entre participants","Vérifié",IF($F87="Montants convenus",IF(OR(AND(G87="Oui",M87=""),AND(H87="Oui",N87=""),AND(I87="Oui",O87=""),AND(J87="Oui",P87=""),AND(K87="Oui",Q87=""),AND(L87="Oui",R87="")),"Saisissez les montants convenus pour que leur somme corresponde à la dépense.",IF(ABS(SUM($M87:$R87))&lt;0.005,"Saisissez les montants convenus pour que leur somme corresponde à la dépense.",IF(SUM($M87:$R87)&lt;$D87-0.005,"Montant restant à répartir : "&amp;ROUND($D87-SUM($M87:$R87),2)&amp;".",IF(SUM($M87:$R87)&gt;$D87+0.005,"Montant réparti en trop : "&amp;ROUND(SUM($M87:$R87)-$D87,2)&amp;".","Vérifié")))),"Saisissez les montants convenus pour que leur somme corresponde à la dépense."))))))</f>
      </c>
    </row>
    <row r="88">
      <c r="A88" s="83"/>
      <c r="B88" s="57"/>
      <c r="C88" s="57"/>
      <c r="D88" s="85"/>
      <c r="E88" s="57"/>
      <c r="F88" s="57"/>
      <c r="G88" s="57"/>
      <c r="H88" s="57"/>
      <c r="I88" s="57"/>
      <c r="J88" s="57"/>
      <c r="K88" s="57"/>
      <c r="L88" s="57"/>
      <c r="M88" s="85"/>
      <c r="N88" s="85"/>
      <c r="O88" s="85"/>
      <c r="P88" s="85"/>
      <c r="Q88" s="85"/>
      <c r="R88" s="85"/>
      <c r="S88" s="57"/>
      <c r="T88" s="87" t="str">
        <f>IF(COUNTIF($A88:$S88,"&lt;&gt;")=0,"",IF($F88="À parts égales entre participants",IF(G88&lt;&gt;"Oui",0,IF(COUNTIF($H88:$L88,"Oui")=0,$D88-0,ROUND($D88/COUNTIF($G88:$L88,"Oui"),2))),IF($F88="Montants convenus",IF(G88="Oui",M88,0),"")))</f>
      </c>
      <c r="U88" s="87" t="str">
        <f>IF(COUNTIF($A88:$S88,"&lt;&gt;")=0,"",IF($F88="À parts égales entre participants",IF(H88&lt;&gt;"Oui",0,IF(COUNTIF($I88:$L88,"Oui")=0,$D88-SUM($T88:T88),ROUND($D88/COUNTIF($G88:$L88,"Oui"),2))),IF($F88="Montants convenus",IF(H88="Oui",N88,0),"")))</f>
      </c>
      <c r="V88" s="87" t="str">
        <f>IF(COUNTIF($A88:$S88,"&lt;&gt;")=0,"",IF($F88="À parts égales entre participants",IF(I88&lt;&gt;"Oui",0,IF(COUNTIF($J88:$L88,"Oui")=0,$D88-SUM($T88:U88),ROUND($D88/COUNTIF($G88:$L88,"Oui"),2))),IF($F88="Montants convenus",IF(I88="Oui",O88,0),"")))</f>
      </c>
      <c r="W88" s="87" t="str">
        <f>IF(COUNTIF($A88:$S88,"&lt;&gt;")=0,"",IF($F88="À parts égales entre participants",IF(J88&lt;&gt;"Oui",0,IF(COUNTIF($K88:$L88,"Oui")=0,$D88-SUM($T88:V88),ROUND($D88/COUNTIF($G88:$L88,"Oui"),2))),IF($F88="Montants convenus",IF(J88="Oui",P88,0),"")))</f>
      </c>
      <c r="X88" s="87" t="str">
        <f>IF(COUNTIF($A88:$S88,"&lt;&gt;")=0,"",IF($F88="À parts égales entre participants",IF(K88&lt;&gt;"Oui",0,IF(COUNTIF($L88:$L88,"Oui")=0,$D88-SUM($T88:W88),ROUND($D88/COUNTIF($G88:$L88,"Oui"),2))),IF($F88="Montants convenus",IF(K88="Oui",Q88,0),"")))</f>
      </c>
      <c r="Y88" s="87" t="str">
        <f>IF(COUNTIF($A88:$S88,"&lt;&gt;")=0,"",IF($F88="À parts égales entre participants",IF(L88&lt;&gt;"Oui",0,IF(0=0,$D88-SUM($T88:X88),ROUND($D88/COUNTIF($G88:$L88,"Oui"),2))),IF($F88="Montants convenus",IF(L88="Oui",R88,0),"")))</f>
      </c>
      <c r="Z88" s="81" t="str">
        <f>IF(COUNTIF($A88:$S88,"&lt;&gt;")=0,"",IF(OR($D88="",$D88&lt;=0),"Saisissez un montant supérieur à zéro.",IF($E88="","Sélectionnez la personne qui a payé.",IF(COUNTIF($G88:$L88,"Oui")=0,"Sélectionnez au moins une personne participante.",IF($F88="À parts égales entre participants","Vérifié",IF($F88="Montants convenus",IF(OR(AND(G88="Oui",M88=""),AND(H88="Oui",N88=""),AND(I88="Oui",O88=""),AND(J88="Oui",P88=""),AND(K88="Oui",Q88=""),AND(L88="Oui",R88="")),"Saisissez les montants convenus pour que leur somme corresponde à la dépense.",IF(ABS(SUM($M88:$R88))&lt;0.005,"Saisissez les montants convenus pour que leur somme corresponde à la dépense.",IF(SUM($M88:$R88)&lt;$D88-0.005,"Montant restant à répartir : "&amp;ROUND($D88-SUM($M88:$R88),2)&amp;".",IF(SUM($M88:$R88)&gt;$D88+0.005,"Montant réparti en trop : "&amp;ROUND(SUM($M88:$R88)-$D88,2)&amp;".","Vérifié")))),"Saisissez les montants convenus pour que leur somme corresponde à la dépense."))))))</f>
      </c>
    </row>
    <row r="89">
      <c r="A89" s="83"/>
      <c r="B89" s="57"/>
      <c r="C89" s="57"/>
      <c r="D89" s="85"/>
      <c r="E89" s="57"/>
      <c r="F89" s="57"/>
      <c r="G89" s="57"/>
      <c r="H89" s="57"/>
      <c r="I89" s="57"/>
      <c r="J89" s="57"/>
      <c r="K89" s="57"/>
      <c r="L89" s="57"/>
      <c r="M89" s="85"/>
      <c r="N89" s="85"/>
      <c r="O89" s="85"/>
      <c r="P89" s="85"/>
      <c r="Q89" s="85"/>
      <c r="R89" s="85"/>
      <c r="S89" s="57"/>
      <c r="T89" s="87" t="str">
        <f>IF(COUNTIF($A89:$S89,"&lt;&gt;")=0,"",IF($F89="À parts égales entre participants",IF(G89&lt;&gt;"Oui",0,IF(COUNTIF($H89:$L89,"Oui")=0,$D89-0,ROUND($D89/COUNTIF($G89:$L89,"Oui"),2))),IF($F89="Montants convenus",IF(G89="Oui",M89,0),"")))</f>
      </c>
      <c r="U89" s="87" t="str">
        <f>IF(COUNTIF($A89:$S89,"&lt;&gt;")=0,"",IF($F89="À parts égales entre participants",IF(H89&lt;&gt;"Oui",0,IF(COUNTIF($I89:$L89,"Oui")=0,$D89-SUM($T89:T89),ROUND($D89/COUNTIF($G89:$L89,"Oui"),2))),IF($F89="Montants convenus",IF(H89="Oui",N89,0),"")))</f>
      </c>
      <c r="V89" s="87" t="str">
        <f>IF(COUNTIF($A89:$S89,"&lt;&gt;")=0,"",IF($F89="À parts égales entre participants",IF(I89&lt;&gt;"Oui",0,IF(COUNTIF($J89:$L89,"Oui")=0,$D89-SUM($T89:U89),ROUND($D89/COUNTIF($G89:$L89,"Oui"),2))),IF($F89="Montants convenus",IF(I89="Oui",O89,0),"")))</f>
      </c>
      <c r="W89" s="87" t="str">
        <f>IF(COUNTIF($A89:$S89,"&lt;&gt;")=0,"",IF($F89="À parts égales entre participants",IF(J89&lt;&gt;"Oui",0,IF(COUNTIF($K89:$L89,"Oui")=0,$D89-SUM($T89:V89),ROUND($D89/COUNTIF($G89:$L89,"Oui"),2))),IF($F89="Montants convenus",IF(J89="Oui",P89,0),"")))</f>
      </c>
      <c r="X89" s="87" t="str">
        <f>IF(COUNTIF($A89:$S89,"&lt;&gt;")=0,"",IF($F89="À parts égales entre participants",IF(K89&lt;&gt;"Oui",0,IF(COUNTIF($L89:$L89,"Oui")=0,$D89-SUM($T89:W89),ROUND($D89/COUNTIF($G89:$L89,"Oui"),2))),IF($F89="Montants convenus",IF(K89="Oui",Q89,0),"")))</f>
      </c>
      <c r="Y89" s="87" t="str">
        <f>IF(COUNTIF($A89:$S89,"&lt;&gt;")=0,"",IF($F89="À parts égales entre participants",IF(L89&lt;&gt;"Oui",0,IF(0=0,$D89-SUM($T89:X89),ROUND($D89/COUNTIF($G89:$L89,"Oui"),2))),IF($F89="Montants convenus",IF(L89="Oui",R89,0),"")))</f>
      </c>
      <c r="Z89" s="81" t="str">
        <f>IF(COUNTIF($A89:$S89,"&lt;&gt;")=0,"",IF(OR($D89="",$D89&lt;=0),"Saisissez un montant supérieur à zéro.",IF($E89="","Sélectionnez la personne qui a payé.",IF(COUNTIF($G89:$L89,"Oui")=0,"Sélectionnez au moins une personne participante.",IF($F89="À parts égales entre participants","Vérifié",IF($F89="Montants convenus",IF(OR(AND(G89="Oui",M89=""),AND(H89="Oui",N89=""),AND(I89="Oui",O89=""),AND(J89="Oui",P89=""),AND(K89="Oui",Q89=""),AND(L89="Oui",R89="")),"Saisissez les montants convenus pour que leur somme corresponde à la dépense.",IF(ABS(SUM($M89:$R89))&lt;0.005,"Saisissez les montants convenus pour que leur somme corresponde à la dépense.",IF(SUM($M89:$R89)&lt;$D89-0.005,"Montant restant à répartir : "&amp;ROUND($D89-SUM($M89:$R89),2)&amp;".",IF(SUM($M89:$R89)&gt;$D89+0.005,"Montant réparti en trop : "&amp;ROUND(SUM($M89:$R89)-$D89,2)&amp;".","Vérifié")))),"Saisissez les montants convenus pour que leur somme corresponde à la dépense."))))))</f>
      </c>
    </row>
    <row r="90">
      <c r="A90" s="83"/>
      <c r="B90" s="57"/>
      <c r="C90" s="57"/>
      <c r="D90" s="85"/>
      <c r="E90" s="57"/>
      <c r="F90" s="57"/>
      <c r="G90" s="57"/>
      <c r="H90" s="57"/>
      <c r="I90" s="57"/>
      <c r="J90" s="57"/>
      <c r="K90" s="57"/>
      <c r="L90" s="57"/>
      <c r="M90" s="85"/>
      <c r="N90" s="85"/>
      <c r="O90" s="85"/>
      <c r="P90" s="85"/>
      <c r="Q90" s="85"/>
      <c r="R90" s="85"/>
      <c r="S90" s="57"/>
      <c r="T90" s="87" t="str">
        <f>IF(COUNTIF($A90:$S90,"&lt;&gt;")=0,"",IF($F90="À parts égales entre participants",IF(G90&lt;&gt;"Oui",0,IF(COUNTIF($H90:$L90,"Oui")=0,$D90-0,ROUND($D90/COUNTIF($G90:$L90,"Oui"),2))),IF($F90="Montants convenus",IF(G90="Oui",M90,0),"")))</f>
      </c>
      <c r="U90" s="87" t="str">
        <f>IF(COUNTIF($A90:$S90,"&lt;&gt;")=0,"",IF($F90="À parts égales entre participants",IF(H90&lt;&gt;"Oui",0,IF(COUNTIF($I90:$L90,"Oui")=0,$D90-SUM($T90:T90),ROUND($D90/COUNTIF($G90:$L90,"Oui"),2))),IF($F90="Montants convenus",IF(H90="Oui",N90,0),"")))</f>
      </c>
      <c r="V90" s="87" t="str">
        <f>IF(COUNTIF($A90:$S90,"&lt;&gt;")=0,"",IF($F90="À parts égales entre participants",IF(I90&lt;&gt;"Oui",0,IF(COUNTIF($J90:$L90,"Oui")=0,$D90-SUM($T90:U90),ROUND($D90/COUNTIF($G90:$L90,"Oui"),2))),IF($F90="Montants convenus",IF(I90="Oui",O90,0),"")))</f>
      </c>
      <c r="W90" s="87" t="str">
        <f>IF(COUNTIF($A90:$S90,"&lt;&gt;")=0,"",IF($F90="À parts égales entre participants",IF(J90&lt;&gt;"Oui",0,IF(COUNTIF($K90:$L90,"Oui")=0,$D90-SUM($T90:V90),ROUND($D90/COUNTIF($G90:$L90,"Oui"),2))),IF($F90="Montants convenus",IF(J90="Oui",P90,0),"")))</f>
      </c>
      <c r="X90" s="87" t="str">
        <f>IF(COUNTIF($A90:$S90,"&lt;&gt;")=0,"",IF($F90="À parts égales entre participants",IF(K90&lt;&gt;"Oui",0,IF(COUNTIF($L90:$L90,"Oui")=0,$D90-SUM($T90:W90),ROUND($D90/COUNTIF($G90:$L90,"Oui"),2))),IF($F90="Montants convenus",IF(K90="Oui",Q90,0),"")))</f>
      </c>
      <c r="Y90" s="87" t="str">
        <f>IF(COUNTIF($A90:$S90,"&lt;&gt;")=0,"",IF($F90="À parts égales entre participants",IF(L90&lt;&gt;"Oui",0,IF(0=0,$D90-SUM($T90:X90),ROUND($D90/COUNTIF($G90:$L90,"Oui"),2))),IF($F90="Montants convenus",IF(L90="Oui",R90,0),"")))</f>
      </c>
      <c r="Z90" s="81" t="str">
        <f>IF(COUNTIF($A90:$S90,"&lt;&gt;")=0,"",IF(OR($D90="",$D90&lt;=0),"Saisissez un montant supérieur à zéro.",IF($E90="","Sélectionnez la personne qui a payé.",IF(COUNTIF($G90:$L90,"Oui")=0,"Sélectionnez au moins une personne participante.",IF($F90="À parts égales entre participants","Vérifié",IF($F90="Montants convenus",IF(OR(AND(G90="Oui",M90=""),AND(H90="Oui",N90=""),AND(I90="Oui",O90=""),AND(J90="Oui",P90=""),AND(K90="Oui",Q90=""),AND(L90="Oui",R90="")),"Saisissez les montants convenus pour que leur somme corresponde à la dépense.",IF(ABS(SUM($M90:$R90))&lt;0.005,"Saisissez les montants convenus pour que leur somme corresponde à la dépense.",IF(SUM($M90:$R90)&lt;$D90-0.005,"Montant restant à répartir : "&amp;ROUND($D90-SUM($M90:$R90),2)&amp;".",IF(SUM($M90:$R90)&gt;$D90+0.005,"Montant réparti en trop : "&amp;ROUND(SUM($M90:$R90)-$D90,2)&amp;".","Vérifié")))),"Saisissez les montants convenus pour que leur somme corresponde à la dépense."))))))</f>
      </c>
    </row>
    <row r="91">
      <c r="A91" s="83"/>
      <c r="B91" s="57"/>
      <c r="C91" s="57"/>
      <c r="D91" s="85"/>
      <c r="E91" s="57"/>
      <c r="F91" s="57"/>
      <c r="G91" s="57"/>
      <c r="H91" s="57"/>
      <c r="I91" s="57"/>
      <c r="J91" s="57"/>
      <c r="K91" s="57"/>
      <c r="L91" s="57"/>
      <c r="M91" s="85"/>
      <c r="N91" s="85"/>
      <c r="O91" s="85"/>
      <c r="P91" s="85"/>
      <c r="Q91" s="85"/>
      <c r="R91" s="85"/>
      <c r="S91" s="57"/>
      <c r="T91" s="87" t="str">
        <f>IF(COUNTIF($A91:$S91,"&lt;&gt;")=0,"",IF($F91="À parts égales entre participants",IF(G91&lt;&gt;"Oui",0,IF(COUNTIF($H91:$L91,"Oui")=0,$D91-0,ROUND($D91/COUNTIF($G91:$L91,"Oui"),2))),IF($F91="Montants convenus",IF(G91="Oui",M91,0),"")))</f>
      </c>
      <c r="U91" s="87" t="str">
        <f>IF(COUNTIF($A91:$S91,"&lt;&gt;")=0,"",IF($F91="À parts égales entre participants",IF(H91&lt;&gt;"Oui",0,IF(COUNTIF($I91:$L91,"Oui")=0,$D91-SUM($T91:T91),ROUND($D91/COUNTIF($G91:$L91,"Oui"),2))),IF($F91="Montants convenus",IF(H91="Oui",N91,0),"")))</f>
      </c>
      <c r="V91" s="87" t="str">
        <f>IF(COUNTIF($A91:$S91,"&lt;&gt;")=0,"",IF($F91="À parts égales entre participants",IF(I91&lt;&gt;"Oui",0,IF(COUNTIF($J91:$L91,"Oui")=0,$D91-SUM($T91:U91),ROUND($D91/COUNTIF($G91:$L91,"Oui"),2))),IF($F91="Montants convenus",IF(I91="Oui",O91,0),"")))</f>
      </c>
      <c r="W91" s="87" t="str">
        <f>IF(COUNTIF($A91:$S91,"&lt;&gt;")=0,"",IF($F91="À parts égales entre participants",IF(J91&lt;&gt;"Oui",0,IF(COUNTIF($K91:$L91,"Oui")=0,$D91-SUM($T91:V91),ROUND($D91/COUNTIF($G91:$L91,"Oui"),2))),IF($F91="Montants convenus",IF(J91="Oui",P91,0),"")))</f>
      </c>
      <c r="X91" s="87" t="str">
        <f>IF(COUNTIF($A91:$S91,"&lt;&gt;")=0,"",IF($F91="À parts égales entre participants",IF(K91&lt;&gt;"Oui",0,IF(COUNTIF($L91:$L91,"Oui")=0,$D91-SUM($T91:W91),ROUND($D91/COUNTIF($G91:$L91,"Oui"),2))),IF($F91="Montants convenus",IF(K91="Oui",Q91,0),"")))</f>
      </c>
      <c r="Y91" s="87" t="str">
        <f>IF(COUNTIF($A91:$S91,"&lt;&gt;")=0,"",IF($F91="À parts égales entre participants",IF(L91&lt;&gt;"Oui",0,IF(0=0,$D91-SUM($T91:X91),ROUND($D91/COUNTIF($G91:$L91,"Oui"),2))),IF($F91="Montants convenus",IF(L91="Oui",R91,0),"")))</f>
      </c>
      <c r="Z91" s="81" t="str">
        <f>IF(COUNTIF($A91:$S91,"&lt;&gt;")=0,"",IF(OR($D91="",$D91&lt;=0),"Saisissez un montant supérieur à zéro.",IF($E91="","Sélectionnez la personne qui a payé.",IF(COUNTIF($G91:$L91,"Oui")=0,"Sélectionnez au moins une personne participante.",IF($F91="À parts égales entre participants","Vérifié",IF($F91="Montants convenus",IF(OR(AND(G91="Oui",M91=""),AND(H91="Oui",N91=""),AND(I91="Oui",O91=""),AND(J91="Oui",P91=""),AND(K91="Oui",Q91=""),AND(L91="Oui",R91="")),"Saisissez les montants convenus pour que leur somme corresponde à la dépense.",IF(ABS(SUM($M91:$R91))&lt;0.005,"Saisissez les montants convenus pour que leur somme corresponde à la dépense.",IF(SUM($M91:$R91)&lt;$D91-0.005,"Montant restant à répartir : "&amp;ROUND($D91-SUM($M91:$R91),2)&amp;".",IF(SUM($M91:$R91)&gt;$D91+0.005,"Montant réparti en trop : "&amp;ROUND(SUM($M91:$R91)-$D91,2)&amp;".","Vérifié")))),"Saisissez les montants convenus pour que leur somme corresponde à la dépense."))))))</f>
      </c>
    </row>
    <row r="92">
      <c r="A92" s="83"/>
      <c r="B92" s="57"/>
      <c r="C92" s="57"/>
      <c r="D92" s="85"/>
      <c r="E92" s="57"/>
      <c r="F92" s="57"/>
      <c r="G92" s="57"/>
      <c r="H92" s="57"/>
      <c r="I92" s="57"/>
      <c r="J92" s="57"/>
      <c r="K92" s="57"/>
      <c r="L92" s="57"/>
      <c r="M92" s="85"/>
      <c r="N92" s="85"/>
      <c r="O92" s="85"/>
      <c r="P92" s="85"/>
      <c r="Q92" s="85"/>
      <c r="R92" s="85"/>
      <c r="S92" s="57"/>
      <c r="T92" s="87" t="str">
        <f>IF(COUNTIF($A92:$S92,"&lt;&gt;")=0,"",IF($F92="À parts égales entre participants",IF(G92&lt;&gt;"Oui",0,IF(COUNTIF($H92:$L92,"Oui")=0,$D92-0,ROUND($D92/COUNTIF($G92:$L92,"Oui"),2))),IF($F92="Montants convenus",IF(G92="Oui",M92,0),"")))</f>
      </c>
      <c r="U92" s="87" t="str">
        <f>IF(COUNTIF($A92:$S92,"&lt;&gt;")=0,"",IF($F92="À parts égales entre participants",IF(H92&lt;&gt;"Oui",0,IF(COUNTIF($I92:$L92,"Oui")=0,$D92-SUM($T92:T92),ROUND($D92/COUNTIF($G92:$L92,"Oui"),2))),IF($F92="Montants convenus",IF(H92="Oui",N92,0),"")))</f>
      </c>
      <c r="V92" s="87" t="str">
        <f>IF(COUNTIF($A92:$S92,"&lt;&gt;")=0,"",IF($F92="À parts égales entre participants",IF(I92&lt;&gt;"Oui",0,IF(COUNTIF($J92:$L92,"Oui")=0,$D92-SUM($T92:U92),ROUND($D92/COUNTIF($G92:$L92,"Oui"),2))),IF($F92="Montants convenus",IF(I92="Oui",O92,0),"")))</f>
      </c>
      <c r="W92" s="87" t="str">
        <f>IF(COUNTIF($A92:$S92,"&lt;&gt;")=0,"",IF($F92="À parts égales entre participants",IF(J92&lt;&gt;"Oui",0,IF(COUNTIF($K92:$L92,"Oui")=0,$D92-SUM($T92:V92),ROUND($D92/COUNTIF($G92:$L92,"Oui"),2))),IF($F92="Montants convenus",IF(J92="Oui",P92,0),"")))</f>
      </c>
      <c r="X92" s="87" t="str">
        <f>IF(COUNTIF($A92:$S92,"&lt;&gt;")=0,"",IF($F92="À parts égales entre participants",IF(K92&lt;&gt;"Oui",0,IF(COUNTIF($L92:$L92,"Oui")=0,$D92-SUM($T92:W92),ROUND($D92/COUNTIF($G92:$L92,"Oui"),2))),IF($F92="Montants convenus",IF(K92="Oui",Q92,0),"")))</f>
      </c>
      <c r="Y92" s="87" t="str">
        <f>IF(COUNTIF($A92:$S92,"&lt;&gt;")=0,"",IF($F92="À parts égales entre participants",IF(L92&lt;&gt;"Oui",0,IF(0=0,$D92-SUM($T92:X92),ROUND($D92/COUNTIF($G92:$L92,"Oui"),2))),IF($F92="Montants convenus",IF(L92="Oui",R92,0),"")))</f>
      </c>
      <c r="Z92" s="81" t="str">
        <f>IF(COUNTIF($A92:$S92,"&lt;&gt;")=0,"",IF(OR($D92="",$D92&lt;=0),"Saisissez un montant supérieur à zéro.",IF($E92="","Sélectionnez la personne qui a payé.",IF(COUNTIF($G92:$L92,"Oui")=0,"Sélectionnez au moins une personne participante.",IF($F92="À parts égales entre participants","Vérifié",IF($F92="Montants convenus",IF(OR(AND(G92="Oui",M92=""),AND(H92="Oui",N92=""),AND(I92="Oui",O92=""),AND(J92="Oui",P92=""),AND(K92="Oui",Q92=""),AND(L92="Oui",R92="")),"Saisissez les montants convenus pour que leur somme corresponde à la dépense.",IF(ABS(SUM($M92:$R92))&lt;0.005,"Saisissez les montants convenus pour que leur somme corresponde à la dépense.",IF(SUM($M92:$R92)&lt;$D92-0.005,"Montant restant à répartir : "&amp;ROUND($D92-SUM($M92:$R92),2)&amp;".",IF(SUM($M92:$R92)&gt;$D92+0.005,"Montant réparti en trop : "&amp;ROUND(SUM($M92:$R92)-$D92,2)&amp;".","Vérifié")))),"Saisissez les montants convenus pour que leur somme corresponde à la dépense."))))))</f>
      </c>
    </row>
    <row r="93">
      <c r="A93" s="83"/>
      <c r="B93" s="57"/>
      <c r="C93" s="57"/>
      <c r="D93" s="85"/>
      <c r="E93" s="57"/>
      <c r="F93" s="57"/>
      <c r="G93" s="57"/>
      <c r="H93" s="57"/>
      <c r="I93" s="57"/>
      <c r="J93" s="57"/>
      <c r="K93" s="57"/>
      <c r="L93" s="57"/>
      <c r="M93" s="85"/>
      <c r="N93" s="85"/>
      <c r="O93" s="85"/>
      <c r="P93" s="85"/>
      <c r="Q93" s="85"/>
      <c r="R93" s="85"/>
      <c r="S93" s="57"/>
      <c r="T93" s="87" t="str">
        <f>IF(COUNTIF($A93:$S93,"&lt;&gt;")=0,"",IF($F93="À parts égales entre participants",IF(G93&lt;&gt;"Oui",0,IF(COUNTIF($H93:$L93,"Oui")=0,$D93-0,ROUND($D93/COUNTIF($G93:$L93,"Oui"),2))),IF($F93="Montants convenus",IF(G93="Oui",M93,0),"")))</f>
      </c>
      <c r="U93" s="87" t="str">
        <f>IF(COUNTIF($A93:$S93,"&lt;&gt;")=0,"",IF($F93="À parts égales entre participants",IF(H93&lt;&gt;"Oui",0,IF(COUNTIF($I93:$L93,"Oui")=0,$D93-SUM($T93:T93),ROUND($D93/COUNTIF($G93:$L93,"Oui"),2))),IF($F93="Montants convenus",IF(H93="Oui",N93,0),"")))</f>
      </c>
      <c r="V93" s="87" t="str">
        <f>IF(COUNTIF($A93:$S93,"&lt;&gt;")=0,"",IF($F93="À parts égales entre participants",IF(I93&lt;&gt;"Oui",0,IF(COUNTIF($J93:$L93,"Oui")=0,$D93-SUM($T93:U93),ROUND($D93/COUNTIF($G93:$L93,"Oui"),2))),IF($F93="Montants convenus",IF(I93="Oui",O93,0),"")))</f>
      </c>
      <c r="W93" s="87" t="str">
        <f>IF(COUNTIF($A93:$S93,"&lt;&gt;")=0,"",IF($F93="À parts égales entre participants",IF(J93&lt;&gt;"Oui",0,IF(COUNTIF($K93:$L93,"Oui")=0,$D93-SUM($T93:V93),ROUND($D93/COUNTIF($G93:$L93,"Oui"),2))),IF($F93="Montants convenus",IF(J93="Oui",P93,0),"")))</f>
      </c>
      <c r="X93" s="87" t="str">
        <f>IF(COUNTIF($A93:$S93,"&lt;&gt;")=0,"",IF($F93="À parts égales entre participants",IF(K93&lt;&gt;"Oui",0,IF(COUNTIF($L93:$L93,"Oui")=0,$D93-SUM($T93:W93),ROUND($D93/COUNTIF($G93:$L93,"Oui"),2))),IF($F93="Montants convenus",IF(K93="Oui",Q93,0),"")))</f>
      </c>
      <c r="Y93" s="87" t="str">
        <f>IF(COUNTIF($A93:$S93,"&lt;&gt;")=0,"",IF($F93="À parts égales entre participants",IF(L93&lt;&gt;"Oui",0,IF(0=0,$D93-SUM($T93:X93),ROUND($D93/COUNTIF($G93:$L93,"Oui"),2))),IF($F93="Montants convenus",IF(L93="Oui",R93,0),"")))</f>
      </c>
      <c r="Z93" s="81" t="str">
        <f>IF(COUNTIF($A93:$S93,"&lt;&gt;")=0,"",IF(OR($D93="",$D93&lt;=0),"Saisissez un montant supérieur à zéro.",IF($E93="","Sélectionnez la personne qui a payé.",IF(COUNTIF($G93:$L93,"Oui")=0,"Sélectionnez au moins une personne participante.",IF($F93="À parts égales entre participants","Vérifié",IF($F93="Montants convenus",IF(OR(AND(G93="Oui",M93=""),AND(H93="Oui",N93=""),AND(I93="Oui",O93=""),AND(J93="Oui",P93=""),AND(K93="Oui",Q93=""),AND(L93="Oui",R93="")),"Saisissez les montants convenus pour que leur somme corresponde à la dépense.",IF(ABS(SUM($M93:$R93))&lt;0.005,"Saisissez les montants convenus pour que leur somme corresponde à la dépense.",IF(SUM($M93:$R93)&lt;$D93-0.005,"Montant restant à répartir : "&amp;ROUND($D93-SUM($M93:$R93),2)&amp;".",IF(SUM($M93:$R93)&gt;$D93+0.005,"Montant réparti en trop : "&amp;ROUND(SUM($M93:$R93)-$D93,2)&amp;".","Vérifié")))),"Saisissez les montants convenus pour que leur somme corresponde à la dépense."))))))</f>
      </c>
    </row>
    <row r="94">
      <c r="A94" s="83"/>
      <c r="B94" s="57"/>
      <c r="C94" s="57"/>
      <c r="D94" s="85"/>
      <c r="E94" s="57"/>
      <c r="F94" s="57"/>
      <c r="G94" s="57"/>
      <c r="H94" s="57"/>
      <c r="I94" s="57"/>
      <c r="J94" s="57"/>
      <c r="K94" s="57"/>
      <c r="L94" s="57"/>
      <c r="M94" s="85"/>
      <c r="N94" s="85"/>
      <c r="O94" s="85"/>
      <c r="P94" s="85"/>
      <c r="Q94" s="85"/>
      <c r="R94" s="85"/>
      <c r="S94" s="57"/>
      <c r="T94" s="87" t="str">
        <f>IF(COUNTIF($A94:$S94,"&lt;&gt;")=0,"",IF($F94="À parts égales entre participants",IF(G94&lt;&gt;"Oui",0,IF(COUNTIF($H94:$L94,"Oui")=0,$D94-0,ROUND($D94/COUNTIF($G94:$L94,"Oui"),2))),IF($F94="Montants convenus",IF(G94="Oui",M94,0),"")))</f>
      </c>
      <c r="U94" s="87" t="str">
        <f>IF(COUNTIF($A94:$S94,"&lt;&gt;")=0,"",IF($F94="À parts égales entre participants",IF(H94&lt;&gt;"Oui",0,IF(COUNTIF($I94:$L94,"Oui")=0,$D94-SUM($T94:T94),ROUND($D94/COUNTIF($G94:$L94,"Oui"),2))),IF($F94="Montants convenus",IF(H94="Oui",N94,0),"")))</f>
      </c>
      <c r="V94" s="87" t="str">
        <f>IF(COUNTIF($A94:$S94,"&lt;&gt;")=0,"",IF($F94="À parts égales entre participants",IF(I94&lt;&gt;"Oui",0,IF(COUNTIF($J94:$L94,"Oui")=0,$D94-SUM($T94:U94),ROUND($D94/COUNTIF($G94:$L94,"Oui"),2))),IF($F94="Montants convenus",IF(I94="Oui",O94,0),"")))</f>
      </c>
      <c r="W94" s="87" t="str">
        <f>IF(COUNTIF($A94:$S94,"&lt;&gt;")=0,"",IF($F94="À parts égales entre participants",IF(J94&lt;&gt;"Oui",0,IF(COUNTIF($K94:$L94,"Oui")=0,$D94-SUM($T94:V94),ROUND($D94/COUNTIF($G94:$L94,"Oui"),2))),IF($F94="Montants convenus",IF(J94="Oui",P94,0),"")))</f>
      </c>
      <c r="X94" s="87" t="str">
        <f>IF(COUNTIF($A94:$S94,"&lt;&gt;")=0,"",IF($F94="À parts égales entre participants",IF(K94&lt;&gt;"Oui",0,IF(COUNTIF($L94:$L94,"Oui")=0,$D94-SUM($T94:W94),ROUND($D94/COUNTIF($G94:$L94,"Oui"),2))),IF($F94="Montants convenus",IF(K94="Oui",Q94,0),"")))</f>
      </c>
      <c r="Y94" s="87" t="str">
        <f>IF(COUNTIF($A94:$S94,"&lt;&gt;")=0,"",IF($F94="À parts égales entre participants",IF(L94&lt;&gt;"Oui",0,IF(0=0,$D94-SUM($T94:X94),ROUND($D94/COUNTIF($G94:$L94,"Oui"),2))),IF($F94="Montants convenus",IF(L94="Oui",R94,0),"")))</f>
      </c>
      <c r="Z94" s="81" t="str">
        <f>IF(COUNTIF($A94:$S94,"&lt;&gt;")=0,"",IF(OR($D94="",$D94&lt;=0),"Saisissez un montant supérieur à zéro.",IF($E94="","Sélectionnez la personne qui a payé.",IF(COUNTIF($G94:$L94,"Oui")=0,"Sélectionnez au moins une personne participante.",IF($F94="À parts égales entre participants","Vérifié",IF($F94="Montants convenus",IF(OR(AND(G94="Oui",M94=""),AND(H94="Oui",N94=""),AND(I94="Oui",O94=""),AND(J94="Oui",P94=""),AND(K94="Oui",Q94=""),AND(L94="Oui",R94="")),"Saisissez les montants convenus pour que leur somme corresponde à la dépense.",IF(ABS(SUM($M94:$R94))&lt;0.005,"Saisissez les montants convenus pour que leur somme corresponde à la dépense.",IF(SUM($M94:$R94)&lt;$D94-0.005,"Montant restant à répartir : "&amp;ROUND($D94-SUM($M94:$R94),2)&amp;".",IF(SUM($M94:$R94)&gt;$D94+0.005,"Montant réparti en trop : "&amp;ROUND(SUM($M94:$R94)-$D94,2)&amp;".","Vérifié")))),"Saisissez les montants convenus pour que leur somme corresponde à la dépense."))))))</f>
      </c>
    </row>
    <row r="95">
      <c r="A95" s="83"/>
      <c r="B95" s="57"/>
      <c r="C95" s="57"/>
      <c r="D95" s="85"/>
      <c r="E95" s="57"/>
      <c r="F95" s="57"/>
      <c r="G95" s="57"/>
      <c r="H95" s="57"/>
      <c r="I95" s="57"/>
      <c r="J95" s="57"/>
      <c r="K95" s="57"/>
      <c r="L95" s="57"/>
      <c r="M95" s="85"/>
      <c r="N95" s="85"/>
      <c r="O95" s="85"/>
      <c r="P95" s="85"/>
      <c r="Q95" s="85"/>
      <c r="R95" s="85"/>
      <c r="S95" s="57"/>
      <c r="T95" s="87" t="str">
        <f>IF(COUNTIF($A95:$S95,"&lt;&gt;")=0,"",IF($F95="À parts égales entre participants",IF(G95&lt;&gt;"Oui",0,IF(COUNTIF($H95:$L95,"Oui")=0,$D95-0,ROUND($D95/COUNTIF($G95:$L95,"Oui"),2))),IF($F95="Montants convenus",IF(G95="Oui",M95,0),"")))</f>
      </c>
      <c r="U95" s="87" t="str">
        <f>IF(COUNTIF($A95:$S95,"&lt;&gt;")=0,"",IF($F95="À parts égales entre participants",IF(H95&lt;&gt;"Oui",0,IF(COUNTIF($I95:$L95,"Oui")=0,$D95-SUM($T95:T95),ROUND($D95/COUNTIF($G95:$L95,"Oui"),2))),IF($F95="Montants convenus",IF(H95="Oui",N95,0),"")))</f>
      </c>
      <c r="V95" s="87" t="str">
        <f>IF(COUNTIF($A95:$S95,"&lt;&gt;")=0,"",IF($F95="À parts égales entre participants",IF(I95&lt;&gt;"Oui",0,IF(COUNTIF($J95:$L95,"Oui")=0,$D95-SUM($T95:U95),ROUND($D95/COUNTIF($G95:$L95,"Oui"),2))),IF($F95="Montants convenus",IF(I95="Oui",O95,0),"")))</f>
      </c>
      <c r="W95" s="87" t="str">
        <f>IF(COUNTIF($A95:$S95,"&lt;&gt;")=0,"",IF($F95="À parts égales entre participants",IF(J95&lt;&gt;"Oui",0,IF(COUNTIF($K95:$L95,"Oui")=0,$D95-SUM($T95:V95),ROUND($D95/COUNTIF($G95:$L95,"Oui"),2))),IF($F95="Montants convenus",IF(J95="Oui",P95,0),"")))</f>
      </c>
      <c r="X95" s="87" t="str">
        <f>IF(COUNTIF($A95:$S95,"&lt;&gt;")=0,"",IF($F95="À parts égales entre participants",IF(K95&lt;&gt;"Oui",0,IF(COUNTIF($L95:$L95,"Oui")=0,$D95-SUM($T95:W95),ROUND($D95/COUNTIF($G95:$L95,"Oui"),2))),IF($F95="Montants convenus",IF(K95="Oui",Q95,0),"")))</f>
      </c>
      <c r="Y95" s="87" t="str">
        <f>IF(COUNTIF($A95:$S95,"&lt;&gt;")=0,"",IF($F95="À parts égales entre participants",IF(L95&lt;&gt;"Oui",0,IF(0=0,$D95-SUM($T95:X95),ROUND($D95/COUNTIF($G95:$L95,"Oui"),2))),IF($F95="Montants convenus",IF(L95="Oui",R95,0),"")))</f>
      </c>
      <c r="Z95" s="81" t="str">
        <f>IF(COUNTIF($A95:$S95,"&lt;&gt;")=0,"",IF(OR($D95="",$D95&lt;=0),"Saisissez un montant supérieur à zéro.",IF($E95="","Sélectionnez la personne qui a payé.",IF(COUNTIF($G95:$L95,"Oui")=0,"Sélectionnez au moins une personne participante.",IF($F95="À parts égales entre participants","Vérifié",IF($F95="Montants convenus",IF(OR(AND(G95="Oui",M95=""),AND(H95="Oui",N95=""),AND(I95="Oui",O95=""),AND(J95="Oui",P95=""),AND(K95="Oui",Q95=""),AND(L95="Oui",R95="")),"Saisissez les montants convenus pour que leur somme corresponde à la dépense.",IF(ABS(SUM($M95:$R95))&lt;0.005,"Saisissez les montants convenus pour que leur somme corresponde à la dépense.",IF(SUM($M95:$R95)&lt;$D95-0.005,"Montant restant à répartir : "&amp;ROUND($D95-SUM($M95:$R95),2)&amp;".",IF(SUM($M95:$R95)&gt;$D95+0.005,"Montant réparti en trop : "&amp;ROUND(SUM($M95:$R95)-$D95,2)&amp;".","Vérifié")))),"Saisissez les montants convenus pour que leur somme corresponde à la dépense."))))))</f>
      </c>
    </row>
    <row r="96">
      <c r="A96" s="83"/>
      <c r="B96" s="57"/>
      <c r="C96" s="57"/>
      <c r="D96" s="85"/>
      <c r="E96" s="57"/>
      <c r="F96" s="57"/>
      <c r="G96" s="57"/>
      <c r="H96" s="57"/>
      <c r="I96" s="57"/>
      <c r="J96" s="57"/>
      <c r="K96" s="57"/>
      <c r="L96" s="57"/>
      <c r="M96" s="85"/>
      <c r="N96" s="85"/>
      <c r="O96" s="85"/>
      <c r="P96" s="85"/>
      <c r="Q96" s="85"/>
      <c r="R96" s="85"/>
      <c r="S96" s="57"/>
      <c r="T96" s="87" t="str">
        <f>IF(COUNTIF($A96:$S96,"&lt;&gt;")=0,"",IF($F96="À parts égales entre participants",IF(G96&lt;&gt;"Oui",0,IF(COUNTIF($H96:$L96,"Oui")=0,$D96-0,ROUND($D96/COUNTIF($G96:$L96,"Oui"),2))),IF($F96="Montants convenus",IF(G96="Oui",M96,0),"")))</f>
      </c>
      <c r="U96" s="87" t="str">
        <f>IF(COUNTIF($A96:$S96,"&lt;&gt;")=0,"",IF($F96="À parts égales entre participants",IF(H96&lt;&gt;"Oui",0,IF(COUNTIF($I96:$L96,"Oui")=0,$D96-SUM($T96:T96),ROUND($D96/COUNTIF($G96:$L96,"Oui"),2))),IF($F96="Montants convenus",IF(H96="Oui",N96,0),"")))</f>
      </c>
      <c r="V96" s="87" t="str">
        <f>IF(COUNTIF($A96:$S96,"&lt;&gt;")=0,"",IF($F96="À parts égales entre participants",IF(I96&lt;&gt;"Oui",0,IF(COUNTIF($J96:$L96,"Oui")=0,$D96-SUM($T96:U96),ROUND($D96/COUNTIF($G96:$L96,"Oui"),2))),IF($F96="Montants convenus",IF(I96="Oui",O96,0),"")))</f>
      </c>
      <c r="W96" s="87" t="str">
        <f>IF(COUNTIF($A96:$S96,"&lt;&gt;")=0,"",IF($F96="À parts égales entre participants",IF(J96&lt;&gt;"Oui",0,IF(COUNTIF($K96:$L96,"Oui")=0,$D96-SUM($T96:V96),ROUND($D96/COUNTIF($G96:$L96,"Oui"),2))),IF($F96="Montants convenus",IF(J96="Oui",P96,0),"")))</f>
      </c>
      <c r="X96" s="87" t="str">
        <f>IF(COUNTIF($A96:$S96,"&lt;&gt;")=0,"",IF($F96="À parts égales entre participants",IF(K96&lt;&gt;"Oui",0,IF(COUNTIF($L96:$L96,"Oui")=0,$D96-SUM($T96:W96),ROUND($D96/COUNTIF($G96:$L96,"Oui"),2))),IF($F96="Montants convenus",IF(K96="Oui",Q96,0),"")))</f>
      </c>
      <c r="Y96" s="87" t="str">
        <f>IF(COUNTIF($A96:$S96,"&lt;&gt;")=0,"",IF($F96="À parts égales entre participants",IF(L96&lt;&gt;"Oui",0,IF(0=0,$D96-SUM($T96:X96),ROUND($D96/COUNTIF($G96:$L96,"Oui"),2))),IF($F96="Montants convenus",IF(L96="Oui",R96,0),"")))</f>
      </c>
      <c r="Z96" s="81" t="str">
        <f>IF(COUNTIF($A96:$S96,"&lt;&gt;")=0,"",IF(OR($D96="",$D96&lt;=0),"Saisissez un montant supérieur à zéro.",IF($E96="","Sélectionnez la personne qui a payé.",IF(COUNTIF($G96:$L96,"Oui")=0,"Sélectionnez au moins une personne participante.",IF($F96="À parts égales entre participants","Vérifié",IF($F96="Montants convenus",IF(OR(AND(G96="Oui",M96=""),AND(H96="Oui",N96=""),AND(I96="Oui",O96=""),AND(J96="Oui",P96=""),AND(K96="Oui",Q96=""),AND(L96="Oui",R96="")),"Saisissez les montants convenus pour que leur somme corresponde à la dépense.",IF(ABS(SUM($M96:$R96))&lt;0.005,"Saisissez les montants convenus pour que leur somme corresponde à la dépense.",IF(SUM($M96:$R96)&lt;$D96-0.005,"Montant restant à répartir : "&amp;ROUND($D96-SUM($M96:$R96),2)&amp;".",IF(SUM($M96:$R96)&gt;$D96+0.005,"Montant réparti en trop : "&amp;ROUND(SUM($M96:$R96)-$D96,2)&amp;".","Vérifié")))),"Saisissez les montants convenus pour que leur somme corresponde à la dépense."))))))</f>
      </c>
    </row>
    <row r="97">
      <c r="A97" s="83"/>
      <c r="B97" s="57"/>
      <c r="C97" s="57"/>
      <c r="D97" s="85"/>
      <c r="E97" s="57"/>
      <c r="F97" s="57"/>
      <c r="G97" s="57"/>
      <c r="H97" s="57"/>
      <c r="I97" s="57"/>
      <c r="J97" s="57"/>
      <c r="K97" s="57"/>
      <c r="L97" s="57"/>
      <c r="M97" s="85"/>
      <c r="N97" s="85"/>
      <c r="O97" s="85"/>
      <c r="P97" s="85"/>
      <c r="Q97" s="85"/>
      <c r="R97" s="85"/>
      <c r="S97" s="57"/>
      <c r="T97" s="87" t="str">
        <f>IF(COUNTIF($A97:$S97,"&lt;&gt;")=0,"",IF($F97="À parts égales entre participants",IF(G97&lt;&gt;"Oui",0,IF(COUNTIF($H97:$L97,"Oui")=0,$D97-0,ROUND($D97/COUNTIF($G97:$L97,"Oui"),2))),IF($F97="Montants convenus",IF(G97="Oui",M97,0),"")))</f>
      </c>
      <c r="U97" s="87" t="str">
        <f>IF(COUNTIF($A97:$S97,"&lt;&gt;")=0,"",IF($F97="À parts égales entre participants",IF(H97&lt;&gt;"Oui",0,IF(COUNTIF($I97:$L97,"Oui")=0,$D97-SUM($T97:T97),ROUND($D97/COUNTIF($G97:$L97,"Oui"),2))),IF($F97="Montants convenus",IF(H97="Oui",N97,0),"")))</f>
      </c>
      <c r="V97" s="87" t="str">
        <f>IF(COUNTIF($A97:$S97,"&lt;&gt;")=0,"",IF($F97="À parts égales entre participants",IF(I97&lt;&gt;"Oui",0,IF(COUNTIF($J97:$L97,"Oui")=0,$D97-SUM($T97:U97),ROUND($D97/COUNTIF($G97:$L97,"Oui"),2))),IF($F97="Montants convenus",IF(I97="Oui",O97,0),"")))</f>
      </c>
      <c r="W97" s="87" t="str">
        <f>IF(COUNTIF($A97:$S97,"&lt;&gt;")=0,"",IF($F97="À parts égales entre participants",IF(J97&lt;&gt;"Oui",0,IF(COUNTIF($K97:$L97,"Oui")=0,$D97-SUM($T97:V97),ROUND($D97/COUNTIF($G97:$L97,"Oui"),2))),IF($F97="Montants convenus",IF(J97="Oui",P97,0),"")))</f>
      </c>
      <c r="X97" s="87" t="str">
        <f>IF(COUNTIF($A97:$S97,"&lt;&gt;")=0,"",IF($F97="À parts égales entre participants",IF(K97&lt;&gt;"Oui",0,IF(COUNTIF($L97:$L97,"Oui")=0,$D97-SUM($T97:W97),ROUND($D97/COUNTIF($G97:$L97,"Oui"),2))),IF($F97="Montants convenus",IF(K97="Oui",Q97,0),"")))</f>
      </c>
      <c r="Y97" s="87" t="str">
        <f>IF(COUNTIF($A97:$S97,"&lt;&gt;")=0,"",IF($F97="À parts égales entre participants",IF(L97&lt;&gt;"Oui",0,IF(0=0,$D97-SUM($T97:X97),ROUND($D97/COUNTIF($G97:$L97,"Oui"),2))),IF($F97="Montants convenus",IF(L97="Oui",R97,0),"")))</f>
      </c>
      <c r="Z97" s="81" t="str">
        <f>IF(COUNTIF($A97:$S97,"&lt;&gt;")=0,"",IF(OR($D97="",$D97&lt;=0),"Saisissez un montant supérieur à zéro.",IF($E97="","Sélectionnez la personne qui a payé.",IF(COUNTIF($G97:$L97,"Oui")=0,"Sélectionnez au moins une personne participante.",IF($F97="À parts égales entre participants","Vérifié",IF($F97="Montants convenus",IF(OR(AND(G97="Oui",M97=""),AND(H97="Oui",N97=""),AND(I97="Oui",O97=""),AND(J97="Oui",P97=""),AND(K97="Oui",Q97=""),AND(L97="Oui",R97="")),"Saisissez les montants convenus pour que leur somme corresponde à la dépense.",IF(ABS(SUM($M97:$R97))&lt;0.005,"Saisissez les montants convenus pour que leur somme corresponde à la dépense.",IF(SUM($M97:$R97)&lt;$D97-0.005,"Montant restant à répartir : "&amp;ROUND($D97-SUM($M97:$R97),2)&amp;".",IF(SUM($M97:$R97)&gt;$D97+0.005,"Montant réparti en trop : "&amp;ROUND(SUM($M97:$R97)-$D97,2)&amp;".","Vérifié")))),"Saisissez les montants convenus pour que leur somme corresponde à la dépense."))))))</f>
      </c>
    </row>
    <row r="98">
      <c r="A98" s="83"/>
      <c r="B98" s="57"/>
      <c r="C98" s="57"/>
      <c r="D98" s="85"/>
      <c r="E98" s="57"/>
      <c r="F98" s="57"/>
      <c r="G98" s="57"/>
      <c r="H98" s="57"/>
      <c r="I98" s="57"/>
      <c r="J98" s="57"/>
      <c r="K98" s="57"/>
      <c r="L98" s="57"/>
      <c r="M98" s="85"/>
      <c r="N98" s="85"/>
      <c r="O98" s="85"/>
      <c r="P98" s="85"/>
      <c r="Q98" s="85"/>
      <c r="R98" s="85"/>
      <c r="S98" s="57"/>
      <c r="T98" s="87" t="str">
        <f>IF(COUNTIF($A98:$S98,"&lt;&gt;")=0,"",IF($F98="À parts égales entre participants",IF(G98&lt;&gt;"Oui",0,IF(COUNTIF($H98:$L98,"Oui")=0,$D98-0,ROUND($D98/COUNTIF($G98:$L98,"Oui"),2))),IF($F98="Montants convenus",IF(G98="Oui",M98,0),"")))</f>
      </c>
      <c r="U98" s="87" t="str">
        <f>IF(COUNTIF($A98:$S98,"&lt;&gt;")=0,"",IF($F98="À parts égales entre participants",IF(H98&lt;&gt;"Oui",0,IF(COUNTIF($I98:$L98,"Oui")=0,$D98-SUM($T98:T98),ROUND($D98/COUNTIF($G98:$L98,"Oui"),2))),IF($F98="Montants convenus",IF(H98="Oui",N98,0),"")))</f>
      </c>
      <c r="V98" s="87" t="str">
        <f>IF(COUNTIF($A98:$S98,"&lt;&gt;")=0,"",IF($F98="À parts égales entre participants",IF(I98&lt;&gt;"Oui",0,IF(COUNTIF($J98:$L98,"Oui")=0,$D98-SUM($T98:U98),ROUND($D98/COUNTIF($G98:$L98,"Oui"),2))),IF($F98="Montants convenus",IF(I98="Oui",O98,0),"")))</f>
      </c>
      <c r="W98" s="87" t="str">
        <f>IF(COUNTIF($A98:$S98,"&lt;&gt;")=0,"",IF($F98="À parts égales entre participants",IF(J98&lt;&gt;"Oui",0,IF(COUNTIF($K98:$L98,"Oui")=0,$D98-SUM($T98:V98),ROUND($D98/COUNTIF($G98:$L98,"Oui"),2))),IF($F98="Montants convenus",IF(J98="Oui",P98,0),"")))</f>
      </c>
      <c r="X98" s="87" t="str">
        <f>IF(COUNTIF($A98:$S98,"&lt;&gt;")=0,"",IF($F98="À parts égales entre participants",IF(K98&lt;&gt;"Oui",0,IF(COUNTIF($L98:$L98,"Oui")=0,$D98-SUM($T98:W98),ROUND($D98/COUNTIF($G98:$L98,"Oui"),2))),IF($F98="Montants convenus",IF(K98="Oui",Q98,0),"")))</f>
      </c>
      <c r="Y98" s="87" t="str">
        <f>IF(COUNTIF($A98:$S98,"&lt;&gt;")=0,"",IF($F98="À parts égales entre participants",IF(L98&lt;&gt;"Oui",0,IF(0=0,$D98-SUM($T98:X98),ROUND($D98/COUNTIF($G98:$L98,"Oui"),2))),IF($F98="Montants convenus",IF(L98="Oui",R98,0),"")))</f>
      </c>
      <c r="Z98" s="81" t="str">
        <f>IF(COUNTIF($A98:$S98,"&lt;&gt;")=0,"",IF(OR($D98="",$D98&lt;=0),"Saisissez un montant supérieur à zéro.",IF($E98="","Sélectionnez la personne qui a payé.",IF(COUNTIF($G98:$L98,"Oui")=0,"Sélectionnez au moins une personne participante.",IF($F98="À parts égales entre participants","Vérifié",IF($F98="Montants convenus",IF(OR(AND(G98="Oui",M98=""),AND(H98="Oui",N98=""),AND(I98="Oui",O98=""),AND(J98="Oui",P98=""),AND(K98="Oui",Q98=""),AND(L98="Oui",R98="")),"Saisissez les montants convenus pour que leur somme corresponde à la dépense.",IF(ABS(SUM($M98:$R98))&lt;0.005,"Saisissez les montants convenus pour que leur somme corresponde à la dépense.",IF(SUM($M98:$R98)&lt;$D98-0.005,"Montant restant à répartir : "&amp;ROUND($D98-SUM($M98:$R98),2)&amp;".",IF(SUM($M98:$R98)&gt;$D98+0.005,"Montant réparti en trop : "&amp;ROUND(SUM($M98:$R98)-$D98,2)&amp;".","Vérifié")))),"Saisissez les montants convenus pour que leur somme corresponde à la dépense."))))))</f>
      </c>
    </row>
    <row r="99">
      <c r="A99" s="83"/>
      <c r="B99" s="57"/>
      <c r="C99" s="57"/>
      <c r="D99" s="85"/>
      <c r="E99" s="57"/>
      <c r="F99" s="57"/>
      <c r="G99" s="57"/>
      <c r="H99" s="57"/>
      <c r="I99" s="57"/>
      <c r="J99" s="57"/>
      <c r="K99" s="57"/>
      <c r="L99" s="57"/>
      <c r="M99" s="85"/>
      <c r="N99" s="85"/>
      <c r="O99" s="85"/>
      <c r="P99" s="85"/>
      <c r="Q99" s="85"/>
      <c r="R99" s="85"/>
      <c r="S99" s="57"/>
      <c r="T99" s="87" t="str">
        <f>IF(COUNTIF($A99:$S99,"&lt;&gt;")=0,"",IF($F99="À parts égales entre participants",IF(G99&lt;&gt;"Oui",0,IF(COUNTIF($H99:$L99,"Oui")=0,$D99-0,ROUND($D99/COUNTIF($G99:$L99,"Oui"),2))),IF($F99="Montants convenus",IF(G99="Oui",M99,0),"")))</f>
      </c>
      <c r="U99" s="87" t="str">
        <f>IF(COUNTIF($A99:$S99,"&lt;&gt;")=0,"",IF($F99="À parts égales entre participants",IF(H99&lt;&gt;"Oui",0,IF(COUNTIF($I99:$L99,"Oui")=0,$D99-SUM($T99:T99),ROUND($D99/COUNTIF($G99:$L99,"Oui"),2))),IF($F99="Montants convenus",IF(H99="Oui",N99,0),"")))</f>
      </c>
      <c r="V99" s="87" t="str">
        <f>IF(COUNTIF($A99:$S99,"&lt;&gt;")=0,"",IF($F99="À parts égales entre participants",IF(I99&lt;&gt;"Oui",0,IF(COUNTIF($J99:$L99,"Oui")=0,$D99-SUM($T99:U99),ROUND($D99/COUNTIF($G99:$L99,"Oui"),2))),IF($F99="Montants convenus",IF(I99="Oui",O99,0),"")))</f>
      </c>
      <c r="W99" s="87" t="str">
        <f>IF(COUNTIF($A99:$S99,"&lt;&gt;")=0,"",IF($F99="À parts égales entre participants",IF(J99&lt;&gt;"Oui",0,IF(COUNTIF($K99:$L99,"Oui")=0,$D99-SUM($T99:V99),ROUND($D99/COUNTIF($G99:$L99,"Oui"),2))),IF($F99="Montants convenus",IF(J99="Oui",P99,0),"")))</f>
      </c>
      <c r="X99" s="87" t="str">
        <f>IF(COUNTIF($A99:$S99,"&lt;&gt;")=0,"",IF($F99="À parts égales entre participants",IF(K99&lt;&gt;"Oui",0,IF(COUNTIF($L99:$L99,"Oui")=0,$D99-SUM($T99:W99),ROUND($D99/COUNTIF($G99:$L99,"Oui"),2))),IF($F99="Montants convenus",IF(K99="Oui",Q99,0),"")))</f>
      </c>
      <c r="Y99" s="87" t="str">
        <f>IF(COUNTIF($A99:$S99,"&lt;&gt;")=0,"",IF($F99="À parts égales entre participants",IF(L99&lt;&gt;"Oui",0,IF(0=0,$D99-SUM($T99:X99),ROUND($D99/COUNTIF($G99:$L99,"Oui"),2))),IF($F99="Montants convenus",IF(L99="Oui",R99,0),"")))</f>
      </c>
      <c r="Z99" s="81" t="str">
        <f>IF(COUNTIF($A99:$S99,"&lt;&gt;")=0,"",IF(OR($D99="",$D99&lt;=0),"Saisissez un montant supérieur à zéro.",IF($E99="","Sélectionnez la personne qui a payé.",IF(COUNTIF($G99:$L99,"Oui")=0,"Sélectionnez au moins une personne participante.",IF($F99="À parts égales entre participants","Vérifié",IF($F99="Montants convenus",IF(OR(AND(G99="Oui",M99=""),AND(H99="Oui",N99=""),AND(I99="Oui",O99=""),AND(J99="Oui",P99=""),AND(K99="Oui",Q99=""),AND(L99="Oui",R99="")),"Saisissez les montants convenus pour que leur somme corresponde à la dépense.",IF(ABS(SUM($M99:$R99))&lt;0.005,"Saisissez les montants convenus pour que leur somme corresponde à la dépense.",IF(SUM($M99:$R99)&lt;$D99-0.005,"Montant restant à répartir : "&amp;ROUND($D99-SUM($M99:$R99),2)&amp;".",IF(SUM($M99:$R99)&gt;$D99+0.005,"Montant réparti en trop : "&amp;ROUND(SUM($M99:$R99)-$D99,2)&amp;".","Vérifié")))),"Saisissez les montants convenus pour que leur somme corresponde à la dépense."))))))</f>
      </c>
    </row>
    <row r="100">
      <c r="A100" s="83"/>
      <c r="B100" s="57"/>
      <c r="C100" s="57"/>
      <c r="D100" s="85"/>
      <c r="E100" s="57"/>
      <c r="F100" s="57"/>
      <c r="G100" s="57"/>
      <c r="H100" s="57"/>
      <c r="I100" s="57"/>
      <c r="J100" s="57"/>
      <c r="K100" s="57"/>
      <c r="L100" s="57"/>
      <c r="M100" s="85"/>
      <c r="N100" s="85"/>
      <c r="O100" s="85"/>
      <c r="P100" s="85"/>
      <c r="Q100" s="85"/>
      <c r="R100" s="85"/>
      <c r="S100" s="57"/>
      <c r="T100" s="87" t="str">
        <f>IF(COUNTIF($A100:$S100,"&lt;&gt;")=0,"",IF($F100="À parts égales entre participants",IF(G100&lt;&gt;"Oui",0,IF(COUNTIF($H100:$L100,"Oui")=0,$D100-0,ROUND($D100/COUNTIF($G100:$L100,"Oui"),2))),IF($F100="Montants convenus",IF(G100="Oui",M100,0),"")))</f>
      </c>
      <c r="U100" s="87" t="str">
        <f>IF(COUNTIF($A100:$S100,"&lt;&gt;")=0,"",IF($F100="À parts égales entre participants",IF(H100&lt;&gt;"Oui",0,IF(COUNTIF($I100:$L100,"Oui")=0,$D100-SUM($T100:T100),ROUND($D100/COUNTIF($G100:$L100,"Oui"),2))),IF($F100="Montants convenus",IF(H100="Oui",N100,0),"")))</f>
      </c>
      <c r="V100" s="87" t="str">
        <f>IF(COUNTIF($A100:$S100,"&lt;&gt;")=0,"",IF($F100="À parts égales entre participants",IF(I100&lt;&gt;"Oui",0,IF(COUNTIF($J100:$L100,"Oui")=0,$D100-SUM($T100:U100),ROUND($D100/COUNTIF($G100:$L100,"Oui"),2))),IF($F100="Montants convenus",IF(I100="Oui",O100,0),"")))</f>
      </c>
      <c r="W100" s="87" t="str">
        <f>IF(COUNTIF($A100:$S100,"&lt;&gt;")=0,"",IF($F100="À parts égales entre participants",IF(J100&lt;&gt;"Oui",0,IF(COUNTIF($K100:$L100,"Oui")=0,$D100-SUM($T100:V100),ROUND($D100/COUNTIF($G100:$L100,"Oui"),2))),IF($F100="Montants convenus",IF(J100="Oui",P100,0),"")))</f>
      </c>
      <c r="X100" s="87" t="str">
        <f>IF(COUNTIF($A100:$S100,"&lt;&gt;")=0,"",IF($F100="À parts égales entre participants",IF(K100&lt;&gt;"Oui",0,IF(COUNTIF($L100:$L100,"Oui")=0,$D100-SUM($T100:W100),ROUND($D100/COUNTIF($G100:$L100,"Oui"),2))),IF($F100="Montants convenus",IF(K100="Oui",Q100,0),"")))</f>
      </c>
      <c r="Y100" s="87" t="str">
        <f>IF(COUNTIF($A100:$S100,"&lt;&gt;")=0,"",IF($F100="À parts égales entre participants",IF(L100&lt;&gt;"Oui",0,IF(0=0,$D100-SUM($T100:X100),ROUND($D100/COUNTIF($G100:$L100,"Oui"),2))),IF($F100="Montants convenus",IF(L100="Oui",R100,0),"")))</f>
      </c>
      <c r="Z100" s="81" t="str">
        <f>IF(COUNTIF($A100:$S100,"&lt;&gt;")=0,"",IF(OR($D100="",$D100&lt;=0),"Saisissez un montant supérieur à zéro.",IF($E100="","Sélectionnez la personne qui a payé.",IF(COUNTIF($G100:$L100,"Oui")=0,"Sélectionnez au moins une personne participante.",IF($F100="À parts égales entre participants","Vérifié",IF($F100="Montants convenus",IF(OR(AND(G100="Oui",M100=""),AND(H100="Oui",N100=""),AND(I100="Oui",O100=""),AND(J100="Oui",P100=""),AND(K100="Oui",Q100=""),AND(L100="Oui",R100="")),"Saisissez les montants convenus pour que leur somme corresponde à la dépense.",IF(ABS(SUM($M100:$R100))&lt;0.005,"Saisissez les montants convenus pour que leur somme corresponde à la dépense.",IF(SUM($M100:$R100)&lt;$D100-0.005,"Montant restant à répartir : "&amp;ROUND($D100-SUM($M100:$R100),2)&amp;".",IF(SUM($M100:$R100)&gt;$D100+0.005,"Montant réparti en trop : "&amp;ROUND(SUM($M100:$R100)-$D100,2)&amp;".","Vérifié")))),"Saisissez les montants convenus pour que leur somme corresponde à la dépense."))))))</f>
      </c>
    </row>
    <row r="101">
      <c r="A101" s="83"/>
      <c r="B101" s="57"/>
      <c r="C101" s="57"/>
      <c r="D101" s="85"/>
      <c r="E101" s="57"/>
      <c r="F101" s="57"/>
      <c r="G101" s="57"/>
      <c r="H101" s="57"/>
      <c r="I101" s="57"/>
      <c r="J101" s="57"/>
      <c r="K101" s="57"/>
      <c r="L101" s="57"/>
      <c r="M101" s="85"/>
      <c r="N101" s="85"/>
      <c r="O101" s="85"/>
      <c r="P101" s="85"/>
      <c r="Q101" s="85"/>
      <c r="R101" s="85"/>
      <c r="S101" s="57"/>
      <c r="T101" s="87" t="str">
        <f>IF(COUNTIF($A101:$S101,"&lt;&gt;")=0,"",IF($F101="À parts égales entre participants",IF(G101&lt;&gt;"Oui",0,IF(COUNTIF($H101:$L101,"Oui")=0,$D101-0,ROUND($D101/COUNTIF($G101:$L101,"Oui"),2))),IF($F101="Montants convenus",IF(G101="Oui",M101,0),"")))</f>
      </c>
      <c r="U101" s="87" t="str">
        <f>IF(COUNTIF($A101:$S101,"&lt;&gt;")=0,"",IF($F101="À parts égales entre participants",IF(H101&lt;&gt;"Oui",0,IF(COUNTIF($I101:$L101,"Oui")=0,$D101-SUM($T101:T101),ROUND($D101/COUNTIF($G101:$L101,"Oui"),2))),IF($F101="Montants convenus",IF(H101="Oui",N101,0),"")))</f>
      </c>
      <c r="V101" s="87" t="str">
        <f>IF(COUNTIF($A101:$S101,"&lt;&gt;")=0,"",IF($F101="À parts égales entre participants",IF(I101&lt;&gt;"Oui",0,IF(COUNTIF($J101:$L101,"Oui")=0,$D101-SUM($T101:U101),ROUND($D101/COUNTIF($G101:$L101,"Oui"),2))),IF($F101="Montants convenus",IF(I101="Oui",O101,0),"")))</f>
      </c>
      <c r="W101" s="87" t="str">
        <f>IF(COUNTIF($A101:$S101,"&lt;&gt;")=0,"",IF($F101="À parts égales entre participants",IF(J101&lt;&gt;"Oui",0,IF(COUNTIF($K101:$L101,"Oui")=0,$D101-SUM($T101:V101),ROUND($D101/COUNTIF($G101:$L101,"Oui"),2))),IF($F101="Montants convenus",IF(J101="Oui",P101,0),"")))</f>
      </c>
      <c r="X101" s="87" t="str">
        <f>IF(COUNTIF($A101:$S101,"&lt;&gt;")=0,"",IF($F101="À parts égales entre participants",IF(K101&lt;&gt;"Oui",0,IF(COUNTIF($L101:$L101,"Oui")=0,$D101-SUM($T101:W101),ROUND($D101/COUNTIF($G101:$L101,"Oui"),2))),IF($F101="Montants convenus",IF(K101="Oui",Q101,0),"")))</f>
      </c>
      <c r="Y101" s="87" t="str">
        <f>IF(COUNTIF($A101:$S101,"&lt;&gt;")=0,"",IF($F101="À parts égales entre participants",IF(L101&lt;&gt;"Oui",0,IF(0=0,$D101-SUM($T101:X101),ROUND($D101/COUNTIF($G101:$L101,"Oui"),2))),IF($F101="Montants convenus",IF(L101="Oui",R101,0),"")))</f>
      </c>
      <c r="Z101" s="81" t="str">
        <f>IF(COUNTIF($A101:$S101,"&lt;&gt;")=0,"",IF(OR($D101="",$D101&lt;=0),"Saisissez un montant supérieur à zéro.",IF($E101="","Sélectionnez la personne qui a payé.",IF(COUNTIF($G101:$L101,"Oui")=0,"Sélectionnez au moins une personne participante.",IF($F101="À parts égales entre participants","Vérifié",IF($F101="Montants convenus",IF(OR(AND(G101="Oui",M101=""),AND(H101="Oui",N101=""),AND(I101="Oui",O101=""),AND(J101="Oui",P101=""),AND(K101="Oui",Q101=""),AND(L101="Oui",R101="")),"Saisissez les montants convenus pour que leur somme corresponde à la dépense.",IF(ABS(SUM($M101:$R101))&lt;0.005,"Saisissez les montants convenus pour que leur somme corresponde à la dépense.",IF(SUM($M101:$R101)&lt;$D101-0.005,"Montant restant à répartir : "&amp;ROUND($D101-SUM($M101:$R101),2)&amp;".",IF(SUM($M101:$R101)&gt;$D101+0.005,"Montant réparti en trop : "&amp;ROUND(SUM($M101:$R101)-$D101,2)&amp;".","Vérifié")))),"Saisissez les montants convenus pour que leur somme corresponde à la dépense."))))))</f>
      </c>
    </row>
    <row r="102">
      <c r="A102" s="83"/>
      <c r="B102" s="57"/>
      <c r="C102" s="57"/>
      <c r="D102" s="85"/>
      <c r="E102" s="57"/>
      <c r="F102" s="57"/>
      <c r="G102" s="57"/>
      <c r="H102" s="57"/>
      <c r="I102" s="57"/>
      <c r="J102" s="57"/>
      <c r="K102" s="57"/>
      <c r="L102" s="57"/>
      <c r="M102" s="85"/>
      <c r="N102" s="85"/>
      <c r="O102" s="85"/>
      <c r="P102" s="85"/>
      <c r="Q102" s="85"/>
      <c r="R102" s="85"/>
      <c r="S102" s="57"/>
      <c r="T102" s="87" t="str">
        <f>IF(COUNTIF($A102:$S102,"&lt;&gt;")=0,"",IF($F102="À parts égales entre participants",IF(G102&lt;&gt;"Oui",0,IF(COUNTIF($H102:$L102,"Oui")=0,$D102-0,ROUND($D102/COUNTIF($G102:$L102,"Oui"),2))),IF($F102="Montants convenus",IF(G102="Oui",M102,0),"")))</f>
      </c>
      <c r="U102" s="87" t="str">
        <f>IF(COUNTIF($A102:$S102,"&lt;&gt;")=0,"",IF($F102="À parts égales entre participants",IF(H102&lt;&gt;"Oui",0,IF(COUNTIF($I102:$L102,"Oui")=0,$D102-SUM($T102:T102),ROUND($D102/COUNTIF($G102:$L102,"Oui"),2))),IF($F102="Montants convenus",IF(H102="Oui",N102,0),"")))</f>
      </c>
      <c r="V102" s="87" t="str">
        <f>IF(COUNTIF($A102:$S102,"&lt;&gt;")=0,"",IF($F102="À parts égales entre participants",IF(I102&lt;&gt;"Oui",0,IF(COUNTIF($J102:$L102,"Oui")=0,$D102-SUM($T102:U102),ROUND($D102/COUNTIF($G102:$L102,"Oui"),2))),IF($F102="Montants convenus",IF(I102="Oui",O102,0),"")))</f>
      </c>
      <c r="W102" s="87" t="str">
        <f>IF(COUNTIF($A102:$S102,"&lt;&gt;")=0,"",IF($F102="À parts égales entre participants",IF(J102&lt;&gt;"Oui",0,IF(COUNTIF($K102:$L102,"Oui")=0,$D102-SUM($T102:V102),ROUND($D102/COUNTIF($G102:$L102,"Oui"),2))),IF($F102="Montants convenus",IF(J102="Oui",P102,0),"")))</f>
      </c>
      <c r="X102" s="87" t="str">
        <f>IF(COUNTIF($A102:$S102,"&lt;&gt;")=0,"",IF($F102="À parts égales entre participants",IF(K102&lt;&gt;"Oui",0,IF(COUNTIF($L102:$L102,"Oui")=0,$D102-SUM($T102:W102),ROUND($D102/COUNTIF($G102:$L102,"Oui"),2))),IF($F102="Montants convenus",IF(K102="Oui",Q102,0),"")))</f>
      </c>
      <c r="Y102" s="87" t="str">
        <f>IF(COUNTIF($A102:$S102,"&lt;&gt;")=0,"",IF($F102="À parts égales entre participants",IF(L102&lt;&gt;"Oui",0,IF(0=0,$D102-SUM($T102:X102),ROUND($D102/COUNTIF($G102:$L102,"Oui"),2))),IF($F102="Montants convenus",IF(L102="Oui",R102,0),"")))</f>
      </c>
      <c r="Z102" s="81" t="str">
        <f>IF(COUNTIF($A102:$S102,"&lt;&gt;")=0,"",IF(OR($D102="",$D102&lt;=0),"Saisissez un montant supérieur à zéro.",IF($E102="","Sélectionnez la personne qui a payé.",IF(COUNTIF($G102:$L102,"Oui")=0,"Sélectionnez au moins une personne participante.",IF($F102="À parts égales entre participants","Vérifié",IF($F102="Montants convenus",IF(OR(AND(G102="Oui",M102=""),AND(H102="Oui",N102=""),AND(I102="Oui",O102=""),AND(J102="Oui",P102=""),AND(K102="Oui",Q102=""),AND(L102="Oui",R102="")),"Saisissez les montants convenus pour que leur somme corresponde à la dépense.",IF(ABS(SUM($M102:$R102))&lt;0.005,"Saisissez les montants convenus pour que leur somme corresponde à la dépense.",IF(SUM($M102:$R102)&lt;$D102-0.005,"Montant restant à répartir : "&amp;ROUND($D102-SUM($M102:$R102),2)&amp;".",IF(SUM($M102:$R102)&gt;$D102+0.005,"Montant réparti en trop : "&amp;ROUND(SUM($M102:$R102)-$D102,2)&amp;".","Vérifié")))),"Saisissez les montants convenus pour que leur somme corresponde à la dépense."))))))</f>
      </c>
    </row>
    <row r="103">
      <c r="A103" s="83"/>
      <c r="B103" s="57"/>
      <c r="C103" s="57"/>
      <c r="D103" s="85"/>
      <c r="E103" s="57"/>
      <c r="F103" s="57"/>
      <c r="G103" s="57"/>
      <c r="H103" s="57"/>
      <c r="I103" s="57"/>
      <c r="J103" s="57"/>
      <c r="K103" s="57"/>
      <c r="L103" s="57"/>
      <c r="M103" s="85"/>
      <c r="N103" s="85"/>
      <c r="O103" s="85"/>
      <c r="P103" s="85"/>
      <c r="Q103" s="85"/>
      <c r="R103" s="85"/>
      <c r="S103" s="57"/>
      <c r="T103" s="87" t="str">
        <f>IF(COUNTIF($A103:$S103,"&lt;&gt;")=0,"",IF($F103="À parts égales entre participants",IF(G103&lt;&gt;"Oui",0,IF(COUNTIF($H103:$L103,"Oui")=0,$D103-0,ROUND($D103/COUNTIF($G103:$L103,"Oui"),2))),IF($F103="Montants convenus",IF(G103="Oui",M103,0),"")))</f>
      </c>
      <c r="U103" s="87" t="str">
        <f>IF(COUNTIF($A103:$S103,"&lt;&gt;")=0,"",IF($F103="À parts égales entre participants",IF(H103&lt;&gt;"Oui",0,IF(COUNTIF($I103:$L103,"Oui")=0,$D103-SUM($T103:T103),ROUND($D103/COUNTIF($G103:$L103,"Oui"),2))),IF($F103="Montants convenus",IF(H103="Oui",N103,0),"")))</f>
      </c>
      <c r="V103" s="87" t="str">
        <f>IF(COUNTIF($A103:$S103,"&lt;&gt;")=0,"",IF($F103="À parts égales entre participants",IF(I103&lt;&gt;"Oui",0,IF(COUNTIF($J103:$L103,"Oui")=0,$D103-SUM($T103:U103),ROUND($D103/COUNTIF($G103:$L103,"Oui"),2))),IF($F103="Montants convenus",IF(I103="Oui",O103,0),"")))</f>
      </c>
      <c r="W103" s="87" t="str">
        <f>IF(COUNTIF($A103:$S103,"&lt;&gt;")=0,"",IF($F103="À parts égales entre participants",IF(J103&lt;&gt;"Oui",0,IF(COUNTIF($K103:$L103,"Oui")=0,$D103-SUM($T103:V103),ROUND($D103/COUNTIF($G103:$L103,"Oui"),2))),IF($F103="Montants convenus",IF(J103="Oui",P103,0),"")))</f>
      </c>
      <c r="X103" s="87" t="str">
        <f>IF(COUNTIF($A103:$S103,"&lt;&gt;")=0,"",IF($F103="À parts égales entre participants",IF(K103&lt;&gt;"Oui",0,IF(COUNTIF($L103:$L103,"Oui")=0,$D103-SUM($T103:W103),ROUND($D103/COUNTIF($G103:$L103,"Oui"),2))),IF($F103="Montants convenus",IF(K103="Oui",Q103,0),"")))</f>
      </c>
      <c r="Y103" s="87" t="str">
        <f>IF(COUNTIF($A103:$S103,"&lt;&gt;")=0,"",IF($F103="À parts égales entre participants",IF(L103&lt;&gt;"Oui",0,IF(0=0,$D103-SUM($T103:X103),ROUND($D103/COUNTIF($G103:$L103,"Oui"),2))),IF($F103="Montants convenus",IF(L103="Oui",R103,0),"")))</f>
      </c>
      <c r="Z103" s="81" t="str">
        <f>IF(COUNTIF($A103:$S103,"&lt;&gt;")=0,"",IF(OR($D103="",$D103&lt;=0),"Saisissez un montant supérieur à zéro.",IF($E103="","Sélectionnez la personne qui a payé.",IF(COUNTIF($G103:$L103,"Oui")=0,"Sélectionnez au moins une personne participante.",IF($F103="À parts égales entre participants","Vérifié",IF($F103="Montants convenus",IF(OR(AND(G103="Oui",M103=""),AND(H103="Oui",N103=""),AND(I103="Oui",O103=""),AND(J103="Oui",P103=""),AND(K103="Oui",Q103=""),AND(L103="Oui",R103="")),"Saisissez les montants convenus pour que leur somme corresponde à la dépense.",IF(ABS(SUM($M103:$R103))&lt;0.005,"Saisissez les montants convenus pour que leur somme corresponde à la dépense.",IF(SUM($M103:$R103)&lt;$D103-0.005,"Montant restant à répartir : "&amp;ROUND($D103-SUM($M103:$R103),2)&amp;".",IF(SUM($M103:$R103)&gt;$D103+0.005,"Montant réparti en trop : "&amp;ROUND(SUM($M103:$R103)-$D103,2)&amp;".","Vérifié")))),"Saisissez les montants convenus pour que leur somme corresponde à la dépense."))))))</f>
      </c>
    </row>
    <row r="104">
      <c r="A104" s="83"/>
      <c r="B104" s="57"/>
      <c r="C104" s="57"/>
      <c r="D104" s="85"/>
      <c r="E104" s="57"/>
      <c r="F104" s="57"/>
      <c r="G104" s="57"/>
      <c r="H104" s="57"/>
      <c r="I104" s="57"/>
      <c r="J104" s="57"/>
      <c r="K104" s="57"/>
      <c r="L104" s="57"/>
      <c r="M104" s="85"/>
      <c r="N104" s="85"/>
      <c r="O104" s="85"/>
      <c r="P104" s="85"/>
      <c r="Q104" s="85"/>
      <c r="R104" s="85"/>
      <c r="S104" s="57"/>
      <c r="T104" s="87" t="str">
        <f>IF(COUNTIF($A104:$S104,"&lt;&gt;")=0,"",IF($F104="À parts égales entre participants",IF(G104&lt;&gt;"Oui",0,IF(COUNTIF($H104:$L104,"Oui")=0,$D104-0,ROUND($D104/COUNTIF($G104:$L104,"Oui"),2))),IF($F104="Montants convenus",IF(G104="Oui",M104,0),"")))</f>
      </c>
      <c r="U104" s="87" t="str">
        <f>IF(COUNTIF($A104:$S104,"&lt;&gt;")=0,"",IF($F104="À parts égales entre participants",IF(H104&lt;&gt;"Oui",0,IF(COUNTIF($I104:$L104,"Oui")=0,$D104-SUM($T104:T104),ROUND($D104/COUNTIF($G104:$L104,"Oui"),2))),IF($F104="Montants convenus",IF(H104="Oui",N104,0),"")))</f>
      </c>
      <c r="V104" s="87" t="str">
        <f>IF(COUNTIF($A104:$S104,"&lt;&gt;")=0,"",IF($F104="À parts égales entre participants",IF(I104&lt;&gt;"Oui",0,IF(COUNTIF($J104:$L104,"Oui")=0,$D104-SUM($T104:U104),ROUND($D104/COUNTIF($G104:$L104,"Oui"),2))),IF($F104="Montants convenus",IF(I104="Oui",O104,0),"")))</f>
      </c>
      <c r="W104" s="87" t="str">
        <f>IF(COUNTIF($A104:$S104,"&lt;&gt;")=0,"",IF($F104="À parts égales entre participants",IF(J104&lt;&gt;"Oui",0,IF(COUNTIF($K104:$L104,"Oui")=0,$D104-SUM($T104:V104),ROUND($D104/COUNTIF($G104:$L104,"Oui"),2))),IF($F104="Montants convenus",IF(J104="Oui",P104,0),"")))</f>
      </c>
      <c r="X104" s="87" t="str">
        <f>IF(COUNTIF($A104:$S104,"&lt;&gt;")=0,"",IF($F104="À parts égales entre participants",IF(K104&lt;&gt;"Oui",0,IF(COUNTIF($L104:$L104,"Oui")=0,$D104-SUM($T104:W104),ROUND($D104/COUNTIF($G104:$L104,"Oui"),2))),IF($F104="Montants convenus",IF(K104="Oui",Q104,0),"")))</f>
      </c>
      <c r="Y104" s="87" t="str">
        <f>IF(COUNTIF($A104:$S104,"&lt;&gt;")=0,"",IF($F104="À parts égales entre participants",IF(L104&lt;&gt;"Oui",0,IF(0=0,$D104-SUM($T104:X104),ROUND($D104/COUNTIF($G104:$L104,"Oui"),2))),IF($F104="Montants convenus",IF(L104="Oui",R104,0),"")))</f>
      </c>
      <c r="Z104" s="81" t="str">
        <f>IF(COUNTIF($A104:$S104,"&lt;&gt;")=0,"",IF(OR($D104="",$D104&lt;=0),"Saisissez un montant supérieur à zéro.",IF($E104="","Sélectionnez la personne qui a payé.",IF(COUNTIF($G104:$L104,"Oui")=0,"Sélectionnez au moins une personne participante.",IF($F104="À parts égales entre participants","Vérifié",IF($F104="Montants convenus",IF(OR(AND(G104="Oui",M104=""),AND(H104="Oui",N104=""),AND(I104="Oui",O104=""),AND(J104="Oui",P104=""),AND(K104="Oui",Q104=""),AND(L104="Oui",R104="")),"Saisissez les montants convenus pour que leur somme corresponde à la dépense.",IF(ABS(SUM($M104:$R104))&lt;0.005,"Saisissez les montants convenus pour que leur somme corresponde à la dépense.",IF(SUM($M104:$R104)&lt;$D104-0.005,"Montant restant à répartir : "&amp;ROUND($D104-SUM($M104:$R104),2)&amp;".",IF(SUM($M104:$R104)&gt;$D104+0.005,"Montant réparti en trop : "&amp;ROUND(SUM($M104:$R104)-$D104,2)&amp;".","Vérifié")))),"Saisissez les montants convenus pour que leur somme corresponde à la dépense."))))))</f>
      </c>
    </row>
    <row r="105">
      <c r="A105" s="83"/>
      <c r="B105" s="57"/>
      <c r="C105" s="57"/>
      <c r="D105" s="85"/>
      <c r="E105" s="57"/>
      <c r="F105" s="57"/>
      <c r="G105" s="57"/>
      <c r="H105" s="57"/>
      <c r="I105" s="57"/>
      <c r="J105" s="57"/>
      <c r="K105" s="57"/>
      <c r="L105" s="57"/>
      <c r="M105" s="85"/>
      <c r="N105" s="85"/>
      <c r="O105" s="85"/>
      <c r="P105" s="85"/>
      <c r="Q105" s="85"/>
      <c r="R105" s="85"/>
      <c r="S105" s="57"/>
      <c r="T105" s="87" t="str">
        <f>IF(COUNTIF($A105:$S105,"&lt;&gt;")=0,"",IF($F105="À parts égales entre participants",IF(G105&lt;&gt;"Oui",0,IF(COUNTIF($H105:$L105,"Oui")=0,$D105-0,ROUND($D105/COUNTIF($G105:$L105,"Oui"),2))),IF($F105="Montants convenus",IF(G105="Oui",M105,0),"")))</f>
      </c>
      <c r="U105" s="87" t="str">
        <f>IF(COUNTIF($A105:$S105,"&lt;&gt;")=0,"",IF($F105="À parts égales entre participants",IF(H105&lt;&gt;"Oui",0,IF(COUNTIF($I105:$L105,"Oui")=0,$D105-SUM($T105:T105),ROUND($D105/COUNTIF($G105:$L105,"Oui"),2))),IF($F105="Montants convenus",IF(H105="Oui",N105,0),"")))</f>
      </c>
      <c r="V105" s="87" t="str">
        <f>IF(COUNTIF($A105:$S105,"&lt;&gt;")=0,"",IF($F105="À parts égales entre participants",IF(I105&lt;&gt;"Oui",0,IF(COUNTIF($J105:$L105,"Oui")=0,$D105-SUM($T105:U105),ROUND($D105/COUNTIF($G105:$L105,"Oui"),2))),IF($F105="Montants convenus",IF(I105="Oui",O105,0),"")))</f>
      </c>
      <c r="W105" s="87" t="str">
        <f>IF(COUNTIF($A105:$S105,"&lt;&gt;")=0,"",IF($F105="À parts égales entre participants",IF(J105&lt;&gt;"Oui",0,IF(COUNTIF($K105:$L105,"Oui")=0,$D105-SUM($T105:V105),ROUND($D105/COUNTIF($G105:$L105,"Oui"),2))),IF($F105="Montants convenus",IF(J105="Oui",P105,0),"")))</f>
      </c>
      <c r="X105" s="87" t="str">
        <f>IF(COUNTIF($A105:$S105,"&lt;&gt;")=0,"",IF($F105="À parts égales entre participants",IF(K105&lt;&gt;"Oui",0,IF(COUNTIF($L105:$L105,"Oui")=0,$D105-SUM($T105:W105),ROUND($D105/COUNTIF($G105:$L105,"Oui"),2))),IF($F105="Montants convenus",IF(K105="Oui",Q105,0),"")))</f>
      </c>
      <c r="Y105" s="87" t="str">
        <f>IF(COUNTIF($A105:$S105,"&lt;&gt;")=0,"",IF($F105="À parts égales entre participants",IF(L105&lt;&gt;"Oui",0,IF(0=0,$D105-SUM($T105:X105),ROUND($D105/COUNTIF($G105:$L105,"Oui"),2))),IF($F105="Montants convenus",IF(L105="Oui",R105,0),"")))</f>
      </c>
      <c r="Z105" s="81" t="str">
        <f>IF(COUNTIF($A105:$S105,"&lt;&gt;")=0,"",IF(OR($D105="",$D105&lt;=0),"Saisissez un montant supérieur à zéro.",IF($E105="","Sélectionnez la personne qui a payé.",IF(COUNTIF($G105:$L105,"Oui")=0,"Sélectionnez au moins une personne participante.",IF($F105="À parts égales entre participants","Vérifié",IF($F105="Montants convenus",IF(OR(AND(G105="Oui",M105=""),AND(H105="Oui",N105=""),AND(I105="Oui",O105=""),AND(J105="Oui",P105=""),AND(K105="Oui",Q105=""),AND(L105="Oui",R105="")),"Saisissez les montants convenus pour que leur somme corresponde à la dépense.",IF(ABS(SUM($M105:$R105))&lt;0.005,"Saisissez les montants convenus pour que leur somme corresponde à la dépense.",IF(SUM($M105:$R105)&lt;$D105-0.005,"Montant restant à répartir : "&amp;ROUND($D105-SUM($M105:$R105),2)&amp;".",IF(SUM($M105:$R105)&gt;$D105+0.005,"Montant réparti en trop : "&amp;ROUND(SUM($M105:$R105)-$D105,2)&amp;".","Vérifié")))),"Saisissez les montants convenus pour que leur somme corresponde à la dépense."))))))</f>
      </c>
    </row>
    <row r="106">
      <c r="A106" s="83"/>
      <c r="B106" s="57"/>
      <c r="C106" s="57"/>
      <c r="D106" s="85"/>
      <c r="E106" s="57"/>
      <c r="F106" s="57"/>
      <c r="G106" s="57"/>
      <c r="H106" s="57"/>
      <c r="I106" s="57"/>
      <c r="J106" s="57"/>
      <c r="K106" s="57"/>
      <c r="L106" s="57"/>
      <c r="M106" s="85"/>
      <c r="N106" s="85"/>
      <c r="O106" s="85"/>
      <c r="P106" s="85"/>
      <c r="Q106" s="85"/>
      <c r="R106" s="85"/>
      <c r="S106" s="57"/>
      <c r="T106" s="87" t="str">
        <f>IF(COUNTIF($A106:$S106,"&lt;&gt;")=0,"",IF($F106="À parts égales entre participants",IF(G106&lt;&gt;"Oui",0,IF(COUNTIF($H106:$L106,"Oui")=0,$D106-0,ROUND($D106/COUNTIF($G106:$L106,"Oui"),2))),IF($F106="Montants convenus",IF(G106="Oui",M106,0),"")))</f>
      </c>
      <c r="U106" s="87" t="str">
        <f>IF(COUNTIF($A106:$S106,"&lt;&gt;")=0,"",IF($F106="À parts égales entre participants",IF(H106&lt;&gt;"Oui",0,IF(COUNTIF($I106:$L106,"Oui")=0,$D106-SUM($T106:T106),ROUND($D106/COUNTIF($G106:$L106,"Oui"),2))),IF($F106="Montants convenus",IF(H106="Oui",N106,0),"")))</f>
      </c>
      <c r="V106" s="87" t="str">
        <f>IF(COUNTIF($A106:$S106,"&lt;&gt;")=0,"",IF($F106="À parts égales entre participants",IF(I106&lt;&gt;"Oui",0,IF(COUNTIF($J106:$L106,"Oui")=0,$D106-SUM($T106:U106),ROUND($D106/COUNTIF($G106:$L106,"Oui"),2))),IF($F106="Montants convenus",IF(I106="Oui",O106,0),"")))</f>
      </c>
      <c r="W106" s="87" t="str">
        <f>IF(COUNTIF($A106:$S106,"&lt;&gt;")=0,"",IF($F106="À parts égales entre participants",IF(J106&lt;&gt;"Oui",0,IF(COUNTIF($K106:$L106,"Oui")=0,$D106-SUM($T106:V106),ROUND($D106/COUNTIF($G106:$L106,"Oui"),2))),IF($F106="Montants convenus",IF(J106="Oui",P106,0),"")))</f>
      </c>
      <c r="X106" s="87" t="str">
        <f>IF(COUNTIF($A106:$S106,"&lt;&gt;")=0,"",IF($F106="À parts égales entre participants",IF(K106&lt;&gt;"Oui",0,IF(COUNTIF($L106:$L106,"Oui")=0,$D106-SUM($T106:W106),ROUND($D106/COUNTIF($G106:$L106,"Oui"),2))),IF($F106="Montants convenus",IF(K106="Oui",Q106,0),"")))</f>
      </c>
      <c r="Y106" s="87" t="str">
        <f>IF(COUNTIF($A106:$S106,"&lt;&gt;")=0,"",IF($F106="À parts égales entre participants",IF(L106&lt;&gt;"Oui",0,IF(0=0,$D106-SUM($T106:X106),ROUND($D106/COUNTIF($G106:$L106,"Oui"),2))),IF($F106="Montants convenus",IF(L106="Oui",R106,0),"")))</f>
      </c>
      <c r="Z106" s="81" t="str">
        <f>IF(COUNTIF($A106:$S106,"&lt;&gt;")=0,"",IF(OR($D106="",$D106&lt;=0),"Saisissez un montant supérieur à zéro.",IF($E106="","Sélectionnez la personne qui a payé.",IF(COUNTIF($G106:$L106,"Oui")=0,"Sélectionnez au moins une personne participante.",IF($F106="À parts égales entre participants","Vérifié",IF($F106="Montants convenus",IF(OR(AND(G106="Oui",M106=""),AND(H106="Oui",N106=""),AND(I106="Oui",O106=""),AND(J106="Oui",P106=""),AND(K106="Oui",Q106=""),AND(L106="Oui",R106="")),"Saisissez les montants convenus pour que leur somme corresponde à la dépense.",IF(ABS(SUM($M106:$R106))&lt;0.005,"Saisissez les montants convenus pour que leur somme corresponde à la dépense.",IF(SUM($M106:$R106)&lt;$D106-0.005,"Montant restant à répartir : "&amp;ROUND($D106-SUM($M106:$R106),2)&amp;".",IF(SUM($M106:$R106)&gt;$D106+0.005,"Montant réparti en trop : "&amp;ROUND(SUM($M106:$R106)-$D106,2)&amp;".","Vérifié")))),"Saisissez les montants convenus pour que leur somme corresponde à la dépense."))))))</f>
      </c>
    </row>
    <row r="107">
      <c r="A107" s="83"/>
      <c r="B107" s="57"/>
      <c r="C107" s="57"/>
      <c r="D107" s="85"/>
      <c r="E107" s="57"/>
      <c r="F107" s="57"/>
      <c r="G107" s="57"/>
      <c r="H107" s="57"/>
      <c r="I107" s="57"/>
      <c r="J107" s="57"/>
      <c r="K107" s="57"/>
      <c r="L107" s="57"/>
      <c r="M107" s="85"/>
      <c r="N107" s="85"/>
      <c r="O107" s="85"/>
      <c r="P107" s="85"/>
      <c r="Q107" s="85"/>
      <c r="R107" s="85"/>
      <c r="S107" s="57"/>
      <c r="T107" s="87" t="str">
        <f>IF(COUNTIF($A107:$S107,"&lt;&gt;")=0,"",IF($F107="À parts égales entre participants",IF(G107&lt;&gt;"Oui",0,IF(COUNTIF($H107:$L107,"Oui")=0,$D107-0,ROUND($D107/COUNTIF($G107:$L107,"Oui"),2))),IF($F107="Montants convenus",IF(G107="Oui",M107,0),"")))</f>
      </c>
      <c r="U107" s="87" t="str">
        <f>IF(COUNTIF($A107:$S107,"&lt;&gt;")=0,"",IF($F107="À parts égales entre participants",IF(H107&lt;&gt;"Oui",0,IF(COUNTIF($I107:$L107,"Oui")=0,$D107-SUM($T107:T107),ROUND($D107/COUNTIF($G107:$L107,"Oui"),2))),IF($F107="Montants convenus",IF(H107="Oui",N107,0),"")))</f>
      </c>
      <c r="V107" s="87" t="str">
        <f>IF(COUNTIF($A107:$S107,"&lt;&gt;")=0,"",IF($F107="À parts égales entre participants",IF(I107&lt;&gt;"Oui",0,IF(COUNTIF($J107:$L107,"Oui")=0,$D107-SUM($T107:U107),ROUND($D107/COUNTIF($G107:$L107,"Oui"),2))),IF($F107="Montants convenus",IF(I107="Oui",O107,0),"")))</f>
      </c>
      <c r="W107" s="87" t="str">
        <f>IF(COUNTIF($A107:$S107,"&lt;&gt;")=0,"",IF($F107="À parts égales entre participants",IF(J107&lt;&gt;"Oui",0,IF(COUNTIF($K107:$L107,"Oui")=0,$D107-SUM($T107:V107),ROUND($D107/COUNTIF($G107:$L107,"Oui"),2))),IF($F107="Montants convenus",IF(J107="Oui",P107,0),"")))</f>
      </c>
      <c r="X107" s="87" t="str">
        <f>IF(COUNTIF($A107:$S107,"&lt;&gt;")=0,"",IF($F107="À parts égales entre participants",IF(K107&lt;&gt;"Oui",0,IF(COUNTIF($L107:$L107,"Oui")=0,$D107-SUM($T107:W107),ROUND($D107/COUNTIF($G107:$L107,"Oui"),2))),IF($F107="Montants convenus",IF(K107="Oui",Q107,0),"")))</f>
      </c>
      <c r="Y107" s="87" t="str">
        <f>IF(COUNTIF($A107:$S107,"&lt;&gt;")=0,"",IF($F107="À parts égales entre participants",IF(L107&lt;&gt;"Oui",0,IF(0=0,$D107-SUM($T107:X107),ROUND($D107/COUNTIF($G107:$L107,"Oui"),2))),IF($F107="Montants convenus",IF(L107="Oui",R107,0),"")))</f>
      </c>
      <c r="Z107" s="81" t="str">
        <f>IF(COUNTIF($A107:$S107,"&lt;&gt;")=0,"",IF(OR($D107="",$D107&lt;=0),"Saisissez un montant supérieur à zéro.",IF($E107="","Sélectionnez la personne qui a payé.",IF(COUNTIF($G107:$L107,"Oui")=0,"Sélectionnez au moins une personne participante.",IF($F107="À parts égales entre participants","Vérifié",IF($F107="Montants convenus",IF(OR(AND(G107="Oui",M107=""),AND(H107="Oui",N107=""),AND(I107="Oui",O107=""),AND(J107="Oui",P107=""),AND(K107="Oui",Q107=""),AND(L107="Oui",R107="")),"Saisissez les montants convenus pour que leur somme corresponde à la dépense.",IF(ABS(SUM($M107:$R107))&lt;0.005,"Saisissez les montants convenus pour que leur somme corresponde à la dépense.",IF(SUM($M107:$R107)&lt;$D107-0.005,"Montant restant à répartir : "&amp;ROUND($D107-SUM($M107:$R107),2)&amp;".",IF(SUM($M107:$R107)&gt;$D107+0.005,"Montant réparti en trop : "&amp;ROUND(SUM($M107:$R107)-$D107,2)&amp;".","Vérifié")))),"Saisissez les montants convenus pour que leur somme corresponde à la dépense."))))))</f>
      </c>
    </row>
    <row r="108">
      <c r="A108" s="83"/>
      <c r="B108" s="57"/>
      <c r="C108" s="57"/>
      <c r="D108" s="85"/>
      <c r="E108" s="57"/>
      <c r="F108" s="57"/>
      <c r="G108" s="57"/>
      <c r="H108" s="57"/>
      <c r="I108" s="57"/>
      <c r="J108" s="57"/>
      <c r="K108" s="57"/>
      <c r="L108" s="57"/>
      <c r="M108" s="85"/>
      <c r="N108" s="85"/>
      <c r="O108" s="85"/>
      <c r="P108" s="85"/>
      <c r="Q108" s="85"/>
      <c r="R108" s="85"/>
      <c r="S108" s="57"/>
      <c r="T108" s="87" t="str">
        <f>IF(COUNTIF($A108:$S108,"&lt;&gt;")=0,"",IF($F108="À parts égales entre participants",IF(G108&lt;&gt;"Oui",0,IF(COUNTIF($H108:$L108,"Oui")=0,$D108-0,ROUND($D108/COUNTIF($G108:$L108,"Oui"),2))),IF($F108="Montants convenus",IF(G108="Oui",M108,0),"")))</f>
      </c>
      <c r="U108" s="87" t="str">
        <f>IF(COUNTIF($A108:$S108,"&lt;&gt;")=0,"",IF($F108="À parts égales entre participants",IF(H108&lt;&gt;"Oui",0,IF(COUNTIF($I108:$L108,"Oui")=0,$D108-SUM($T108:T108),ROUND($D108/COUNTIF($G108:$L108,"Oui"),2))),IF($F108="Montants convenus",IF(H108="Oui",N108,0),"")))</f>
      </c>
      <c r="V108" s="87" t="str">
        <f>IF(COUNTIF($A108:$S108,"&lt;&gt;")=0,"",IF($F108="À parts égales entre participants",IF(I108&lt;&gt;"Oui",0,IF(COUNTIF($J108:$L108,"Oui")=0,$D108-SUM($T108:U108),ROUND($D108/COUNTIF($G108:$L108,"Oui"),2))),IF($F108="Montants convenus",IF(I108="Oui",O108,0),"")))</f>
      </c>
      <c r="W108" s="87" t="str">
        <f>IF(COUNTIF($A108:$S108,"&lt;&gt;")=0,"",IF($F108="À parts égales entre participants",IF(J108&lt;&gt;"Oui",0,IF(COUNTIF($K108:$L108,"Oui")=0,$D108-SUM($T108:V108),ROUND($D108/COUNTIF($G108:$L108,"Oui"),2))),IF($F108="Montants convenus",IF(J108="Oui",P108,0),"")))</f>
      </c>
      <c r="X108" s="87" t="str">
        <f>IF(COUNTIF($A108:$S108,"&lt;&gt;")=0,"",IF($F108="À parts égales entre participants",IF(K108&lt;&gt;"Oui",0,IF(COUNTIF($L108:$L108,"Oui")=0,$D108-SUM($T108:W108),ROUND($D108/COUNTIF($G108:$L108,"Oui"),2))),IF($F108="Montants convenus",IF(K108="Oui",Q108,0),"")))</f>
      </c>
      <c r="Y108" s="87" t="str">
        <f>IF(COUNTIF($A108:$S108,"&lt;&gt;")=0,"",IF($F108="À parts égales entre participants",IF(L108&lt;&gt;"Oui",0,IF(0=0,$D108-SUM($T108:X108),ROUND($D108/COUNTIF($G108:$L108,"Oui"),2))),IF($F108="Montants convenus",IF(L108="Oui",R108,0),"")))</f>
      </c>
      <c r="Z108" s="81" t="str">
        <f>IF(COUNTIF($A108:$S108,"&lt;&gt;")=0,"",IF(OR($D108="",$D108&lt;=0),"Saisissez un montant supérieur à zéro.",IF($E108="","Sélectionnez la personne qui a payé.",IF(COUNTIF($G108:$L108,"Oui")=0,"Sélectionnez au moins une personne participante.",IF($F108="À parts égales entre participants","Vérifié",IF($F108="Montants convenus",IF(OR(AND(G108="Oui",M108=""),AND(H108="Oui",N108=""),AND(I108="Oui",O108=""),AND(J108="Oui",P108=""),AND(K108="Oui",Q108=""),AND(L108="Oui",R108="")),"Saisissez les montants convenus pour que leur somme corresponde à la dépense.",IF(ABS(SUM($M108:$R108))&lt;0.005,"Saisissez les montants convenus pour que leur somme corresponde à la dépense.",IF(SUM($M108:$R108)&lt;$D108-0.005,"Montant restant à répartir : "&amp;ROUND($D108-SUM($M108:$R108),2)&amp;".",IF(SUM($M108:$R108)&gt;$D108+0.005,"Montant réparti en trop : "&amp;ROUND(SUM($M108:$R108)-$D108,2)&amp;".","Vérifié")))),"Saisissez les montants convenus pour que leur somme corresponde à la dépense."))))))</f>
      </c>
    </row>
    <row r="109">
      <c r="A109" s="83"/>
      <c r="B109" s="57"/>
      <c r="C109" s="57"/>
      <c r="D109" s="85"/>
      <c r="E109" s="57"/>
      <c r="F109" s="57"/>
      <c r="G109" s="57"/>
      <c r="H109" s="57"/>
      <c r="I109" s="57"/>
      <c r="J109" s="57"/>
      <c r="K109" s="57"/>
      <c r="L109" s="57"/>
      <c r="M109" s="85"/>
      <c r="N109" s="85"/>
      <c r="O109" s="85"/>
      <c r="P109" s="85"/>
      <c r="Q109" s="85"/>
      <c r="R109" s="85"/>
      <c r="S109" s="57"/>
      <c r="T109" s="87" t="str">
        <f>IF(COUNTIF($A109:$S109,"&lt;&gt;")=0,"",IF($F109="À parts égales entre participants",IF(G109&lt;&gt;"Oui",0,IF(COUNTIF($H109:$L109,"Oui")=0,$D109-0,ROUND($D109/COUNTIF($G109:$L109,"Oui"),2))),IF($F109="Montants convenus",IF(G109="Oui",M109,0),"")))</f>
      </c>
      <c r="U109" s="87" t="str">
        <f>IF(COUNTIF($A109:$S109,"&lt;&gt;")=0,"",IF($F109="À parts égales entre participants",IF(H109&lt;&gt;"Oui",0,IF(COUNTIF($I109:$L109,"Oui")=0,$D109-SUM($T109:T109),ROUND($D109/COUNTIF($G109:$L109,"Oui"),2))),IF($F109="Montants convenus",IF(H109="Oui",N109,0),"")))</f>
      </c>
      <c r="V109" s="87" t="str">
        <f>IF(COUNTIF($A109:$S109,"&lt;&gt;")=0,"",IF($F109="À parts égales entre participants",IF(I109&lt;&gt;"Oui",0,IF(COUNTIF($J109:$L109,"Oui")=0,$D109-SUM($T109:U109),ROUND($D109/COUNTIF($G109:$L109,"Oui"),2))),IF($F109="Montants convenus",IF(I109="Oui",O109,0),"")))</f>
      </c>
      <c r="W109" s="87" t="str">
        <f>IF(COUNTIF($A109:$S109,"&lt;&gt;")=0,"",IF($F109="À parts égales entre participants",IF(J109&lt;&gt;"Oui",0,IF(COUNTIF($K109:$L109,"Oui")=0,$D109-SUM($T109:V109),ROUND($D109/COUNTIF($G109:$L109,"Oui"),2))),IF($F109="Montants convenus",IF(J109="Oui",P109,0),"")))</f>
      </c>
      <c r="X109" s="87" t="str">
        <f>IF(COUNTIF($A109:$S109,"&lt;&gt;")=0,"",IF($F109="À parts égales entre participants",IF(K109&lt;&gt;"Oui",0,IF(COUNTIF($L109:$L109,"Oui")=0,$D109-SUM($T109:W109),ROUND($D109/COUNTIF($G109:$L109,"Oui"),2))),IF($F109="Montants convenus",IF(K109="Oui",Q109,0),"")))</f>
      </c>
      <c r="Y109" s="87" t="str">
        <f>IF(COUNTIF($A109:$S109,"&lt;&gt;")=0,"",IF($F109="À parts égales entre participants",IF(L109&lt;&gt;"Oui",0,IF(0=0,$D109-SUM($T109:X109),ROUND($D109/COUNTIF($G109:$L109,"Oui"),2))),IF($F109="Montants convenus",IF(L109="Oui",R109,0),"")))</f>
      </c>
      <c r="Z109" s="81" t="str">
        <f>IF(COUNTIF($A109:$S109,"&lt;&gt;")=0,"",IF(OR($D109="",$D109&lt;=0),"Saisissez un montant supérieur à zéro.",IF($E109="","Sélectionnez la personne qui a payé.",IF(COUNTIF($G109:$L109,"Oui")=0,"Sélectionnez au moins une personne participante.",IF($F109="À parts égales entre participants","Vérifié",IF($F109="Montants convenus",IF(OR(AND(G109="Oui",M109=""),AND(H109="Oui",N109=""),AND(I109="Oui",O109=""),AND(J109="Oui",P109=""),AND(K109="Oui",Q109=""),AND(L109="Oui",R109="")),"Saisissez les montants convenus pour que leur somme corresponde à la dépense.",IF(ABS(SUM($M109:$R109))&lt;0.005,"Saisissez les montants convenus pour que leur somme corresponde à la dépense.",IF(SUM($M109:$R109)&lt;$D109-0.005,"Montant restant à répartir : "&amp;ROUND($D109-SUM($M109:$R109),2)&amp;".",IF(SUM($M109:$R109)&gt;$D109+0.005,"Montant réparti en trop : "&amp;ROUND(SUM($M109:$R109)-$D109,2)&amp;".","Vérifié")))),"Saisissez les montants convenus pour que leur somme corresponde à la dépense."))))))</f>
      </c>
    </row>
    <row r="110">
      <c r="A110" s="83"/>
      <c r="B110" s="57"/>
      <c r="C110" s="57"/>
      <c r="D110" s="85"/>
      <c r="E110" s="57"/>
      <c r="F110" s="57"/>
      <c r="G110" s="57"/>
      <c r="H110" s="57"/>
      <c r="I110" s="57"/>
      <c r="J110" s="57"/>
      <c r="K110" s="57"/>
      <c r="L110" s="57"/>
      <c r="M110" s="85"/>
      <c r="N110" s="85"/>
      <c r="O110" s="85"/>
      <c r="P110" s="85"/>
      <c r="Q110" s="85"/>
      <c r="R110" s="85"/>
      <c r="S110" s="57"/>
      <c r="T110" s="87" t="str">
        <f>IF(COUNTIF($A110:$S110,"&lt;&gt;")=0,"",IF($F110="À parts égales entre participants",IF(G110&lt;&gt;"Oui",0,IF(COUNTIF($H110:$L110,"Oui")=0,$D110-0,ROUND($D110/COUNTIF($G110:$L110,"Oui"),2))),IF($F110="Montants convenus",IF(G110="Oui",M110,0),"")))</f>
      </c>
      <c r="U110" s="87" t="str">
        <f>IF(COUNTIF($A110:$S110,"&lt;&gt;")=0,"",IF($F110="À parts égales entre participants",IF(H110&lt;&gt;"Oui",0,IF(COUNTIF($I110:$L110,"Oui")=0,$D110-SUM($T110:T110),ROUND($D110/COUNTIF($G110:$L110,"Oui"),2))),IF($F110="Montants convenus",IF(H110="Oui",N110,0),"")))</f>
      </c>
      <c r="V110" s="87" t="str">
        <f>IF(COUNTIF($A110:$S110,"&lt;&gt;")=0,"",IF($F110="À parts égales entre participants",IF(I110&lt;&gt;"Oui",0,IF(COUNTIF($J110:$L110,"Oui")=0,$D110-SUM($T110:U110),ROUND($D110/COUNTIF($G110:$L110,"Oui"),2))),IF($F110="Montants convenus",IF(I110="Oui",O110,0),"")))</f>
      </c>
      <c r="W110" s="87" t="str">
        <f>IF(COUNTIF($A110:$S110,"&lt;&gt;")=0,"",IF($F110="À parts égales entre participants",IF(J110&lt;&gt;"Oui",0,IF(COUNTIF($K110:$L110,"Oui")=0,$D110-SUM($T110:V110),ROUND($D110/COUNTIF($G110:$L110,"Oui"),2))),IF($F110="Montants convenus",IF(J110="Oui",P110,0),"")))</f>
      </c>
      <c r="X110" s="87" t="str">
        <f>IF(COUNTIF($A110:$S110,"&lt;&gt;")=0,"",IF($F110="À parts égales entre participants",IF(K110&lt;&gt;"Oui",0,IF(COUNTIF($L110:$L110,"Oui")=0,$D110-SUM($T110:W110),ROUND($D110/COUNTIF($G110:$L110,"Oui"),2))),IF($F110="Montants convenus",IF(K110="Oui",Q110,0),"")))</f>
      </c>
      <c r="Y110" s="87" t="str">
        <f>IF(COUNTIF($A110:$S110,"&lt;&gt;")=0,"",IF($F110="À parts égales entre participants",IF(L110&lt;&gt;"Oui",0,IF(0=0,$D110-SUM($T110:X110),ROUND($D110/COUNTIF($G110:$L110,"Oui"),2))),IF($F110="Montants convenus",IF(L110="Oui",R110,0),"")))</f>
      </c>
      <c r="Z110" s="81" t="str">
        <f>IF(COUNTIF($A110:$S110,"&lt;&gt;")=0,"",IF(OR($D110="",$D110&lt;=0),"Saisissez un montant supérieur à zéro.",IF($E110="","Sélectionnez la personne qui a payé.",IF(COUNTIF($G110:$L110,"Oui")=0,"Sélectionnez au moins une personne participante.",IF($F110="À parts égales entre participants","Vérifié",IF($F110="Montants convenus",IF(OR(AND(G110="Oui",M110=""),AND(H110="Oui",N110=""),AND(I110="Oui",O110=""),AND(J110="Oui",P110=""),AND(K110="Oui",Q110=""),AND(L110="Oui",R110="")),"Saisissez les montants convenus pour que leur somme corresponde à la dépense.",IF(ABS(SUM($M110:$R110))&lt;0.005,"Saisissez les montants convenus pour que leur somme corresponde à la dépense.",IF(SUM($M110:$R110)&lt;$D110-0.005,"Montant restant à répartir : "&amp;ROUND($D110-SUM($M110:$R110),2)&amp;".",IF(SUM($M110:$R110)&gt;$D110+0.005,"Montant réparti en trop : "&amp;ROUND(SUM($M110:$R110)-$D110,2)&amp;".","Vérifié")))),"Saisissez les montants convenus pour que leur somme corresponde à la dépense."))))))</f>
      </c>
    </row>
    <row r="111">
      <c r="A111" s="83"/>
      <c r="B111" s="57"/>
      <c r="C111" s="57"/>
      <c r="D111" s="85"/>
      <c r="E111" s="57"/>
      <c r="F111" s="57"/>
      <c r="G111" s="57"/>
      <c r="H111" s="57"/>
      <c r="I111" s="57"/>
      <c r="J111" s="57"/>
      <c r="K111" s="57"/>
      <c r="L111" s="57"/>
      <c r="M111" s="85"/>
      <c r="N111" s="85"/>
      <c r="O111" s="85"/>
      <c r="P111" s="85"/>
      <c r="Q111" s="85"/>
      <c r="R111" s="85"/>
      <c r="S111" s="57"/>
      <c r="T111" s="87" t="str">
        <f>IF(COUNTIF($A111:$S111,"&lt;&gt;")=0,"",IF($F111="À parts égales entre participants",IF(G111&lt;&gt;"Oui",0,IF(COUNTIF($H111:$L111,"Oui")=0,$D111-0,ROUND($D111/COUNTIF($G111:$L111,"Oui"),2))),IF($F111="Montants convenus",IF(G111="Oui",M111,0),"")))</f>
      </c>
      <c r="U111" s="87" t="str">
        <f>IF(COUNTIF($A111:$S111,"&lt;&gt;")=0,"",IF($F111="À parts égales entre participants",IF(H111&lt;&gt;"Oui",0,IF(COUNTIF($I111:$L111,"Oui")=0,$D111-SUM($T111:T111),ROUND($D111/COUNTIF($G111:$L111,"Oui"),2))),IF($F111="Montants convenus",IF(H111="Oui",N111,0),"")))</f>
      </c>
      <c r="V111" s="87" t="str">
        <f>IF(COUNTIF($A111:$S111,"&lt;&gt;")=0,"",IF($F111="À parts égales entre participants",IF(I111&lt;&gt;"Oui",0,IF(COUNTIF($J111:$L111,"Oui")=0,$D111-SUM($T111:U111),ROUND($D111/COUNTIF($G111:$L111,"Oui"),2))),IF($F111="Montants convenus",IF(I111="Oui",O111,0),"")))</f>
      </c>
      <c r="W111" s="87" t="str">
        <f>IF(COUNTIF($A111:$S111,"&lt;&gt;")=0,"",IF($F111="À parts égales entre participants",IF(J111&lt;&gt;"Oui",0,IF(COUNTIF($K111:$L111,"Oui")=0,$D111-SUM($T111:V111),ROUND($D111/COUNTIF($G111:$L111,"Oui"),2))),IF($F111="Montants convenus",IF(J111="Oui",P111,0),"")))</f>
      </c>
      <c r="X111" s="87" t="str">
        <f>IF(COUNTIF($A111:$S111,"&lt;&gt;")=0,"",IF($F111="À parts égales entre participants",IF(K111&lt;&gt;"Oui",0,IF(COUNTIF($L111:$L111,"Oui")=0,$D111-SUM($T111:W111),ROUND($D111/COUNTIF($G111:$L111,"Oui"),2))),IF($F111="Montants convenus",IF(K111="Oui",Q111,0),"")))</f>
      </c>
      <c r="Y111" s="87" t="str">
        <f>IF(COUNTIF($A111:$S111,"&lt;&gt;")=0,"",IF($F111="À parts égales entre participants",IF(L111&lt;&gt;"Oui",0,IF(0=0,$D111-SUM($T111:X111),ROUND($D111/COUNTIF($G111:$L111,"Oui"),2))),IF($F111="Montants convenus",IF(L111="Oui",R111,0),"")))</f>
      </c>
      <c r="Z111" s="81" t="str">
        <f>IF(COUNTIF($A111:$S111,"&lt;&gt;")=0,"",IF(OR($D111="",$D111&lt;=0),"Saisissez un montant supérieur à zéro.",IF($E111="","Sélectionnez la personne qui a payé.",IF(COUNTIF($G111:$L111,"Oui")=0,"Sélectionnez au moins une personne participante.",IF($F111="À parts égales entre participants","Vérifié",IF($F111="Montants convenus",IF(OR(AND(G111="Oui",M111=""),AND(H111="Oui",N111=""),AND(I111="Oui",O111=""),AND(J111="Oui",P111=""),AND(K111="Oui",Q111=""),AND(L111="Oui",R111="")),"Saisissez les montants convenus pour que leur somme corresponde à la dépense.",IF(ABS(SUM($M111:$R111))&lt;0.005,"Saisissez les montants convenus pour que leur somme corresponde à la dépense.",IF(SUM($M111:$R111)&lt;$D111-0.005,"Montant restant à répartir : "&amp;ROUND($D111-SUM($M111:$R111),2)&amp;".",IF(SUM($M111:$R111)&gt;$D111+0.005,"Montant réparti en trop : "&amp;ROUND(SUM($M111:$R111)-$D111,2)&amp;".","Vérifié")))),"Saisissez les montants convenus pour que leur somme corresponde à la dépense."))))))</f>
      </c>
    </row>
    <row r="112">
      <c r="A112" s="83"/>
      <c r="B112" s="57"/>
      <c r="C112" s="57"/>
      <c r="D112" s="85"/>
      <c r="E112" s="57"/>
      <c r="F112" s="57"/>
      <c r="G112" s="57"/>
      <c r="H112" s="57"/>
      <c r="I112" s="57"/>
      <c r="J112" s="57"/>
      <c r="K112" s="57"/>
      <c r="L112" s="57"/>
      <c r="M112" s="85"/>
      <c r="N112" s="85"/>
      <c r="O112" s="85"/>
      <c r="P112" s="85"/>
      <c r="Q112" s="85"/>
      <c r="R112" s="85"/>
      <c r="S112" s="57"/>
      <c r="T112" s="87" t="str">
        <f>IF(COUNTIF($A112:$S112,"&lt;&gt;")=0,"",IF($F112="À parts égales entre participants",IF(G112&lt;&gt;"Oui",0,IF(COUNTIF($H112:$L112,"Oui")=0,$D112-0,ROUND($D112/COUNTIF($G112:$L112,"Oui"),2))),IF($F112="Montants convenus",IF(G112="Oui",M112,0),"")))</f>
      </c>
      <c r="U112" s="87" t="str">
        <f>IF(COUNTIF($A112:$S112,"&lt;&gt;")=0,"",IF($F112="À parts égales entre participants",IF(H112&lt;&gt;"Oui",0,IF(COUNTIF($I112:$L112,"Oui")=0,$D112-SUM($T112:T112),ROUND($D112/COUNTIF($G112:$L112,"Oui"),2))),IF($F112="Montants convenus",IF(H112="Oui",N112,0),"")))</f>
      </c>
      <c r="V112" s="87" t="str">
        <f>IF(COUNTIF($A112:$S112,"&lt;&gt;")=0,"",IF($F112="À parts égales entre participants",IF(I112&lt;&gt;"Oui",0,IF(COUNTIF($J112:$L112,"Oui")=0,$D112-SUM($T112:U112),ROUND($D112/COUNTIF($G112:$L112,"Oui"),2))),IF($F112="Montants convenus",IF(I112="Oui",O112,0),"")))</f>
      </c>
      <c r="W112" s="87" t="str">
        <f>IF(COUNTIF($A112:$S112,"&lt;&gt;")=0,"",IF($F112="À parts égales entre participants",IF(J112&lt;&gt;"Oui",0,IF(COUNTIF($K112:$L112,"Oui")=0,$D112-SUM($T112:V112),ROUND($D112/COUNTIF($G112:$L112,"Oui"),2))),IF($F112="Montants convenus",IF(J112="Oui",P112,0),"")))</f>
      </c>
      <c r="X112" s="87" t="str">
        <f>IF(COUNTIF($A112:$S112,"&lt;&gt;")=0,"",IF($F112="À parts égales entre participants",IF(K112&lt;&gt;"Oui",0,IF(COUNTIF($L112:$L112,"Oui")=0,$D112-SUM($T112:W112),ROUND($D112/COUNTIF($G112:$L112,"Oui"),2))),IF($F112="Montants convenus",IF(K112="Oui",Q112,0),"")))</f>
      </c>
      <c r="Y112" s="87" t="str">
        <f>IF(COUNTIF($A112:$S112,"&lt;&gt;")=0,"",IF($F112="À parts égales entre participants",IF(L112&lt;&gt;"Oui",0,IF(0=0,$D112-SUM($T112:X112),ROUND($D112/COUNTIF($G112:$L112,"Oui"),2))),IF($F112="Montants convenus",IF(L112="Oui",R112,0),"")))</f>
      </c>
      <c r="Z112" s="81" t="str">
        <f>IF(COUNTIF($A112:$S112,"&lt;&gt;")=0,"",IF(OR($D112="",$D112&lt;=0),"Saisissez un montant supérieur à zéro.",IF($E112="","Sélectionnez la personne qui a payé.",IF(COUNTIF($G112:$L112,"Oui")=0,"Sélectionnez au moins une personne participante.",IF($F112="À parts égales entre participants","Vérifié",IF($F112="Montants convenus",IF(OR(AND(G112="Oui",M112=""),AND(H112="Oui",N112=""),AND(I112="Oui",O112=""),AND(J112="Oui",P112=""),AND(K112="Oui",Q112=""),AND(L112="Oui",R112="")),"Saisissez les montants convenus pour que leur somme corresponde à la dépense.",IF(ABS(SUM($M112:$R112))&lt;0.005,"Saisissez les montants convenus pour que leur somme corresponde à la dépense.",IF(SUM($M112:$R112)&lt;$D112-0.005,"Montant restant à répartir : "&amp;ROUND($D112-SUM($M112:$R112),2)&amp;".",IF(SUM($M112:$R112)&gt;$D112+0.005,"Montant réparti en trop : "&amp;ROUND(SUM($M112:$R112)-$D112,2)&amp;".","Vérifié")))),"Saisissez les montants convenus pour que leur somme corresponde à la dépense."))))))</f>
      </c>
    </row>
    <row r="113">
      <c r="A113" s="83"/>
      <c r="B113" s="57"/>
      <c r="C113" s="57"/>
      <c r="D113" s="85"/>
      <c r="E113" s="57"/>
      <c r="F113" s="57"/>
      <c r="G113" s="57"/>
      <c r="H113" s="57"/>
      <c r="I113" s="57"/>
      <c r="J113" s="57"/>
      <c r="K113" s="57"/>
      <c r="L113" s="57"/>
      <c r="M113" s="85"/>
      <c r="N113" s="85"/>
      <c r="O113" s="85"/>
      <c r="P113" s="85"/>
      <c r="Q113" s="85"/>
      <c r="R113" s="85"/>
      <c r="S113" s="57"/>
      <c r="T113" s="87" t="str">
        <f>IF(COUNTIF($A113:$S113,"&lt;&gt;")=0,"",IF($F113="À parts égales entre participants",IF(G113&lt;&gt;"Oui",0,IF(COUNTIF($H113:$L113,"Oui")=0,$D113-0,ROUND($D113/COUNTIF($G113:$L113,"Oui"),2))),IF($F113="Montants convenus",IF(G113="Oui",M113,0),"")))</f>
      </c>
      <c r="U113" s="87" t="str">
        <f>IF(COUNTIF($A113:$S113,"&lt;&gt;")=0,"",IF($F113="À parts égales entre participants",IF(H113&lt;&gt;"Oui",0,IF(COUNTIF($I113:$L113,"Oui")=0,$D113-SUM($T113:T113),ROUND($D113/COUNTIF($G113:$L113,"Oui"),2))),IF($F113="Montants convenus",IF(H113="Oui",N113,0),"")))</f>
      </c>
      <c r="V113" s="87" t="str">
        <f>IF(COUNTIF($A113:$S113,"&lt;&gt;")=0,"",IF($F113="À parts égales entre participants",IF(I113&lt;&gt;"Oui",0,IF(COUNTIF($J113:$L113,"Oui")=0,$D113-SUM($T113:U113),ROUND($D113/COUNTIF($G113:$L113,"Oui"),2))),IF($F113="Montants convenus",IF(I113="Oui",O113,0),"")))</f>
      </c>
      <c r="W113" s="87" t="str">
        <f>IF(COUNTIF($A113:$S113,"&lt;&gt;")=0,"",IF($F113="À parts égales entre participants",IF(J113&lt;&gt;"Oui",0,IF(COUNTIF($K113:$L113,"Oui")=0,$D113-SUM($T113:V113),ROUND($D113/COUNTIF($G113:$L113,"Oui"),2))),IF($F113="Montants convenus",IF(J113="Oui",P113,0),"")))</f>
      </c>
      <c r="X113" s="87" t="str">
        <f>IF(COUNTIF($A113:$S113,"&lt;&gt;")=0,"",IF($F113="À parts égales entre participants",IF(K113&lt;&gt;"Oui",0,IF(COUNTIF($L113:$L113,"Oui")=0,$D113-SUM($T113:W113),ROUND($D113/COUNTIF($G113:$L113,"Oui"),2))),IF($F113="Montants convenus",IF(K113="Oui",Q113,0),"")))</f>
      </c>
      <c r="Y113" s="87" t="str">
        <f>IF(COUNTIF($A113:$S113,"&lt;&gt;")=0,"",IF($F113="À parts égales entre participants",IF(L113&lt;&gt;"Oui",0,IF(0=0,$D113-SUM($T113:X113),ROUND($D113/COUNTIF($G113:$L113,"Oui"),2))),IF($F113="Montants convenus",IF(L113="Oui",R113,0),"")))</f>
      </c>
      <c r="Z113" s="81" t="str">
        <f>IF(COUNTIF($A113:$S113,"&lt;&gt;")=0,"",IF(OR($D113="",$D113&lt;=0),"Saisissez un montant supérieur à zéro.",IF($E113="","Sélectionnez la personne qui a payé.",IF(COUNTIF($G113:$L113,"Oui")=0,"Sélectionnez au moins une personne participante.",IF($F113="À parts égales entre participants","Vérifié",IF($F113="Montants convenus",IF(OR(AND(G113="Oui",M113=""),AND(H113="Oui",N113=""),AND(I113="Oui",O113=""),AND(J113="Oui",P113=""),AND(K113="Oui",Q113=""),AND(L113="Oui",R113="")),"Saisissez les montants convenus pour que leur somme corresponde à la dépense.",IF(ABS(SUM($M113:$R113))&lt;0.005,"Saisissez les montants convenus pour que leur somme corresponde à la dépense.",IF(SUM($M113:$R113)&lt;$D113-0.005,"Montant restant à répartir : "&amp;ROUND($D113-SUM($M113:$R113),2)&amp;".",IF(SUM($M113:$R113)&gt;$D113+0.005,"Montant réparti en trop : "&amp;ROUND(SUM($M113:$R113)-$D113,2)&amp;".","Vérifié")))),"Saisissez les montants convenus pour que leur somme corresponde à la dépense."))))))</f>
      </c>
    </row>
    <row r="114">
      <c r="A114" s="83"/>
      <c r="B114" s="57"/>
      <c r="C114" s="57"/>
      <c r="D114" s="85"/>
      <c r="E114" s="57"/>
      <c r="F114" s="57"/>
      <c r="G114" s="57"/>
      <c r="H114" s="57"/>
      <c r="I114" s="57"/>
      <c r="J114" s="57"/>
      <c r="K114" s="57"/>
      <c r="L114" s="57"/>
      <c r="M114" s="85"/>
      <c r="N114" s="85"/>
      <c r="O114" s="85"/>
      <c r="P114" s="85"/>
      <c r="Q114" s="85"/>
      <c r="R114" s="85"/>
      <c r="S114" s="57"/>
      <c r="T114" s="87" t="str">
        <f>IF(COUNTIF($A114:$S114,"&lt;&gt;")=0,"",IF($F114="À parts égales entre participants",IF(G114&lt;&gt;"Oui",0,IF(COUNTIF($H114:$L114,"Oui")=0,$D114-0,ROUND($D114/COUNTIF($G114:$L114,"Oui"),2))),IF($F114="Montants convenus",IF(G114="Oui",M114,0),"")))</f>
      </c>
      <c r="U114" s="87" t="str">
        <f>IF(COUNTIF($A114:$S114,"&lt;&gt;")=0,"",IF($F114="À parts égales entre participants",IF(H114&lt;&gt;"Oui",0,IF(COUNTIF($I114:$L114,"Oui")=0,$D114-SUM($T114:T114),ROUND($D114/COUNTIF($G114:$L114,"Oui"),2))),IF($F114="Montants convenus",IF(H114="Oui",N114,0),"")))</f>
      </c>
      <c r="V114" s="87" t="str">
        <f>IF(COUNTIF($A114:$S114,"&lt;&gt;")=0,"",IF($F114="À parts égales entre participants",IF(I114&lt;&gt;"Oui",0,IF(COUNTIF($J114:$L114,"Oui")=0,$D114-SUM($T114:U114),ROUND($D114/COUNTIF($G114:$L114,"Oui"),2))),IF($F114="Montants convenus",IF(I114="Oui",O114,0),"")))</f>
      </c>
      <c r="W114" s="87" t="str">
        <f>IF(COUNTIF($A114:$S114,"&lt;&gt;")=0,"",IF($F114="À parts égales entre participants",IF(J114&lt;&gt;"Oui",0,IF(COUNTIF($K114:$L114,"Oui")=0,$D114-SUM($T114:V114),ROUND($D114/COUNTIF($G114:$L114,"Oui"),2))),IF($F114="Montants convenus",IF(J114="Oui",P114,0),"")))</f>
      </c>
      <c r="X114" s="87" t="str">
        <f>IF(COUNTIF($A114:$S114,"&lt;&gt;")=0,"",IF($F114="À parts égales entre participants",IF(K114&lt;&gt;"Oui",0,IF(COUNTIF($L114:$L114,"Oui")=0,$D114-SUM($T114:W114),ROUND($D114/COUNTIF($G114:$L114,"Oui"),2))),IF($F114="Montants convenus",IF(K114="Oui",Q114,0),"")))</f>
      </c>
      <c r="Y114" s="87" t="str">
        <f>IF(COUNTIF($A114:$S114,"&lt;&gt;")=0,"",IF($F114="À parts égales entre participants",IF(L114&lt;&gt;"Oui",0,IF(0=0,$D114-SUM($T114:X114),ROUND($D114/COUNTIF($G114:$L114,"Oui"),2))),IF($F114="Montants convenus",IF(L114="Oui",R114,0),"")))</f>
      </c>
      <c r="Z114" s="81" t="str">
        <f>IF(COUNTIF($A114:$S114,"&lt;&gt;")=0,"",IF(OR($D114="",$D114&lt;=0),"Saisissez un montant supérieur à zéro.",IF($E114="","Sélectionnez la personne qui a payé.",IF(COUNTIF($G114:$L114,"Oui")=0,"Sélectionnez au moins une personne participante.",IF($F114="À parts égales entre participants","Vérifié",IF($F114="Montants convenus",IF(OR(AND(G114="Oui",M114=""),AND(H114="Oui",N114=""),AND(I114="Oui",O114=""),AND(J114="Oui",P114=""),AND(K114="Oui",Q114=""),AND(L114="Oui",R114="")),"Saisissez les montants convenus pour que leur somme corresponde à la dépense.",IF(ABS(SUM($M114:$R114))&lt;0.005,"Saisissez les montants convenus pour que leur somme corresponde à la dépense.",IF(SUM($M114:$R114)&lt;$D114-0.005,"Montant restant à répartir : "&amp;ROUND($D114-SUM($M114:$R114),2)&amp;".",IF(SUM($M114:$R114)&gt;$D114+0.005,"Montant réparti en trop : "&amp;ROUND(SUM($M114:$R114)-$D114,2)&amp;".","Vérifié")))),"Saisissez les montants convenus pour que leur somme corresponde à la dépense."))))))</f>
      </c>
    </row>
    <row r="115">
      <c r="A115" s="83"/>
      <c r="B115" s="57"/>
      <c r="C115" s="57"/>
      <c r="D115" s="85"/>
      <c r="E115" s="57"/>
      <c r="F115" s="57"/>
      <c r="G115" s="57"/>
      <c r="H115" s="57"/>
      <c r="I115" s="57"/>
      <c r="J115" s="57"/>
      <c r="K115" s="57"/>
      <c r="L115" s="57"/>
      <c r="M115" s="85"/>
      <c r="N115" s="85"/>
      <c r="O115" s="85"/>
      <c r="P115" s="85"/>
      <c r="Q115" s="85"/>
      <c r="R115" s="85"/>
      <c r="S115" s="57"/>
      <c r="T115" s="87" t="str">
        <f>IF(COUNTIF($A115:$S115,"&lt;&gt;")=0,"",IF($F115="À parts égales entre participants",IF(G115&lt;&gt;"Oui",0,IF(COUNTIF($H115:$L115,"Oui")=0,$D115-0,ROUND($D115/COUNTIF($G115:$L115,"Oui"),2))),IF($F115="Montants convenus",IF(G115="Oui",M115,0),"")))</f>
      </c>
      <c r="U115" s="87" t="str">
        <f>IF(COUNTIF($A115:$S115,"&lt;&gt;")=0,"",IF($F115="À parts égales entre participants",IF(H115&lt;&gt;"Oui",0,IF(COUNTIF($I115:$L115,"Oui")=0,$D115-SUM($T115:T115),ROUND($D115/COUNTIF($G115:$L115,"Oui"),2))),IF($F115="Montants convenus",IF(H115="Oui",N115,0),"")))</f>
      </c>
      <c r="V115" s="87" t="str">
        <f>IF(COUNTIF($A115:$S115,"&lt;&gt;")=0,"",IF($F115="À parts égales entre participants",IF(I115&lt;&gt;"Oui",0,IF(COUNTIF($J115:$L115,"Oui")=0,$D115-SUM($T115:U115),ROUND($D115/COUNTIF($G115:$L115,"Oui"),2))),IF($F115="Montants convenus",IF(I115="Oui",O115,0),"")))</f>
      </c>
      <c r="W115" s="87" t="str">
        <f>IF(COUNTIF($A115:$S115,"&lt;&gt;")=0,"",IF($F115="À parts égales entre participants",IF(J115&lt;&gt;"Oui",0,IF(COUNTIF($K115:$L115,"Oui")=0,$D115-SUM($T115:V115),ROUND($D115/COUNTIF($G115:$L115,"Oui"),2))),IF($F115="Montants convenus",IF(J115="Oui",P115,0),"")))</f>
      </c>
      <c r="X115" s="87" t="str">
        <f>IF(COUNTIF($A115:$S115,"&lt;&gt;")=0,"",IF($F115="À parts égales entre participants",IF(K115&lt;&gt;"Oui",0,IF(COUNTIF($L115:$L115,"Oui")=0,$D115-SUM($T115:W115),ROUND($D115/COUNTIF($G115:$L115,"Oui"),2))),IF($F115="Montants convenus",IF(K115="Oui",Q115,0),"")))</f>
      </c>
      <c r="Y115" s="87" t="str">
        <f>IF(COUNTIF($A115:$S115,"&lt;&gt;")=0,"",IF($F115="À parts égales entre participants",IF(L115&lt;&gt;"Oui",0,IF(0=0,$D115-SUM($T115:X115),ROUND($D115/COUNTIF($G115:$L115,"Oui"),2))),IF($F115="Montants convenus",IF(L115="Oui",R115,0),"")))</f>
      </c>
      <c r="Z115" s="81" t="str">
        <f>IF(COUNTIF($A115:$S115,"&lt;&gt;")=0,"",IF(OR($D115="",$D115&lt;=0),"Saisissez un montant supérieur à zéro.",IF($E115="","Sélectionnez la personne qui a payé.",IF(COUNTIF($G115:$L115,"Oui")=0,"Sélectionnez au moins une personne participante.",IF($F115="À parts égales entre participants","Vérifié",IF($F115="Montants convenus",IF(OR(AND(G115="Oui",M115=""),AND(H115="Oui",N115=""),AND(I115="Oui",O115=""),AND(J115="Oui",P115=""),AND(K115="Oui",Q115=""),AND(L115="Oui",R115="")),"Saisissez les montants convenus pour que leur somme corresponde à la dépense.",IF(ABS(SUM($M115:$R115))&lt;0.005,"Saisissez les montants convenus pour que leur somme corresponde à la dépense.",IF(SUM($M115:$R115)&lt;$D115-0.005,"Montant restant à répartir : "&amp;ROUND($D115-SUM($M115:$R115),2)&amp;".",IF(SUM($M115:$R115)&gt;$D115+0.005,"Montant réparti en trop : "&amp;ROUND(SUM($M115:$R115)-$D115,2)&amp;".","Vérifié")))),"Saisissez les montants convenus pour que leur somme corresponde à la dépense."))))))</f>
      </c>
    </row>
    <row r="116">
      <c r="A116" s="83"/>
      <c r="B116" s="57"/>
      <c r="C116" s="57"/>
      <c r="D116" s="85"/>
      <c r="E116" s="57"/>
      <c r="F116" s="57"/>
      <c r="G116" s="57"/>
      <c r="H116" s="57"/>
      <c r="I116" s="57"/>
      <c r="J116" s="57"/>
      <c r="K116" s="57"/>
      <c r="L116" s="57"/>
      <c r="M116" s="85"/>
      <c r="N116" s="85"/>
      <c r="O116" s="85"/>
      <c r="P116" s="85"/>
      <c r="Q116" s="85"/>
      <c r="R116" s="85"/>
      <c r="S116" s="57"/>
      <c r="T116" s="87" t="str">
        <f>IF(COUNTIF($A116:$S116,"&lt;&gt;")=0,"",IF($F116="À parts égales entre participants",IF(G116&lt;&gt;"Oui",0,IF(COUNTIF($H116:$L116,"Oui")=0,$D116-0,ROUND($D116/COUNTIF($G116:$L116,"Oui"),2))),IF($F116="Montants convenus",IF(G116="Oui",M116,0),"")))</f>
      </c>
      <c r="U116" s="87" t="str">
        <f>IF(COUNTIF($A116:$S116,"&lt;&gt;")=0,"",IF($F116="À parts égales entre participants",IF(H116&lt;&gt;"Oui",0,IF(COUNTIF($I116:$L116,"Oui")=0,$D116-SUM($T116:T116),ROUND($D116/COUNTIF($G116:$L116,"Oui"),2))),IF($F116="Montants convenus",IF(H116="Oui",N116,0),"")))</f>
      </c>
      <c r="V116" s="87" t="str">
        <f>IF(COUNTIF($A116:$S116,"&lt;&gt;")=0,"",IF($F116="À parts égales entre participants",IF(I116&lt;&gt;"Oui",0,IF(COUNTIF($J116:$L116,"Oui")=0,$D116-SUM($T116:U116),ROUND($D116/COUNTIF($G116:$L116,"Oui"),2))),IF($F116="Montants convenus",IF(I116="Oui",O116,0),"")))</f>
      </c>
      <c r="W116" s="87" t="str">
        <f>IF(COUNTIF($A116:$S116,"&lt;&gt;")=0,"",IF($F116="À parts égales entre participants",IF(J116&lt;&gt;"Oui",0,IF(COUNTIF($K116:$L116,"Oui")=0,$D116-SUM($T116:V116),ROUND($D116/COUNTIF($G116:$L116,"Oui"),2))),IF($F116="Montants convenus",IF(J116="Oui",P116,0),"")))</f>
      </c>
      <c r="X116" s="87" t="str">
        <f>IF(COUNTIF($A116:$S116,"&lt;&gt;")=0,"",IF($F116="À parts égales entre participants",IF(K116&lt;&gt;"Oui",0,IF(COUNTIF($L116:$L116,"Oui")=0,$D116-SUM($T116:W116),ROUND($D116/COUNTIF($G116:$L116,"Oui"),2))),IF($F116="Montants convenus",IF(K116="Oui",Q116,0),"")))</f>
      </c>
      <c r="Y116" s="87" t="str">
        <f>IF(COUNTIF($A116:$S116,"&lt;&gt;")=0,"",IF($F116="À parts égales entre participants",IF(L116&lt;&gt;"Oui",0,IF(0=0,$D116-SUM($T116:X116),ROUND($D116/COUNTIF($G116:$L116,"Oui"),2))),IF($F116="Montants convenus",IF(L116="Oui",R116,0),"")))</f>
      </c>
      <c r="Z116" s="81" t="str">
        <f>IF(COUNTIF($A116:$S116,"&lt;&gt;")=0,"",IF(OR($D116="",$D116&lt;=0),"Saisissez un montant supérieur à zéro.",IF($E116="","Sélectionnez la personne qui a payé.",IF(COUNTIF($G116:$L116,"Oui")=0,"Sélectionnez au moins une personne participante.",IF($F116="À parts égales entre participants","Vérifié",IF($F116="Montants convenus",IF(OR(AND(G116="Oui",M116=""),AND(H116="Oui",N116=""),AND(I116="Oui",O116=""),AND(J116="Oui",P116=""),AND(K116="Oui",Q116=""),AND(L116="Oui",R116="")),"Saisissez les montants convenus pour que leur somme corresponde à la dépense.",IF(ABS(SUM($M116:$R116))&lt;0.005,"Saisissez les montants convenus pour que leur somme corresponde à la dépense.",IF(SUM($M116:$R116)&lt;$D116-0.005,"Montant restant à répartir : "&amp;ROUND($D116-SUM($M116:$R116),2)&amp;".",IF(SUM($M116:$R116)&gt;$D116+0.005,"Montant réparti en trop : "&amp;ROUND(SUM($M116:$R116)-$D116,2)&amp;".","Vérifié")))),"Saisissez les montants convenus pour que leur somme corresponde à la dépense."))))))</f>
      </c>
    </row>
    <row r="117">
      <c r="A117" s="83"/>
      <c r="B117" s="57"/>
      <c r="C117" s="57"/>
      <c r="D117" s="85"/>
      <c r="E117" s="57"/>
      <c r="F117" s="57"/>
      <c r="G117" s="57"/>
      <c r="H117" s="57"/>
      <c r="I117" s="57"/>
      <c r="J117" s="57"/>
      <c r="K117" s="57"/>
      <c r="L117" s="57"/>
      <c r="M117" s="85"/>
      <c r="N117" s="85"/>
      <c r="O117" s="85"/>
      <c r="P117" s="85"/>
      <c r="Q117" s="85"/>
      <c r="R117" s="85"/>
      <c r="S117" s="57"/>
      <c r="T117" s="87" t="str">
        <f>IF(COUNTIF($A117:$S117,"&lt;&gt;")=0,"",IF($F117="À parts égales entre participants",IF(G117&lt;&gt;"Oui",0,IF(COUNTIF($H117:$L117,"Oui")=0,$D117-0,ROUND($D117/COUNTIF($G117:$L117,"Oui"),2))),IF($F117="Montants convenus",IF(G117="Oui",M117,0),"")))</f>
      </c>
      <c r="U117" s="87" t="str">
        <f>IF(COUNTIF($A117:$S117,"&lt;&gt;")=0,"",IF($F117="À parts égales entre participants",IF(H117&lt;&gt;"Oui",0,IF(COUNTIF($I117:$L117,"Oui")=0,$D117-SUM($T117:T117),ROUND($D117/COUNTIF($G117:$L117,"Oui"),2))),IF($F117="Montants convenus",IF(H117="Oui",N117,0),"")))</f>
      </c>
      <c r="V117" s="87" t="str">
        <f>IF(COUNTIF($A117:$S117,"&lt;&gt;")=0,"",IF($F117="À parts égales entre participants",IF(I117&lt;&gt;"Oui",0,IF(COUNTIF($J117:$L117,"Oui")=0,$D117-SUM($T117:U117),ROUND($D117/COUNTIF($G117:$L117,"Oui"),2))),IF($F117="Montants convenus",IF(I117="Oui",O117,0),"")))</f>
      </c>
      <c r="W117" s="87" t="str">
        <f>IF(COUNTIF($A117:$S117,"&lt;&gt;")=0,"",IF($F117="À parts égales entre participants",IF(J117&lt;&gt;"Oui",0,IF(COUNTIF($K117:$L117,"Oui")=0,$D117-SUM($T117:V117),ROUND($D117/COUNTIF($G117:$L117,"Oui"),2))),IF($F117="Montants convenus",IF(J117="Oui",P117,0),"")))</f>
      </c>
      <c r="X117" s="87" t="str">
        <f>IF(COUNTIF($A117:$S117,"&lt;&gt;")=0,"",IF($F117="À parts égales entre participants",IF(K117&lt;&gt;"Oui",0,IF(COUNTIF($L117:$L117,"Oui")=0,$D117-SUM($T117:W117),ROUND($D117/COUNTIF($G117:$L117,"Oui"),2))),IF($F117="Montants convenus",IF(K117="Oui",Q117,0),"")))</f>
      </c>
      <c r="Y117" s="87" t="str">
        <f>IF(COUNTIF($A117:$S117,"&lt;&gt;")=0,"",IF($F117="À parts égales entre participants",IF(L117&lt;&gt;"Oui",0,IF(0=0,$D117-SUM($T117:X117),ROUND($D117/COUNTIF($G117:$L117,"Oui"),2))),IF($F117="Montants convenus",IF(L117="Oui",R117,0),"")))</f>
      </c>
      <c r="Z117" s="81" t="str">
        <f>IF(COUNTIF($A117:$S117,"&lt;&gt;")=0,"",IF(OR($D117="",$D117&lt;=0),"Saisissez un montant supérieur à zéro.",IF($E117="","Sélectionnez la personne qui a payé.",IF(COUNTIF($G117:$L117,"Oui")=0,"Sélectionnez au moins une personne participante.",IF($F117="À parts égales entre participants","Vérifié",IF($F117="Montants convenus",IF(OR(AND(G117="Oui",M117=""),AND(H117="Oui",N117=""),AND(I117="Oui",O117=""),AND(J117="Oui",P117=""),AND(K117="Oui",Q117=""),AND(L117="Oui",R117="")),"Saisissez les montants convenus pour que leur somme corresponde à la dépense.",IF(ABS(SUM($M117:$R117))&lt;0.005,"Saisissez les montants convenus pour que leur somme corresponde à la dépense.",IF(SUM($M117:$R117)&lt;$D117-0.005,"Montant restant à répartir : "&amp;ROUND($D117-SUM($M117:$R117),2)&amp;".",IF(SUM($M117:$R117)&gt;$D117+0.005,"Montant réparti en trop : "&amp;ROUND(SUM($M117:$R117)-$D117,2)&amp;".","Vérifié")))),"Saisissez les montants convenus pour que leur somme corresponde à la dépense."))))))</f>
      </c>
    </row>
    <row r="118">
      <c r="A118" s="83"/>
      <c r="B118" s="57"/>
      <c r="C118" s="57"/>
      <c r="D118" s="85"/>
      <c r="E118" s="57"/>
      <c r="F118" s="57"/>
      <c r="G118" s="57"/>
      <c r="H118" s="57"/>
      <c r="I118" s="57"/>
      <c r="J118" s="57"/>
      <c r="K118" s="57"/>
      <c r="L118" s="57"/>
      <c r="M118" s="85"/>
      <c r="N118" s="85"/>
      <c r="O118" s="85"/>
      <c r="P118" s="85"/>
      <c r="Q118" s="85"/>
      <c r="R118" s="85"/>
      <c r="S118" s="57"/>
      <c r="T118" s="87" t="str">
        <f>IF(COUNTIF($A118:$S118,"&lt;&gt;")=0,"",IF($F118="À parts égales entre participants",IF(G118&lt;&gt;"Oui",0,IF(COUNTIF($H118:$L118,"Oui")=0,$D118-0,ROUND($D118/COUNTIF($G118:$L118,"Oui"),2))),IF($F118="Montants convenus",IF(G118="Oui",M118,0),"")))</f>
      </c>
      <c r="U118" s="87" t="str">
        <f>IF(COUNTIF($A118:$S118,"&lt;&gt;")=0,"",IF($F118="À parts égales entre participants",IF(H118&lt;&gt;"Oui",0,IF(COUNTIF($I118:$L118,"Oui")=0,$D118-SUM($T118:T118),ROUND($D118/COUNTIF($G118:$L118,"Oui"),2))),IF($F118="Montants convenus",IF(H118="Oui",N118,0),"")))</f>
      </c>
      <c r="V118" s="87" t="str">
        <f>IF(COUNTIF($A118:$S118,"&lt;&gt;")=0,"",IF($F118="À parts égales entre participants",IF(I118&lt;&gt;"Oui",0,IF(COUNTIF($J118:$L118,"Oui")=0,$D118-SUM($T118:U118),ROUND($D118/COUNTIF($G118:$L118,"Oui"),2))),IF($F118="Montants convenus",IF(I118="Oui",O118,0),"")))</f>
      </c>
      <c r="W118" s="87" t="str">
        <f>IF(COUNTIF($A118:$S118,"&lt;&gt;")=0,"",IF($F118="À parts égales entre participants",IF(J118&lt;&gt;"Oui",0,IF(COUNTIF($K118:$L118,"Oui")=0,$D118-SUM($T118:V118),ROUND($D118/COUNTIF($G118:$L118,"Oui"),2))),IF($F118="Montants convenus",IF(J118="Oui",P118,0),"")))</f>
      </c>
      <c r="X118" s="87" t="str">
        <f>IF(COUNTIF($A118:$S118,"&lt;&gt;")=0,"",IF($F118="À parts égales entre participants",IF(K118&lt;&gt;"Oui",0,IF(COUNTIF($L118:$L118,"Oui")=0,$D118-SUM($T118:W118),ROUND($D118/COUNTIF($G118:$L118,"Oui"),2))),IF($F118="Montants convenus",IF(K118="Oui",Q118,0),"")))</f>
      </c>
      <c r="Y118" s="87" t="str">
        <f>IF(COUNTIF($A118:$S118,"&lt;&gt;")=0,"",IF($F118="À parts égales entre participants",IF(L118&lt;&gt;"Oui",0,IF(0=0,$D118-SUM($T118:X118),ROUND($D118/COUNTIF($G118:$L118,"Oui"),2))),IF($F118="Montants convenus",IF(L118="Oui",R118,0),"")))</f>
      </c>
      <c r="Z118" s="81" t="str">
        <f>IF(COUNTIF($A118:$S118,"&lt;&gt;")=0,"",IF(OR($D118="",$D118&lt;=0),"Saisissez un montant supérieur à zéro.",IF($E118="","Sélectionnez la personne qui a payé.",IF(COUNTIF($G118:$L118,"Oui")=0,"Sélectionnez au moins une personne participante.",IF($F118="À parts égales entre participants","Vérifié",IF($F118="Montants convenus",IF(OR(AND(G118="Oui",M118=""),AND(H118="Oui",N118=""),AND(I118="Oui",O118=""),AND(J118="Oui",P118=""),AND(K118="Oui",Q118=""),AND(L118="Oui",R118="")),"Saisissez les montants convenus pour que leur somme corresponde à la dépense.",IF(ABS(SUM($M118:$R118))&lt;0.005,"Saisissez les montants convenus pour que leur somme corresponde à la dépense.",IF(SUM($M118:$R118)&lt;$D118-0.005,"Montant restant à répartir : "&amp;ROUND($D118-SUM($M118:$R118),2)&amp;".",IF(SUM($M118:$R118)&gt;$D118+0.005,"Montant réparti en trop : "&amp;ROUND(SUM($M118:$R118)-$D118,2)&amp;".","Vérifié")))),"Saisissez les montants convenus pour que leur somme corresponde à la dépense."))))))</f>
      </c>
    </row>
    <row r="119">
      <c r="A119" s="83"/>
      <c r="B119" s="57"/>
      <c r="C119" s="57"/>
      <c r="D119" s="85"/>
      <c r="E119" s="57"/>
      <c r="F119" s="57"/>
      <c r="G119" s="57"/>
      <c r="H119" s="57"/>
      <c r="I119" s="57"/>
      <c r="J119" s="57"/>
      <c r="K119" s="57"/>
      <c r="L119" s="57"/>
      <c r="M119" s="85"/>
      <c r="N119" s="85"/>
      <c r="O119" s="85"/>
      <c r="P119" s="85"/>
      <c r="Q119" s="85"/>
      <c r="R119" s="85"/>
      <c r="S119" s="57"/>
      <c r="T119" s="87" t="str">
        <f>IF(COUNTIF($A119:$S119,"&lt;&gt;")=0,"",IF($F119="À parts égales entre participants",IF(G119&lt;&gt;"Oui",0,IF(COUNTIF($H119:$L119,"Oui")=0,$D119-0,ROUND($D119/COUNTIF($G119:$L119,"Oui"),2))),IF($F119="Montants convenus",IF(G119="Oui",M119,0),"")))</f>
      </c>
      <c r="U119" s="87" t="str">
        <f>IF(COUNTIF($A119:$S119,"&lt;&gt;")=0,"",IF($F119="À parts égales entre participants",IF(H119&lt;&gt;"Oui",0,IF(COUNTIF($I119:$L119,"Oui")=0,$D119-SUM($T119:T119),ROUND($D119/COUNTIF($G119:$L119,"Oui"),2))),IF($F119="Montants convenus",IF(H119="Oui",N119,0),"")))</f>
      </c>
      <c r="V119" s="87" t="str">
        <f>IF(COUNTIF($A119:$S119,"&lt;&gt;")=0,"",IF($F119="À parts égales entre participants",IF(I119&lt;&gt;"Oui",0,IF(COUNTIF($J119:$L119,"Oui")=0,$D119-SUM($T119:U119),ROUND($D119/COUNTIF($G119:$L119,"Oui"),2))),IF($F119="Montants convenus",IF(I119="Oui",O119,0),"")))</f>
      </c>
      <c r="W119" s="87" t="str">
        <f>IF(COUNTIF($A119:$S119,"&lt;&gt;")=0,"",IF($F119="À parts égales entre participants",IF(J119&lt;&gt;"Oui",0,IF(COUNTIF($K119:$L119,"Oui")=0,$D119-SUM($T119:V119),ROUND($D119/COUNTIF($G119:$L119,"Oui"),2))),IF($F119="Montants convenus",IF(J119="Oui",P119,0),"")))</f>
      </c>
      <c r="X119" s="87" t="str">
        <f>IF(COUNTIF($A119:$S119,"&lt;&gt;")=0,"",IF($F119="À parts égales entre participants",IF(K119&lt;&gt;"Oui",0,IF(COUNTIF($L119:$L119,"Oui")=0,$D119-SUM($T119:W119),ROUND($D119/COUNTIF($G119:$L119,"Oui"),2))),IF($F119="Montants convenus",IF(K119="Oui",Q119,0),"")))</f>
      </c>
      <c r="Y119" s="87" t="str">
        <f>IF(COUNTIF($A119:$S119,"&lt;&gt;")=0,"",IF($F119="À parts égales entre participants",IF(L119&lt;&gt;"Oui",0,IF(0=0,$D119-SUM($T119:X119),ROUND($D119/COUNTIF($G119:$L119,"Oui"),2))),IF($F119="Montants convenus",IF(L119="Oui",R119,0),"")))</f>
      </c>
      <c r="Z119" s="81" t="str">
        <f>IF(COUNTIF($A119:$S119,"&lt;&gt;")=0,"",IF(OR($D119="",$D119&lt;=0),"Saisissez un montant supérieur à zéro.",IF($E119="","Sélectionnez la personne qui a payé.",IF(COUNTIF($G119:$L119,"Oui")=0,"Sélectionnez au moins une personne participante.",IF($F119="À parts égales entre participants","Vérifié",IF($F119="Montants convenus",IF(OR(AND(G119="Oui",M119=""),AND(H119="Oui",N119=""),AND(I119="Oui",O119=""),AND(J119="Oui",P119=""),AND(K119="Oui",Q119=""),AND(L119="Oui",R119="")),"Saisissez les montants convenus pour que leur somme corresponde à la dépense.",IF(ABS(SUM($M119:$R119))&lt;0.005,"Saisissez les montants convenus pour que leur somme corresponde à la dépense.",IF(SUM($M119:$R119)&lt;$D119-0.005,"Montant restant à répartir : "&amp;ROUND($D119-SUM($M119:$R119),2)&amp;".",IF(SUM($M119:$R119)&gt;$D119+0.005,"Montant réparti en trop : "&amp;ROUND(SUM($M119:$R119)-$D119,2)&amp;".","Vérifié")))),"Saisissez les montants convenus pour que leur somme corresponde à la dépense."))))))</f>
      </c>
    </row>
    <row r="120">
      <c r="A120" s="83"/>
      <c r="B120" s="57"/>
      <c r="C120" s="57"/>
      <c r="D120" s="85"/>
      <c r="E120" s="57"/>
      <c r="F120" s="57"/>
      <c r="G120" s="57"/>
      <c r="H120" s="57"/>
      <c r="I120" s="57"/>
      <c r="J120" s="57"/>
      <c r="K120" s="57"/>
      <c r="L120" s="57"/>
      <c r="M120" s="85"/>
      <c r="N120" s="85"/>
      <c r="O120" s="85"/>
      <c r="P120" s="85"/>
      <c r="Q120" s="85"/>
      <c r="R120" s="85"/>
      <c r="S120" s="57"/>
      <c r="T120" s="87" t="str">
        <f>IF(COUNTIF($A120:$S120,"&lt;&gt;")=0,"",IF($F120="À parts égales entre participants",IF(G120&lt;&gt;"Oui",0,IF(COUNTIF($H120:$L120,"Oui")=0,$D120-0,ROUND($D120/COUNTIF($G120:$L120,"Oui"),2))),IF($F120="Montants convenus",IF(G120="Oui",M120,0),"")))</f>
      </c>
      <c r="U120" s="87" t="str">
        <f>IF(COUNTIF($A120:$S120,"&lt;&gt;")=0,"",IF($F120="À parts égales entre participants",IF(H120&lt;&gt;"Oui",0,IF(COUNTIF($I120:$L120,"Oui")=0,$D120-SUM($T120:T120),ROUND($D120/COUNTIF($G120:$L120,"Oui"),2))),IF($F120="Montants convenus",IF(H120="Oui",N120,0),"")))</f>
      </c>
      <c r="V120" s="87" t="str">
        <f>IF(COUNTIF($A120:$S120,"&lt;&gt;")=0,"",IF($F120="À parts égales entre participants",IF(I120&lt;&gt;"Oui",0,IF(COUNTIF($J120:$L120,"Oui")=0,$D120-SUM($T120:U120),ROUND($D120/COUNTIF($G120:$L120,"Oui"),2))),IF($F120="Montants convenus",IF(I120="Oui",O120,0),"")))</f>
      </c>
      <c r="W120" s="87" t="str">
        <f>IF(COUNTIF($A120:$S120,"&lt;&gt;")=0,"",IF($F120="À parts égales entre participants",IF(J120&lt;&gt;"Oui",0,IF(COUNTIF($K120:$L120,"Oui")=0,$D120-SUM($T120:V120),ROUND($D120/COUNTIF($G120:$L120,"Oui"),2))),IF($F120="Montants convenus",IF(J120="Oui",P120,0),"")))</f>
      </c>
      <c r="X120" s="87" t="str">
        <f>IF(COUNTIF($A120:$S120,"&lt;&gt;")=0,"",IF($F120="À parts égales entre participants",IF(K120&lt;&gt;"Oui",0,IF(COUNTIF($L120:$L120,"Oui")=0,$D120-SUM($T120:W120),ROUND($D120/COUNTIF($G120:$L120,"Oui"),2))),IF($F120="Montants convenus",IF(K120="Oui",Q120,0),"")))</f>
      </c>
      <c r="Y120" s="87" t="str">
        <f>IF(COUNTIF($A120:$S120,"&lt;&gt;")=0,"",IF($F120="À parts égales entre participants",IF(L120&lt;&gt;"Oui",0,IF(0=0,$D120-SUM($T120:X120),ROUND($D120/COUNTIF($G120:$L120,"Oui"),2))),IF($F120="Montants convenus",IF(L120="Oui",R120,0),"")))</f>
      </c>
      <c r="Z120" s="81" t="str">
        <f>IF(COUNTIF($A120:$S120,"&lt;&gt;")=0,"",IF(OR($D120="",$D120&lt;=0),"Saisissez un montant supérieur à zéro.",IF($E120="","Sélectionnez la personne qui a payé.",IF(COUNTIF($G120:$L120,"Oui")=0,"Sélectionnez au moins une personne participante.",IF($F120="À parts égales entre participants","Vérifié",IF($F120="Montants convenus",IF(OR(AND(G120="Oui",M120=""),AND(H120="Oui",N120=""),AND(I120="Oui",O120=""),AND(J120="Oui",P120=""),AND(K120="Oui",Q120=""),AND(L120="Oui",R120="")),"Saisissez les montants convenus pour que leur somme corresponde à la dépense.",IF(ABS(SUM($M120:$R120))&lt;0.005,"Saisissez les montants convenus pour que leur somme corresponde à la dépense.",IF(SUM($M120:$R120)&lt;$D120-0.005,"Montant restant à répartir : "&amp;ROUND($D120-SUM($M120:$R120),2)&amp;".",IF(SUM($M120:$R120)&gt;$D120+0.005,"Montant réparti en trop : "&amp;ROUND(SUM($M120:$R120)-$D120,2)&amp;".","Vérifié")))),"Saisissez les montants convenus pour que leur somme corresponde à la dépense."))))))</f>
      </c>
    </row>
    <row r="121">
      <c r="A121" s="83"/>
      <c r="B121" s="57"/>
      <c r="C121" s="57"/>
      <c r="D121" s="85"/>
      <c r="E121" s="57"/>
      <c r="F121" s="57"/>
      <c r="G121" s="57"/>
      <c r="H121" s="57"/>
      <c r="I121" s="57"/>
      <c r="J121" s="57"/>
      <c r="K121" s="57"/>
      <c r="L121" s="57"/>
      <c r="M121" s="85"/>
      <c r="N121" s="85"/>
      <c r="O121" s="85"/>
      <c r="P121" s="85"/>
      <c r="Q121" s="85"/>
      <c r="R121" s="85"/>
      <c r="S121" s="57"/>
      <c r="T121" s="87" t="str">
        <f>IF(COUNTIF($A121:$S121,"&lt;&gt;")=0,"",IF($F121="À parts égales entre participants",IF(G121&lt;&gt;"Oui",0,IF(COUNTIF($H121:$L121,"Oui")=0,$D121-0,ROUND($D121/COUNTIF($G121:$L121,"Oui"),2))),IF($F121="Montants convenus",IF(G121="Oui",M121,0),"")))</f>
      </c>
      <c r="U121" s="87" t="str">
        <f>IF(COUNTIF($A121:$S121,"&lt;&gt;")=0,"",IF($F121="À parts égales entre participants",IF(H121&lt;&gt;"Oui",0,IF(COUNTIF($I121:$L121,"Oui")=0,$D121-SUM($T121:T121),ROUND($D121/COUNTIF($G121:$L121,"Oui"),2))),IF($F121="Montants convenus",IF(H121="Oui",N121,0),"")))</f>
      </c>
      <c r="V121" s="87" t="str">
        <f>IF(COUNTIF($A121:$S121,"&lt;&gt;")=0,"",IF($F121="À parts égales entre participants",IF(I121&lt;&gt;"Oui",0,IF(COUNTIF($J121:$L121,"Oui")=0,$D121-SUM($T121:U121),ROUND($D121/COUNTIF($G121:$L121,"Oui"),2))),IF($F121="Montants convenus",IF(I121="Oui",O121,0),"")))</f>
      </c>
      <c r="W121" s="87" t="str">
        <f>IF(COUNTIF($A121:$S121,"&lt;&gt;")=0,"",IF($F121="À parts égales entre participants",IF(J121&lt;&gt;"Oui",0,IF(COUNTIF($K121:$L121,"Oui")=0,$D121-SUM($T121:V121),ROUND($D121/COUNTIF($G121:$L121,"Oui"),2))),IF($F121="Montants convenus",IF(J121="Oui",P121,0),"")))</f>
      </c>
      <c r="X121" s="87" t="str">
        <f>IF(COUNTIF($A121:$S121,"&lt;&gt;")=0,"",IF($F121="À parts égales entre participants",IF(K121&lt;&gt;"Oui",0,IF(COUNTIF($L121:$L121,"Oui")=0,$D121-SUM($T121:W121),ROUND($D121/COUNTIF($G121:$L121,"Oui"),2))),IF($F121="Montants convenus",IF(K121="Oui",Q121,0),"")))</f>
      </c>
      <c r="Y121" s="87" t="str">
        <f>IF(COUNTIF($A121:$S121,"&lt;&gt;")=0,"",IF($F121="À parts égales entre participants",IF(L121&lt;&gt;"Oui",0,IF(0=0,$D121-SUM($T121:X121),ROUND($D121/COUNTIF($G121:$L121,"Oui"),2))),IF($F121="Montants convenus",IF(L121="Oui",R121,0),"")))</f>
      </c>
      <c r="Z121" s="81" t="str">
        <f>IF(COUNTIF($A121:$S121,"&lt;&gt;")=0,"",IF(OR($D121="",$D121&lt;=0),"Saisissez un montant supérieur à zéro.",IF($E121="","Sélectionnez la personne qui a payé.",IF(COUNTIF($G121:$L121,"Oui")=0,"Sélectionnez au moins une personne participante.",IF($F121="À parts égales entre participants","Vérifié",IF($F121="Montants convenus",IF(OR(AND(G121="Oui",M121=""),AND(H121="Oui",N121=""),AND(I121="Oui",O121=""),AND(J121="Oui",P121=""),AND(K121="Oui",Q121=""),AND(L121="Oui",R121="")),"Saisissez les montants convenus pour que leur somme corresponde à la dépense.",IF(ABS(SUM($M121:$R121))&lt;0.005,"Saisissez les montants convenus pour que leur somme corresponde à la dépense.",IF(SUM($M121:$R121)&lt;$D121-0.005,"Montant restant à répartir : "&amp;ROUND($D121-SUM($M121:$R121),2)&amp;".",IF(SUM($M121:$R121)&gt;$D121+0.005,"Montant réparti en trop : "&amp;ROUND(SUM($M121:$R121)-$D121,2)&amp;".","Vérifié")))),"Saisissez les montants convenus pour que leur somme corresponde à la dépense."))))))</f>
      </c>
    </row>
    <row r="122">
      <c r="A122" s="83"/>
      <c r="B122" s="57"/>
      <c r="C122" s="57"/>
      <c r="D122" s="85"/>
      <c r="E122" s="57"/>
      <c r="F122" s="57"/>
      <c r="G122" s="57"/>
      <c r="H122" s="57"/>
      <c r="I122" s="57"/>
      <c r="J122" s="57"/>
      <c r="K122" s="57"/>
      <c r="L122" s="57"/>
      <c r="M122" s="85"/>
      <c r="N122" s="85"/>
      <c r="O122" s="85"/>
      <c r="P122" s="85"/>
      <c r="Q122" s="85"/>
      <c r="R122" s="85"/>
      <c r="S122" s="57"/>
      <c r="T122" s="87" t="str">
        <f>IF(COUNTIF($A122:$S122,"&lt;&gt;")=0,"",IF($F122="À parts égales entre participants",IF(G122&lt;&gt;"Oui",0,IF(COUNTIF($H122:$L122,"Oui")=0,$D122-0,ROUND($D122/COUNTIF($G122:$L122,"Oui"),2))),IF($F122="Montants convenus",IF(G122="Oui",M122,0),"")))</f>
      </c>
      <c r="U122" s="87" t="str">
        <f>IF(COUNTIF($A122:$S122,"&lt;&gt;")=0,"",IF($F122="À parts égales entre participants",IF(H122&lt;&gt;"Oui",0,IF(COUNTIF($I122:$L122,"Oui")=0,$D122-SUM($T122:T122),ROUND($D122/COUNTIF($G122:$L122,"Oui"),2))),IF($F122="Montants convenus",IF(H122="Oui",N122,0),"")))</f>
      </c>
      <c r="V122" s="87" t="str">
        <f>IF(COUNTIF($A122:$S122,"&lt;&gt;")=0,"",IF($F122="À parts égales entre participants",IF(I122&lt;&gt;"Oui",0,IF(COUNTIF($J122:$L122,"Oui")=0,$D122-SUM($T122:U122),ROUND($D122/COUNTIF($G122:$L122,"Oui"),2))),IF($F122="Montants convenus",IF(I122="Oui",O122,0),"")))</f>
      </c>
      <c r="W122" s="87" t="str">
        <f>IF(COUNTIF($A122:$S122,"&lt;&gt;")=0,"",IF($F122="À parts égales entre participants",IF(J122&lt;&gt;"Oui",0,IF(COUNTIF($K122:$L122,"Oui")=0,$D122-SUM($T122:V122),ROUND($D122/COUNTIF($G122:$L122,"Oui"),2))),IF($F122="Montants convenus",IF(J122="Oui",P122,0),"")))</f>
      </c>
      <c r="X122" s="87" t="str">
        <f>IF(COUNTIF($A122:$S122,"&lt;&gt;")=0,"",IF($F122="À parts égales entre participants",IF(K122&lt;&gt;"Oui",0,IF(COUNTIF($L122:$L122,"Oui")=0,$D122-SUM($T122:W122),ROUND($D122/COUNTIF($G122:$L122,"Oui"),2))),IF($F122="Montants convenus",IF(K122="Oui",Q122,0),"")))</f>
      </c>
      <c r="Y122" s="87" t="str">
        <f>IF(COUNTIF($A122:$S122,"&lt;&gt;")=0,"",IF($F122="À parts égales entre participants",IF(L122&lt;&gt;"Oui",0,IF(0=0,$D122-SUM($T122:X122),ROUND($D122/COUNTIF($G122:$L122,"Oui"),2))),IF($F122="Montants convenus",IF(L122="Oui",R122,0),"")))</f>
      </c>
      <c r="Z122" s="81" t="str">
        <f>IF(COUNTIF($A122:$S122,"&lt;&gt;")=0,"",IF(OR($D122="",$D122&lt;=0),"Saisissez un montant supérieur à zéro.",IF($E122="","Sélectionnez la personne qui a payé.",IF(COUNTIF($G122:$L122,"Oui")=0,"Sélectionnez au moins une personne participante.",IF($F122="À parts égales entre participants","Vérifié",IF($F122="Montants convenus",IF(OR(AND(G122="Oui",M122=""),AND(H122="Oui",N122=""),AND(I122="Oui",O122=""),AND(J122="Oui",P122=""),AND(K122="Oui",Q122=""),AND(L122="Oui",R122="")),"Saisissez les montants convenus pour que leur somme corresponde à la dépense.",IF(ABS(SUM($M122:$R122))&lt;0.005,"Saisissez les montants convenus pour que leur somme corresponde à la dépense.",IF(SUM($M122:$R122)&lt;$D122-0.005,"Montant restant à répartir : "&amp;ROUND($D122-SUM($M122:$R122),2)&amp;".",IF(SUM($M122:$R122)&gt;$D122+0.005,"Montant réparti en trop : "&amp;ROUND(SUM($M122:$R122)-$D122,2)&amp;".","Vérifié")))),"Saisissez les montants convenus pour que leur somme corresponde à la dépense."))))))</f>
      </c>
    </row>
    <row r="123">
      <c r="A123" s="83"/>
      <c r="B123" s="57"/>
      <c r="C123" s="57"/>
      <c r="D123" s="85"/>
      <c r="E123" s="57"/>
      <c r="F123" s="57"/>
      <c r="G123" s="57"/>
      <c r="H123" s="57"/>
      <c r="I123" s="57"/>
      <c r="J123" s="57"/>
      <c r="K123" s="57"/>
      <c r="L123" s="57"/>
      <c r="M123" s="85"/>
      <c r="N123" s="85"/>
      <c r="O123" s="85"/>
      <c r="P123" s="85"/>
      <c r="Q123" s="85"/>
      <c r="R123" s="85"/>
      <c r="S123" s="57"/>
      <c r="T123" s="87" t="str">
        <f>IF(COUNTIF($A123:$S123,"&lt;&gt;")=0,"",IF($F123="À parts égales entre participants",IF(G123&lt;&gt;"Oui",0,IF(COUNTIF($H123:$L123,"Oui")=0,$D123-0,ROUND($D123/COUNTIF($G123:$L123,"Oui"),2))),IF($F123="Montants convenus",IF(G123="Oui",M123,0),"")))</f>
      </c>
      <c r="U123" s="87" t="str">
        <f>IF(COUNTIF($A123:$S123,"&lt;&gt;")=0,"",IF($F123="À parts égales entre participants",IF(H123&lt;&gt;"Oui",0,IF(COUNTIF($I123:$L123,"Oui")=0,$D123-SUM($T123:T123),ROUND($D123/COUNTIF($G123:$L123,"Oui"),2))),IF($F123="Montants convenus",IF(H123="Oui",N123,0),"")))</f>
      </c>
      <c r="V123" s="87" t="str">
        <f>IF(COUNTIF($A123:$S123,"&lt;&gt;")=0,"",IF($F123="À parts égales entre participants",IF(I123&lt;&gt;"Oui",0,IF(COUNTIF($J123:$L123,"Oui")=0,$D123-SUM($T123:U123),ROUND($D123/COUNTIF($G123:$L123,"Oui"),2))),IF($F123="Montants convenus",IF(I123="Oui",O123,0),"")))</f>
      </c>
      <c r="W123" s="87" t="str">
        <f>IF(COUNTIF($A123:$S123,"&lt;&gt;")=0,"",IF($F123="À parts égales entre participants",IF(J123&lt;&gt;"Oui",0,IF(COUNTIF($K123:$L123,"Oui")=0,$D123-SUM($T123:V123),ROUND($D123/COUNTIF($G123:$L123,"Oui"),2))),IF($F123="Montants convenus",IF(J123="Oui",P123,0),"")))</f>
      </c>
      <c r="X123" s="87" t="str">
        <f>IF(COUNTIF($A123:$S123,"&lt;&gt;")=0,"",IF($F123="À parts égales entre participants",IF(K123&lt;&gt;"Oui",0,IF(COUNTIF($L123:$L123,"Oui")=0,$D123-SUM($T123:W123),ROUND($D123/COUNTIF($G123:$L123,"Oui"),2))),IF($F123="Montants convenus",IF(K123="Oui",Q123,0),"")))</f>
      </c>
      <c r="Y123" s="87" t="str">
        <f>IF(COUNTIF($A123:$S123,"&lt;&gt;")=0,"",IF($F123="À parts égales entre participants",IF(L123&lt;&gt;"Oui",0,IF(0=0,$D123-SUM($T123:X123),ROUND($D123/COUNTIF($G123:$L123,"Oui"),2))),IF($F123="Montants convenus",IF(L123="Oui",R123,0),"")))</f>
      </c>
      <c r="Z123" s="81" t="str">
        <f>IF(COUNTIF($A123:$S123,"&lt;&gt;")=0,"",IF(OR($D123="",$D123&lt;=0),"Saisissez un montant supérieur à zéro.",IF($E123="","Sélectionnez la personne qui a payé.",IF(COUNTIF($G123:$L123,"Oui")=0,"Sélectionnez au moins une personne participante.",IF($F123="À parts égales entre participants","Vérifié",IF($F123="Montants convenus",IF(OR(AND(G123="Oui",M123=""),AND(H123="Oui",N123=""),AND(I123="Oui",O123=""),AND(J123="Oui",P123=""),AND(K123="Oui",Q123=""),AND(L123="Oui",R123="")),"Saisissez les montants convenus pour que leur somme corresponde à la dépense.",IF(ABS(SUM($M123:$R123))&lt;0.005,"Saisissez les montants convenus pour que leur somme corresponde à la dépense.",IF(SUM($M123:$R123)&lt;$D123-0.005,"Montant restant à répartir : "&amp;ROUND($D123-SUM($M123:$R123),2)&amp;".",IF(SUM($M123:$R123)&gt;$D123+0.005,"Montant réparti en trop : "&amp;ROUND(SUM($M123:$R123)-$D123,2)&amp;".","Vérifié")))),"Saisissez les montants convenus pour que leur somme corresponde à la dépense."))))))</f>
      </c>
    </row>
    <row r="124">
      <c r="A124" s="83"/>
      <c r="B124" s="57"/>
      <c r="C124" s="57"/>
      <c r="D124" s="85"/>
      <c r="E124" s="57"/>
      <c r="F124" s="57"/>
      <c r="G124" s="57"/>
      <c r="H124" s="57"/>
      <c r="I124" s="57"/>
      <c r="J124" s="57"/>
      <c r="K124" s="57"/>
      <c r="L124" s="57"/>
      <c r="M124" s="85"/>
      <c r="N124" s="85"/>
      <c r="O124" s="85"/>
      <c r="P124" s="85"/>
      <c r="Q124" s="85"/>
      <c r="R124" s="85"/>
      <c r="S124" s="57"/>
      <c r="T124" s="87" t="str">
        <f>IF(COUNTIF($A124:$S124,"&lt;&gt;")=0,"",IF($F124="À parts égales entre participants",IF(G124&lt;&gt;"Oui",0,IF(COUNTIF($H124:$L124,"Oui")=0,$D124-0,ROUND($D124/COUNTIF($G124:$L124,"Oui"),2))),IF($F124="Montants convenus",IF(G124="Oui",M124,0),"")))</f>
      </c>
      <c r="U124" s="87" t="str">
        <f>IF(COUNTIF($A124:$S124,"&lt;&gt;")=0,"",IF($F124="À parts égales entre participants",IF(H124&lt;&gt;"Oui",0,IF(COUNTIF($I124:$L124,"Oui")=0,$D124-SUM($T124:T124),ROUND($D124/COUNTIF($G124:$L124,"Oui"),2))),IF($F124="Montants convenus",IF(H124="Oui",N124,0),"")))</f>
      </c>
      <c r="V124" s="87" t="str">
        <f>IF(COUNTIF($A124:$S124,"&lt;&gt;")=0,"",IF($F124="À parts égales entre participants",IF(I124&lt;&gt;"Oui",0,IF(COUNTIF($J124:$L124,"Oui")=0,$D124-SUM($T124:U124),ROUND($D124/COUNTIF($G124:$L124,"Oui"),2))),IF($F124="Montants convenus",IF(I124="Oui",O124,0),"")))</f>
      </c>
      <c r="W124" s="87" t="str">
        <f>IF(COUNTIF($A124:$S124,"&lt;&gt;")=0,"",IF($F124="À parts égales entre participants",IF(J124&lt;&gt;"Oui",0,IF(COUNTIF($K124:$L124,"Oui")=0,$D124-SUM($T124:V124),ROUND($D124/COUNTIF($G124:$L124,"Oui"),2))),IF($F124="Montants convenus",IF(J124="Oui",P124,0),"")))</f>
      </c>
      <c r="X124" s="87" t="str">
        <f>IF(COUNTIF($A124:$S124,"&lt;&gt;")=0,"",IF($F124="À parts égales entre participants",IF(K124&lt;&gt;"Oui",0,IF(COUNTIF($L124:$L124,"Oui")=0,$D124-SUM($T124:W124),ROUND($D124/COUNTIF($G124:$L124,"Oui"),2))),IF($F124="Montants convenus",IF(K124="Oui",Q124,0),"")))</f>
      </c>
      <c r="Y124" s="87" t="str">
        <f>IF(COUNTIF($A124:$S124,"&lt;&gt;")=0,"",IF($F124="À parts égales entre participants",IF(L124&lt;&gt;"Oui",0,IF(0=0,$D124-SUM($T124:X124),ROUND($D124/COUNTIF($G124:$L124,"Oui"),2))),IF($F124="Montants convenus",IF(L124="Oui",R124,0),"")))</f>
      </c>
      <c r="Z124" s="81" t="str">
        <f>IF(COUNTIF($A124:$S124,"&lt;&gt;")=0,"",IF(OR($D124="",$D124&lt;=0),"Saisissez un montant supérieur à zéro.",IF($E124="","Sélectionnez la personne qui a payé.",IF(COUNTIF($G124:$L124,"Oui")=0,"Sélectionnez au moins une personne participante.",IF($F124="À parts égales entre participants","Vérifié",IF($F124="Montants convenus",IF(OR(AND(G124="Oui",M124=""),AND(H124="Oui",N124=""),AND(I124="Oui",O124=""),AND(J124="Oui",P124=""),AND(K124="Oui",Q124=""),AND(L124="Oui",R124="")),"Saisissez les montants convenus pour que leur somme corresponde à la dépense.",IF(ABS(SUM($M124:$R124))&lt;0.005,"Saisissez les montants convenus pour que leur somme corresponde à la dépense.",IF(SUM($M124:$R124)&lt;$D124-0.005,"Montant restant à répartir : "&amp;ROUND($D124-SUM($M124:$R124),2)&amp;".",IF(SUM($M124:$R124)&gt;$D124+0.005,"Montant réparti en trop : "&amp;ROUND(SUM($M124:$R124)-$D124,2)&amp;".","Vérifié")))),"Saisissez les montants convenus pour que leur somme corresponde à la dépense."))))))</f>
      </c>
    </row>
    <row r="125">
      <c r="A125" s="83"/>
      <c r="B125" s="57"/>
      <c r="C125" s="57"/>
      <c r="D125" s="85"/>
      <c r="E125" s="57"/>
      <c r="F125" s="57"/>
      <c r="G125" s="57"/>
      <c r="H125" s="57"/>
      <c r="I125" s="57"/>
      <c r="J125" s="57"/>
      <c r="K125" s="57"/>
      <c r="L125" s="57"/>
      <c r="M125" s="85"/>
      <c r="N125" s="85"/>
      <c r="O125" s="85"/>
      <c r="P125" s="85"/>
      <c r="Q125" s="85"/>
      <c r="R125" s="85"/>
      <c r="S125" s="57"/>
      <c r="T125" s="87" t="str">
        <f>IF(COUNTIF($A125:$S125,"&lt;&gt;")=0,"",IF($F125="À parts égales entre participants",IF(G125&lt;&gt;"Oui",0,IF(COUNTIF($H125:$L125,"Oui")=0,$D125-0,ROUND($D125/COUNTIF($G125:$L125,"Oui"),2))),IF($F125="Montants convenus",IF(G125="Oui",M125,0),"")))</f>
      </c>
      <c r="U125" s="87" t="str">
        <f>IF(COUNTIF($A125:$S125,"&lt;&gt;")=0,"",IF($F125="À parts égales entre participants",IF(H125&lt;&gt;"Oui",0,IF(COUNTIF($I125:$L125,"Oui")=0,$D125-SUM($T125:T125),ROUND($D125/COUNTIF($G125:$L125,"Oui"),2))),IF($F125="Montants convenus",IF(H125="Oui",N125,0),"")))</f>
      </c>
      <c r="V125" s="87" t="str">
        <f>IF(COUNTIF($A125:$S125,"&lt;&gt;")=0,"",IF($F125="À parts égales entre participants",IF(I125&lt;&gt;"Oui",0,IF(COUNTIF($J125:$L125,"Oui")=0,$D125-SUM($T125:U125),ROUND($D125/COUNTIF($G125:$L125,"Oui"),2))),IF($F125="Montants convenus",IF(I125="Oui",O125,0),"")))</f>
      </c>
      <c r="W125" s="87" t="str">
        <f>IF(COUNTIF($A125:$S125,"&lt;&gt;")=0,"",IF($F125="À parts égales entre participants",IF(J125&lt;&gt;"Oui",0,IF(COUNTIF($K125:$L125,"Oui")=0,$D125-SUM($T125:V125),ROUND($D125/COUNTIF($G125:$L125,"Oui"),2))),IF($F125="Montants convenus",IF(J125="Oui",P125,0),"")))</f>
      </c>
      <c r="X125" s="87" t="str">
        <f>IF(COUNTIF($A125:$S125,"&lt;&gt;")=0,"",IF($F125="À parts égales entre participants",IF(K125&lt;&gt;"Oui",0,IF(COUNTIF($L125:$L125,"Oui")=0,$D125-SUM($T125:W125),ROUND($D125/COUNTIF($G125:$L125,"Oui"),2))),IF($F125="Montants convenus",IF(K125="Oui",Q125,0),"")))</f>
      </c>
      <c r="Y125" s="87" t="str">
        <f>IF(COUNTIF($A125:$S125,"&lt;&gt;")=0,"",IF($F125="À parts égales entre participants",IF(L125&lt;&gt;"Oui",0,IF(0=0,$D125-SUM($T125:X125),ROUND($D125/COUNTIF($G125:$L125,"Oui"),2))),IF($F125="Montants convenus",IF(L125="Oui",R125,0),"")))</f>
      </c>
      <c r="Z125" s="81" t="str">
        <f>IF(COUNTIF($A125:$S125,"&lt;&gt;")=0,"",IF(OR($D125="",$D125&lt;=0),"Saisissez un montant supérieur à zéro.",IF($E125="","Sélectionnez la personne qui a payé.",IF(COUNTIF($G125:$L125,"Oui")=0,"Sélectionnez au moins une personne participante.",IF($F125="À parts égales entre participants","Vérifié",IF($F125="Montants convenus",IF(OR(AND(G125="Oui",M125=""),AND(H125="Oui",N125=""),AND(I125="Oui",O125=""),AND(J125="Oui",P125=""),AND(K125="Oui",Q125=""),AND(L125="Oui",R125="")),"Saisissez les montants convenus pour que leur somme corresponde à la dépense.",IF(ABS(SUM($M125:$R125))&lt;0.005,"Saisissez les montants convenus pour que leur somme corresponde à la dépense.",IF(SUM($M125:$R125)&lt;$D125-0.005,"Montant restant à répartir : "&amp;ROUND($D125-SUM($M125:$R125),2)&amp;".",IF(SUM($M125:$R125)&gt;$D125+0.005,"Montant réparti en trop : "&amp;ROUND(SUM($M125:$R125)-$D125,2)&amp;".","Vérifié")))),"Saisissez les montants convenus pour que leur somme corresponde à la dépense."))))))</f>
      </c>
    </row>
    <row r="126">
      <c r="A126" s="83"/>
      <c r="B126" s="57"/>
      <c r="C126" s="57"/>
      <c r="D126" s="85"/>
      <c r="E126" s="57"/>
      <c r="F126" s="57"/>
      <c r="G126" s="57"/>
      <c r="H126" s="57"/>
      <c r="I126" s="57"/>
      <c r="J126" s="57"/>
      <c r="K126" s="57"/>
      <c r="L126" s="57"/>
      <c r="M126" s="85"/>
      <c r="N126" s="85"/>
      <c r="O126" s="85"/>
      <c r="P126" s="85"/>
      <c r="Q126" s="85"/>
      <c r="R126" s="85"/>
      <c r="S126" s="57"/>
      <c r="T126" s="87" t="str">
        <f>IF(COUNTIF($A126:$S126,"&lt;&gt;")=0,"",IF($F126="À parts égales entre participants",IF(G126&lt;&gt;"Oui",0,IF(COUNTIF($H126:$L126,"Oui")=0,$D126-0,ROUND($D126/COUNTIF($G126:$L126,"Oui"),2))),IF($F126="Montants convenus",IF(G126="Oui",M126,0),"")))</f>
      </c>
      <c r="U126" s="87" t="str">
        <f>IF(COUNTIF($A126:$S126,"&lt;&gt;")=0,"",IF($F126="À parts égales entre participants",IF(H126&lt;&gt;"Oui",0,IF(COUNTIF($I126:$L126,"Oui")=0,$D126-SUM($T126:T126),ROUND($D126/COUNTIF($G126:$L126,"Oui"),2))),IF($F126="Montants convenus",IF(H126="Oui",N126,0),"")))</f>
      </c>
      <c r="V126" s="87" t="str">
        <f>IF(COUNTIF($A126:$S126,"&lt;&gt;")=0,"",IF($F126="À parts égales entre participants",IF(I126&lt;&gt;"Oui",0,IF(COUNTIF($J126:$L126,"Oui")=0,$D126-SUM($T126:U126),ROUND($D126/COUNTIF($G126:$L126,"Oui"),2))),IF($F126="Montants convenus",IF(I126="Oui",O126,0),"")))</f>
      </c>
      <c r="W126" s="87" t="str">
        <f>IF(COUNTIF($A126:$S126,"&lt;&gt;")=0,"",IF($F126="À parts égales entre participants",IF(J126&lt;&gt;"Oui",0,IF(COUNTIF($K126:$L126,"Oui")=0,$D126-SUM($T126:V126),ROUND($D126/COUNTIF($G126:$L126,"Oui"),2))),IF($F126="Montants convenus",IF(J126="Oui",P126,0),"")))</f>
      </c>
      <c r="X126" s="87" t="str">
        <f>IF(COUNTIF($A126:$S126,"&lt;&gt;")=0,"",IF($F126="À parts égales entre participants",IF(K126&lt;&gt;"Oui",0,IF(COUNTIF($L126:$L126,"Oui")=0,$D126-SUM($T126:W126),ROUND($D126/COUNTIF($G126:$L126,"Oui"),2))),IF($F126="Montants convenus",IF(K126="Oui",Q126,0),"")))</f>
      </c>
      <c r="Y126" s="87" t="str">
        <f>IF(COUNTIF($A126:$S126,"&lt;&gt;")=0,"",IF($F126="À parts égales entre participants",IF(L126&lt;&gt;"Oui",0,IF(0=0,$D126-SUM($T126:X126),ROUND($D126/COUNTIF($G126:$L126,"Oui"),2))),IF($F126="Montants convenus",IF(L126="Oui",R126,0),"")))</f>
      </c>
      <c r="Z126" s="81" t="str">
        <f>IF(COUNTIF($A126:$S126,"&lt;&gt;")=0,"",IF(OR($D126="",$D126&lt;=0),"Saisissez un montant supérieur à zéro.",IF($E126="","Sélectionnez la personne qui a payé.",IF(COUNTIF($G126:$L126,"Oui")=0,"Sélectionnez au moins une personne participante.",IF($F126="À parts égales entre participants","Vérifié",IF($F126="Montants convenus",IF(OR(AND(G126="Oui",M126=""),AND(H126="Oui",N126=""),AND(I126="Oui",O126=""),AND(J126="Oui",P126=""),AND(K126="Oui",Q126=""),AND(L126="Oui",R126="")),"Saisissez les montants convenus pour que leur somme corresponde à la dépense.",IF(ABS(SUM($M126:$R126))&lt;0.005,"Saisissez les montants convenus pour que leur somme corresponde à la dépense.",IF(SUM($M126:$R126)&lt;$D126-0.005,"Montant restant à répartir : "&amp;ROUND($D126-SUM($M126:$R126),2)&amp;".",IF(SUM($M126:$R126)&gt;$D126+0.005,"Montant réparti en trop : "&amp;ROUND(SUM($M126:$R126)-$D126,2)&amp;".","Vérifié")))),"Saisissez les montants convenus pour que leur somme corresponde à la dépense."))))))</f>
      </c>
    </row>
    <row r="127">
      <c r="A127" s="83"/>
      <c r="B127" s="57"/>
      <c r="C127" s="57"/>
      <c r="D127" s="85"/>
      <c r="E127" s="57"/>
      <c r="F127" s="57"/>
      <c r="G127" s="57"/>
      <c r="H127" s="57"/>
      <c r="I127" s="57"/>
      <c r="J127" s="57"/>
      <c r="K127" s="57"/>
      <c r="L127" s="57"/>
      <c r="M127" s="85"/>
      <c r="N127" s="85"/>
      <c r="O127" s="85"/>
      <c r="P127" s="85"/>
      <c r="Q127" s="85"/>
      <c r="R127" s="85"/>
      <c r="S127" s="57"/>
      <c r="T127" s="87" t="str">
        <f>IF(COUNTIF($A127:$S127,"&lt;&gt;")=0,"",IF($F127="À parts égales entre participants",IF(G127&lt;&gt;"Oui",0,IF(COUNTIF($H127:$L127,"Oui")=0,$D127-0,ROUND($D127/COUNTIF($G127:$L127,"Oui"),2))),IF($F127="Montants convenus",IF(G127="Oui",M127,0),"")))</f>
      </c>
      <c r="U127" s="87" t="str">
        <f>IF(COUNTIF($A127:$S127,"&lt;&gt;")=0,"",IF($F127="À parts égales entre participants",IF(H127&lt;&gt;"Oui",0,IF(COUNTIF($I127:$L127,"Oui")=0,$D127-SUM($T127:T127),ROUND($D127/COUNTIF($G127:$L127,"Oui"),2))),IF($F127="Montants convenus",IF(H127="Oui",N127,0),"")))</f>
      </c>
      <c r="V127" s="87" t="str">
        <f>IF(COUNTIF($A127:$S127,"&lt;&gt;")=0,"",IF($F127="À parts égales entre participants",IF(I127&lt;&gt;"Oui",0,IF(COUNTIF($J127:$L127,"Oui")=0,$D127-SUM($T127:U127),ROUND($D127/COUNTIF($G127:$L127,"Oui"),2))),IF($F127="Montants convenus",IF(I127="Oui",O127,0),"")))</f>
      </c>
      <c r="W127" s="87" t="str">
        <f>IF(COUNTIF($A127:$S127,"&lt;&gt;")=0,"",IF($F127="À parts égales entre participants",IF(J127&lt;&gt;"Oui",0,IF(COUNTIF($K127:$L127,"Oui")=0,$D127-SUM($T127:V127),ROUND($D127/COUNTIF($G127:$L127,"Oui"),2))),IF($F127="Montants convenus",IF(J127="Oui",P127,0),"")))</f>
      </c>
      <c r="X127" s="87" t="str">
        <f>IF(COUNTIF($A127:$S127,"&lt;&gt;")=0,"",IF($F127="À parts égales entre participants",IF(K127&lt;&gt;"Oui",0,IF(COUNTIF($L127:$L127,"Oui")=0,$D127-SUM($T127:W127),ROUND($D127/COUNTIF($G127:$L127,"Oui"),2))),IF($F127="Montants convenus",IF(K127="Oui",Q127,0),"")))</f>
      </c>
      <c r="Y127" s="87" t="str">
        <f>IF(COUNTIF($A127:$S127,"&lt;&gt;")=0,"",IF($F127="À parts égales entre participants",IF(L127&lt;&gt;"Oui",0,IF(0=0,$D127-SUM($T127:X127),ROUND($D127/COUNTIF($G127:$L127,"Oui"),2))),IF($F127="Montants convenus",IF(L127="Oui",R127,0),"")))</f>
      </c>
      <c r="Z127" s="81" t="str">
        <f>IF(COUNTIF($A127:$S127,"&lt;&gt;")=0,"",IF(OR($D127="",$D127&lt;=0),"Saisissez un montant supérieur à zéro.",IF($E127="","Sélectionnez la personne qui a payé.",IF(COUNTIF($G127:$L127,"Oui")=0,"Sélectionnez au moins une personne participante.",IF($F127="À parts égales entre participants","Vérifié",IF($F127="Montants convenus",IF(OR(AND(G127="Oui",M127=""),AND(H127="Oui",N127=""),AND(I127="Oui",O127=""),AND(J127="Oui",P127=""),AND(K127="Oui",Q127=""),AND(L127="Oui",R127="")),"Saisissez les montants convenus pour que leur somme corresponde à la dépense.",IF(ABS(SUM($M127:$R127))&lt;0.005,"Saisissez les montants convenus pour que leur somme corresponde à la dépense.",IF(SUM($M127:$R127)&lt;$D127-0.005,"Montant restant à répartir : "&amp;ROUND($D127-SUM($M127:$R127),2)&amp;".",IF(SUM($M127:$R127)&gt;$D127+0.005,"Montant réparti en trop : "&amp;ROUND(SUM($M127:$R127)-$D127,2)&amp;".","Vérifié")))),"Saisissez les montants convenus pour que leur somme corresponde à la dépense."))))))</f>
      </c>
    </row>
    <row r="128">
      <c r="A128" s="83"/>
      <c r="B128" s="57"/>
      <c r="C128" s="57"/>
      <c r="D128" s="85"/>
      <c r="E128" s="57"/>
      <c r="F128" s="57"/>
      <c r="G128" s="57"/>
      <c r="H128" s="57"/>
      <c r="I128" s="57"/>
      <c r="J128" s="57"/>
      <c r="K128" s="57"/>
      <c r="L128" s="57"/>
      <c r="M128" s="85"/>
      <c r="N128" s="85"/>
      <c r="O128" s="85"/>
      <c r="P128" s="85"/>
      <c r="Q128" s="85"/>
      <c r="R128" s="85"/>
      <c r="S128" s="57"/>
      <c r="T128" s="87" t="str">
        <f>IF(COUNTIF($A128:$S128,"&lt;&gt;")=0,"",IF($F128="À parts égales entre participants",IF(G128&lt;&gt;"Oui",0,IF(COUNTIF($H128:$L128,"Oui")=0,$D128-0,ROUND($D128/COUNTIF($G128:$L128,"Oui"),2))),IF($F128="Montants convenus",IF(G128="Oui",M128,0),"")))</f>
      </c>
      <c r="U128" s="87" t="str">
        <f>IF(COUNTIF($A128:$S128,"&lt;&gt;")=0,"",IF($F128="À parts égales entre participants",IF(H128&lt;&gt;"Oui",0,IF(COUNTIF($I128:$L128,"Oui")=0,$D128-SUM($T128:T128),ROUND($D128/COUNTIF($G128:$L128,"Oui"),2))),IF($F128="Montants convenus",IF(H128="Oui",N128,0),"")))</f>
      </c>
      <c r="V128" s="87" t="str">
        <f>IF(COUNTIF($A128:$S128,"&lt;&gt;")=0,"",IF($F128="À parts égales entre participants",IF(I128&lt;&gt;"Oui",0,IF(COUNTIF($J128:$L128,"Oui")=0,$D128-SUM($T128:U128),ROUND($D128/COUNTIF($G128:$L128,"Oui"),2))),IF($F128="Montants convenus",IF(I128="Oui",O128,0),"")))</f>
      </c>
      <c r="W128" s="87" t="str">
        <f>IF(COUNTIF($A128:$S128,"&lt;&gt;")=0,"",IF($F128="À parts égales entre participants",IF(J128&lt;&gt;"Oui",0,IF(COUNTIF($K128:$L128,"Oui")=0,$D128-SUM($T128:V128),ROUND($D128/COUNTIF($G128:$L128,"Oui"),2))),IF($F128="Montants convenus",IF(J128="Oui",P128,0),"")))</f>
      </c>
      <c r="X128" s="87" t="str">
        <f>IF(COUNTIF($A128:$S128,"&lt;&gt;")=0,"",IF($F128="À parts égales entre participants",IF(K128&lt;&gt;"Oui",0,IF(COUNTIF($L128:$L128,"Oui")=0,$D128-SUM($T128:W128),ROUND($D128/COUNTIF($G128:$L128,"Oui"),2))),IF($F128="Montants convenus",IF(K128="Oui",Q128,0),"")))</f>
      </c>
      <c r="Y128" s="87" t="str">
        <f>IF(COUNTIF($A128:$S128,"&lt;&gt;")=0,"",IF($F128="À parts égales entre participants",IF(L128&lt;&gt;"Oui",0,IF(0=0,$D128-SUM($T128:X128),ROUND($D128/COUNTIF($G128:$L128,"Oui"),2))),IF($F128="Montants convenus",IF(L128="Oui",R128,0),"")))</f>
      </c>
      <c r="Z128" s="81" t="str">
        <f>IF(COUNTIF($A128:$S128,"&lt;&gt;")=0,"",IF(OR($D128="",$D128&lt;=0),"Saisissez un montant supérieur à zéro.",IF($E128="","Sélectionnez la personne qui a payé.",IF(COUNTIF($G128:$L128,"Oui")=0,"Sélectionnez au moins une personne participante.",IF($F128="À parts égales entre participants","Vérifié",IF($F128="Montants convenus",IF(OR(AND(G128="Oui",M128=""),AND(H128="Oui",N128=""),AND(I128="Oui",O128=""),AND(J128="Oui",P128=""),AND(K128="Oui",Q128=""),AND(L128="Oui",R128="")),"Saisissez les montants convenus pour que leur somme corresponde à la dépense.",IF(ABS(SUM($M128:$R128))&lt;0.005,"Saisissez les montants convenus pour que leur somme corresponde à la dépense.",IF(SUM($M128:$R128)&lt;$D128-0.005,"Montant restant à répartir : "&amp;ROUND($D128-SUM($M128:$R128),2)&amp;".",IF(SUM($M128:$R128)&gt;$D128+0.005,"Montant réparti en trop : "&amp;ROUND(SUM($M128:$R128)-$D128,2)&amp;".","Vérifié")))),"Saisissez les montants convenus pour que leur somme corresponde à la dépense."))))))</f>
      </c>
    </row>
    <row r="129">
      <c r="A129" s="83"/>
      <c r="B129" s="57"/>
      <c r="C129" s="57"/>
      <c r="D129" s="85"/>
      <c r="E129" s="57"/>
      <c r="F129" s="57"/>
      <c r="G129" s="57"/>
      <c r="H129" s="57"/>
      <c r="I129" s="57"/>
      <c r="J129" s="57"/>
      <c r="K129" s="57"/>
      <c r="L129" s="57"/>
      <c r="M129" s="85"/>
      <c r="N129" s="85"/>
      <c r="O129" s="85"/>
      <c r="P129" s="85"/>
      <c r="Q129" s="85"/>
      <c r="R129" s="85"/>
      <c r="S129" s="57"/>
      <c r="T129" s="87" t="str">
        <f>IF(COUNTIF($A129:$S129,"&lt;&gt;")=0,"",IF($F129="À parts égales entre participants",IF(G129&lt;&gt;"Oui",0,IF(COUNTIF($H129:$L129,"Oui")=0,$D129-0,ROUND($D129/COUNTIF($G129:$L129,"Oui"),2))),IF($F129="Montants convenus",IF(G129="Oui",M129,0),"")))</f>
      </c>
      <c r="U129" s="87" t="str">
        <f>IF(COUNTIF($A129:$S129,"&lt;&gt;")=0,"",IF($F129="À parts égales entre participants",IF(H129&lt;&gt;"Oui",0,IF(COUNTIF($I129:$L129,"Oui")=0,$D129-SUM($T129:T129),ROUND($D129/COUNTIF($G129:$L129,"Oui"),2))),IF($F129="Montants convenus",IF(H129="Oui",N129,0),"")))</f>
      </c>
      <c r="V129" s="87" t="str">
        <f>IF(COUNTIF($A129:$S129,"&lt;&gt;")=0,"",IF($F129="À parts égales entre participants",IF(I129&lt;&gt;"Oui",0,IF(COUNTIF($J129:$L129,"Oui")=0,$D129-SUM($T129:U129),ROUND($D129/COUNTIF($G129:$L129,"Oui"),2))),IF($F129="Montants convenus",IF(I129="Oui",O129,0),"")))</f>
      </c>
      <c r="W129" s="87" t="str">
        <f>IF(COUNTIF($A129:$S129,"&lt;&gt;")=0,"",IF($F129="À parts égales entre participants",IF(J129&lt;&gt;"Oui",0,IF(COUNTIF($K129:$L129,"Oui")=0,$D129-SUM($T129:V129),ROUND($D129/COUNTIF($G129:$L129,"Oui"),2))),IF($F129="Montants convenus",IF(J129="Oui",P129,0),"")))</f>
      </c>
      <c r="X129" s="87" t="str">
        <f>IF(COUNTIF($A129:$S129,"&lt;&gt;")=0,"",IF($F129="À parts égales entre participants",IF(K129&lt;&gt;"Oui",0,IF(COUNTIF($L129:$L129,"Oui")=0,$D129-SUM($T129:W129),ROUND($D129/COUNTIF($G129:$L129,"Oui"),2))),IF($F129="Montants convenus",IF(K129="Oui",Q129,0),"")))</f>
      </c>
      <c r="Y129" s="87" t="str">
        <f>IF(COUNTIF($A129:$S129,"&lt;&gt;")=0,"",IF($F129="À parts égales entre participants",IF(L129&lt;&gt;"Oui",0,IF(0=0,$D129-SUM($T129:X129),ROUND($D129/COUNTIF($G129:$L129,"Oui"),2))),IF($F129="Montants convenus",IF(L129="Oui",R129,0),"")))</f>
      </c>
      <c r="Z129" s="81" t="str">
        <f>IF(COUNTIF($A129:$S129,"&lt;&gt;")=0,"",IF(OR($D129="",$D129&lt;=0),"Saisissez un montant supérieur à zéro.",IF($E129="","Sélectionnez la personne qui a payé.",IF(COUNTIF($G129:$L129,"Oui")=0,"Sélectionnez au moins une personne participante.",IF($F129="À parts égales entre participants","Vérifié",IF($F129="Montants convenus",IF(OR(AND(G129="Oui",M129=""),AND(H129="Oui",N129=""),AND(I129="Oui",O129=""),AND(J129="Oui",P129=""),AND(K129="Oui",Q129=""),AND(L129="Oui",R129="")),"Saisissez les montants convenus pour que leur somme corresponde à la dépense.",IF(ABS(SUM($M129:$R129))&lt;0.005,"Saisissez les montants convenus pour que leur somme corresponde à la dépense.",IF(SUM($M129:$R129)&lt;$D129-0.005,"Montant restant à répartir : "&amp;ROUND($D129-SUM($M129:$R129),2)&amp;".",IF(SUM($M129:$R129)&gt;$D129+0.005,"Montant réparti en trop : "&amp;ROUND(SUM($M129:$R129)-$D129,2)&amp;".","Vérifié")))),"Saisissez les montants convenus pour que leur somme corresponde à la dépense."))))))</f>
      </c>
    </row>
    <row r="130">
      <c r="A130" s="83"/>
      <c r="B130" s="57"/>
      <c r="C130" s="57"/>
      <c r="D130" s="85"/>
      <c r="E130" s="57"/>
      <c r="F130" s="57"/>
      <c r="G130" s="57"/>
      <c r="H130" s="57"/>
      <c r="I130" s="57"/>
      <c r="J130" s="57"/>
      <c r="K130" s="57"/>
      <c r="L130" s="57"/>
      <c r="M130" s="85"/>
      <c r="N130" s="85"/>
      <c r="O130" s="85"/>
      <c r="P130" s="85"/>
      <c r="Q130" s="85"/>
      <c r="R130" s="85"/>
      <c r="S130" s="57"/>
      <c r="T130" s="87" t="str">
        <f>IF(COUNTIF($A130:$S130,"&lt;&gt;")=0,"",IF($F130="À parts égales entre participants",IF(G130&lt;&gt;"Oui",0,IF(COUNTIF($H130:$L130,"Oui")=0,$D130-0,ROUND($D130/COUNTIF($G130:$L130,"Oui"),2))),IF($F130="Montants convenus",IF(G130="Oui",M130,0),"")))</f>
      </c>
      <c r="U130" s="87" t="str">
        <f>IF(COUNTIF($A130:$S130,"&lt;&gt;")=0,"",IF($F130="À parts égales entre participants",IF(H130&lt;&gt;"Oui",0,IF(COUNTIF($I130:$L130,"Oui")=0,$D130-SUM($T130:T130),ROUND($D130/COUNTIF($G130:$L130,"Oui"),2))),IF($F130="Montants convenus",IF(H130="Oui",N130,0),"")))</f>
      </c>
      <c r="V130" s="87" t="str">
        <f>IF(COUNTIF($A130:$S130,"&lt;&gt;")=0,"",IF($F130="À parts égales entre participants",IF(I130&lt;&gt;"Oui",0,IF(COUNTIF($J130:$L130,"Oui")=0,$D130-SUM($T130:U130),ROUND($D130/COUNTIF($G130:$L130,"Oui"),2))),IF($F130="Montants convenus",IF(I130="Oui",O130,0),"")))</f>
      </c>
      <c r="W130" s="87" t="str">
        <f>IF(COUNTIF($A130:$S130,"&lt;&gt;")=0,"",IF($F130="À parts égales entre participants",IF(J130&lt;&gt;"Oui",0,IF(COUNTIF($K130:$L130,"Oui")=0,$D130-SUM($T130:V130),ROUND($D130/COUNTIF($G130:$L130,"Oui"),2))),IF($F130="Montants convenus",IF(J130="Oui",P130,0),"")))</f>
      </c>
      <c r="X130" s="87" t="str">
        <f>IF(COUNTIF($A130:$S130,"&lt;&gt;")=0,"",IF($F130="À parts égales entre participants",IF(K130&lt;&gt;"Oui",0,IF(COUNTIF($L130:$L130,"Oui")=0,$D130-SUM($T130:W130),ROUND($D130/COUNTIF($G130:$L130,"Oui"),2))),IF($F130="Montants convenus",IF(K130="Oui",Q130,0),"")))</f>
      </c>
      <c r="Y130" s="87" t="str">
        <f>IF(COUNTIF($A130:$S130,"&lt;&gt;")=0,"",IF($F130="À parts égales entre participants",IF(L130&lt;&gt;"Oui",0,IF(0=0,$D130-SUM($T130:X130),ROUND($D130/COUNTIF($G130:$L130,"Oui"),2))),IF($F130="Montants convenus",IF(L130="Oui",R130,0),"")))</f>
      </c>
      <c r="Z130" s="81" t="str">
        <f>IF(COUNTIF($A130:$S130,"&lt;&gt;")=0,"",IF(OR($D130="",$D130&lt;=0),"Saisissez un montant supérieur à zéro.",IF($E130="","Sélectionnez la personne qui a payé.",IF(COUNTIF($G130:$L130,"Oui")=0,"Sélectionnez au moins une personne participante.",IF($F130="À parts égales entre participants","Vérifié",IF($F130="Montants convenus",IF(OR(AND(G130="Oui",M130=""),AND(H130="Oui",N130=""),AND(I130="Oui",O130=""),AND(J130="Oui",P130=""),AND(K130="Oui",Q130=""),AND(L130="Oui",R130="")),"Saisissez les montants convenus pour que leur somme corresponde à la dépense.",IF(ABS(SUM($M130:$R130))&lt;0.005,"Saisissez les montants convenus pour que leur somme corresponde à la dépense.",IF(SUM($M130:$R130)&lt;$D130-0.005,"Montant restant à répartir : "&amp;ROUND($D130-SUM($M130:$R130),2)&amp;".",IF(SUM($M130:$R130)&gt;$D130+0.005,"Montant réparti en trop : "&amp;ROUND(SUM($M130:$R130)-$D130,2)&amp;".","Vérifié")))),"Saisissez les montants convenus pour que leur somme corresponde à la dépense."))))))</f>
      </c>
    </row>
    <row r="131">
      <c r="A131" s="83"/>
      <c r="B131" s="57"/>
      <c r="C131" s="57"/>
      <c r="D131" s="85"/>
      <c r="E131" s="57"/>
      <c r="F131" s="57"/>
      <c r="G131" s="57"/>
      <c r="H131" s="57"/>
      <c r="I131" s="57"/>
      <c r="J131" s="57"/>
      <c r="K131" s="57"/>
      <c r="L131" s="57"/>
      <c r="M131" s="85"/>
      <c r="N131" s="85"/>
      <c r="O131" s="85"/>
      <c r="P131" s="85"/>
      <c r="Q131" s="85"/>
      <c r="R131" s="85"/>
      <c r="S131" s="57"/>
      <c r="T131" s="87" t="str">
        <f>IF(COUNTIF($A131:$S131,"&lt;&gt;")=0,"",IF($F131="À parts égales entre participants",IF(G131&lt;&gt;"Oui",0,IF(COUNTIF($H131:$L131,"Oui")=0,$D131-0,ROUND($D131/COUNTIF($G131:$L131,"Oui"),2))),IF($F131="Montants convenus",IF(G131="Oui",M131,0),"")))</f>
      </c>
      <c r="U131" s="87" t="str">
        <f>IF(COUNTIF($A131:$S131,"&lt;&gt;")=0,"",IF($F131="À parts égales entre participants",IF(H131&lt;&gt;"Oui",0,IF(COUNTIF($I131:$L131,"Oui")=0,$D131-SUM($T131:T131),ROUND($D131/COUNTIF($G131:$L131,"Oui"),2))),IF($F131="Montants convenus",IF(H131="Oui",N131,0),"")))</f>
      </c>
      <c r="V131" s="87" t="str">
        <f>IF(COUNTIF($A131:$S131,"&lt;&gt;")=0,"",IF($F131="À parts égales entre participants",IF(I131&lt;&gt;"Oui",0,IF(COUNTIF($J131:$L131,"Oui")=0,$D131-SUM($T131:U131),ROUND($D131/COUNTIF($G131:$L131,"Oui"),2))),IF($F131="Montants convenus",IF(I131="Oui",O131,0),"")))</f>
      </c>
      <c r="W131" s="87" t="str">
        <f>IF(COUNTIF($A131:$S131,"&lt;&gt;")=0,"",IF($F131="À parts égales entre participants",IF(J131&lt;&gt;"Oui",0,IF(COUNTIF($K131:$L131,"Oui")=0,$D131-SUM($T131:V131),ROUND($D131/COUNTIF($G131:$L131,"Oui"),2))),IF($F131="Montants convenus",IF(J131="Oui",P131,0),"")))</f>
      </c>
      <c r="X131" s="87" t="str">
        <f>IF(COUNTIF($A131:$S131,"&lt;&gt;")=0,"",IF($F131="À parts égales entre participants",IF(K131&lt;&gt;"Oui",0,IF(COUNTIF($L131:$L131,"Oui")=0,$D131-SUM($T131:W131),ROUND($D131/COUNTIF($G131:$L131,"Oui"),2))),IF($F131="Montants convenus",IF(K131="Oui",Q131,0),"")))</f>
      </c>
      <c r="Y131" s="87" t="str">
        <f>IF(COUNTIF($A131:$S131,"&lt;&gt;")=0,"",IF($F131="À parts égales entre participants",IF(L131&lt;&gt;"Oui",0,IF(0=0,$D131-SUM($T131:X131),ROUND($D131/COUNTIF($G131:$L131,"Oui"),2))),IF($F131="Montants convenus",IF(L131="Oui",R131,0),"")))</f>
      </c>
      <c r="Z131" s="81" t="str">
        <f>IF(COUNTIF($A131:$S131,"&lt;&gt;")=0,"",IF(OR($D131="",$D131&lt;=0),"Saisissez un montant supérieur à zéro.",IF($E131="","Sélectionnez la personne qui a payé.",IF(COUNTIF($G131:$L131,"Oui")=0,"Sélectionnez au moins une personne participante.",IF($F131="À parts égales entre participants","Vérifié",IF($F131="Montants convenus",IF(OR(AND(G131="Oui",M131=""),AND(H131="Oui",N131=""),AND(I131="Oui",O131=""),AND(J131="Oui",P131=""),AND(K131="Oui",Q131=""),AND(L131="Oui",R131="")),"Saisissez les montants convenus pour que leur somme corresponde à la dépense.",IF(ABS(SUM($M131:$R131))&lt;0.005,"Saisissez les montants convenus pour que leur somme corresponde à la dépense.",IF(SUM($M131:$R131)&lt;$D131-0.005,"Montant restant à répartir : "&amp;ROUND($D131-SUM($M131:$R131),2)&amp;".",IF(SUM($M131:$R131)&gt;$D131+0.005,"Montant réparti en trop : "&amp;ROUND(SUM($M131:$R131)-$D131,2)&amp;".","Vérifié")))),"Saisissez les montants convenus pour que leur somme corresponde à la dépense."))))))</f>
      </c>
    </row>
    <row r="132">
      <c r="A132" s="83"/>
      <c r="B132" s="57"/>
      <c r="C132" s="57"/>
      <c r="D132" s="85"/>
      <c r="E132" s="57"/>
      <c r="F132" s="57"/>
      <c r="G132" s="57"/>
      <c r="H132" s="57"/>
      <c r="I132" s="57"/>
      <c r="J132" s="57"/>
      <c r="K132" s="57"/>
      <c r="L132" s="57"/>
      <c r="M132" s="85"/>
      <c r="N132" s="85"/>
      <c r="O132" s="85"/>
      <c r="P132" s="85"/>
      <c r="Q132" s="85"/>
      <c r="R132" s="85"/>
      <c r="S132" s="57"/>
      <c r="T132" s="87" t="str">
        <f>IF(COUNTIF($A132:$S132,"&lt;&gt;")=0,"",IF($F132="À parts égales entre participants",IF(G132&lt;&gt;"Oui",0,IF(COUNTIF($H132:$L132,"Oui")=0,$D132-0,ROUND($D132/COUNTIF($G132:$L132,"Oui"),2))),IF($F132="Montants convenus",IF(G132="Oui",M132,0),"")))</f>
      </c>
      <c r="U132" s="87" t="str">
        <f>IF(COUNTIF($A132:$S132,"&lt;&gt;")=0,"",IF($F132="À parts égales entre participants",IF(H132&lt;&gt;"Oui",0,IF(COUNTIF($I132:$L132,"Oui")=0,$D132-SUM($T132:T132),ROUND($D132/COUNTIF($G132:$L132,"Oui"),2))),IF($F132="Montants convenus",IF(H132="Oui",N132,0),"")))</f>
      </c>
      <c r="V132" s="87" t="str">
        <f>IF(COUNTIF($A132:$S132,"&lt;&gt;")=0,"",IF($F132="À parts égales entre participants",IF(I132&lt;&gt;"Oui",0,IF(COUNTIF($J132:$L132,"Oui")=0,$D132-SUM($T132:U132),ROUND($D132/COUNTIF($G132:$L132,"Oui"),2))),IF($F132="Montants convenus",IF(I132="Oui",O132,0),"")))</f>
      </c>
      <c r="W132" s="87" t="str">
        <f>IF(COUNTIF($A132:$S132,"&lt;&gt;")=0,"",IF($F132="À parts égales entre participants",IF(J132&lt;&gt;"Oui",0,IF(COUNTIF($K132:$L132,"Oui")=0,$D132-SUM($T132:V132),ROUND($D132/COUNTIF($G132:$L132,"Oui"),2))),IF($F132="Montants convenus",IF(J132="Oui",P132,0),"")))</f>
      </c>
      <c r="X132" s="87" t="str">
        <f>IF(COUNTIF($A132:$S132,"&lt;&gt;")=0,"",IF($F132="À parts égales entre participants",IF(K132&lt;&gt;"Oui",0,IF(COUNTIF($L132:$L132,"Oui")=0,$D132-SUM($T132:W132),ROUND($D132/COUNTIF($G132:$L132,"Oui"),2))),IF($F132="Montants convenus",IF(K132="Oui",Q132,0),"")))</f>
      </c>
      <c r="Y132" s="87" t="str">
        <f>IF(COUNTIF($A132:$S132,"&lt;&gt;")=0,"",IF($F132="À parts égales entre participants",IF(L132&lt;&gt;"Oui",0,IF(0=0,$D132-SUM($T132:X132),ROUND($D132/COUNTIF($G132:$L132,"Oui"),2))),IF($F132="Montants convenus",IF(L132="Oui",R132,0),"")))</f>
      </c>
      <c r="Z132" s="81" t="str">
        <f>IF(COUNTIF($A132:$S132,"&lt;&gt;")=0,"",IF(OR($D132="",$D132&lt;=0),"Saisissez un montant supérieur à zéro.",IF($E132="","Sélectionnez la personne qui a payé.",IF(COUNTIF($G132:$L132,"Oui")=0,"Sélectionnez au moins une personne participante.",IF($F132="À parts égales entre participants","Vérifié",IF($F132="Montants convenus",IF(OR(AND(G132="Oui",M132=""),AND(H132="Oui",N132=""),AND(I132="Oui",O132=""),AND(J132="Oui",P132=""),AND(K132="Oui",Q132=""),AND(L132="Oui",R132="")),"Saisissez les montants convenus pour que leur somme corresponde à la dépense.",IF(ABS(SUM($M132:$R132))&lt;0.005,"Saisissez les montants convenus pour que leur somme corresponde à la dépense.",IF(SUM($M132:$R132)&lt;$D132-0.005,"Montant restant à répartir : "&amp;ROUND($D132-SUM($M132:$R132),2)&amp;".",IF(SUM($M132:$R132)&gt;$D132+0.005,"Montant réparti en trop : "&amp;ROUND(SUM($M132:$R132)-$D132,2)&amp;".","Vérifié")))),"Saisissez les montants convenus pour que leur somme corresponde à la dépense."))))))</f>
      </c>
    </row>
    <row r="133">
      <c r="A133" s="83"/>
      <c r="B133" s="57"/>
      <c r="C133" s="57"/>
      <c r="D133" s="85"/>
      <c r="E133" s="57"/>
      <c r="F133" s="57"/>
      <c r="G133" s="57"/>
      <c r="H133" s="57"/>
      <c r="I133" s="57"/>
      <c r="J133" s="57"/>
      <c r="K133" s="57"/>
      <c r="L133" s="57"/>
      <c r="M133" s="85"/>
      <c r="N133" s="85"/>
      <c r="O133" s="85"/>
      <c r="P133" s="85"/>
      <c r="Q133" s="85"/>
      <c r="R133" s="85"/>
      <c r="S133" s="57"/>
      <c r="T133" s="87" t="str">
        <f>IF(COUNTIF($A133:$S133,"&lt;&gt;")=0,"",IF($F133="À parts égales entre participants",IF(G133&lt;&gt;"Oui",0,IF(COUNTIF($H133:$L133,"Oui")=0,$D133-0,ROUND($D133/COUNTIF($G133:$L133,"Oui"),2))),IF($F133="Montants convenus",IF(G133="Oui",M133,0),"")))</f>
      </c>
      <c r="U133" s="87" t="str">
        <f>IF(COUNTIF($A133:$S133,"&lt;&gt;")=0,"",IF($F133="À parts égales entre participants",IF(H133&lt;&gt;"Oui",0,IF(COUNTIF($I133:$L133,"Oui")=0,$D133-SUM($T133:T133),ROUND($D133/COUNTIF($G133:$L133,"Oui"),2))),IF($F133="Montants convenus",IF(H133="Oui",N133,0),"")))</f>
      </c>
      <c r="V133" s="87" t="str">
        <f>IF(COUNTIF($A133:$S133,"&lt;&gt;")=0,"",IF($F133="À parts égales entre participants",IF(I133&lt;&gt;"Oui",0,IF(COUNTIF($J133:$L133,"Oui")=0,$D133-SUM($T133:U133),ROUND($D133/COUNTIF($G133:$L133,"Oui"),2))),IF($F133="Montants convenus",IF(I133="Oui",O133,0),"")))</f>
      </c>
      <c r="W133" s="87" t="str">
        <f>IF(COUNTIF($A133:$S133,"&lt;&gt;")=0,"",IF($F133="À parts égales entre participants",IF(J133&lt;&gt;"Oui",0,IF(COUNTIF($K133:$L133,"Oui")=0,$D133-SUM($T133:V133),ROUND($D133/COUNTIF($G133:$L133,"Oui"),2))),IF($F133="Montants convenus",IF(J133="Oui",P133,0),"")))</f>
      </c>
      <c r="X133" s="87" t="str">
        <f>IF(COUNTIF($A133:$S133,"&lt;&gt;")=0,"",IF($F133="À parts égales entre participants",IF(K133&lt;&gt;"Oui",0,IF(COUNTIF($L133:$L133,"Oui")=0,$D133-SUM($T133:W133),ROUND($D133/COUNTIF($G133:$L133,"Oui"),2))),IF($F133="Montants convenus",IF(K133="Oui",Q133,0),"")))</f>
      </c>
      <c r="Y133" s="87" t="str">
        <f>IF(COUNTIF($A133:$S133,"&lt;&gt;")=0,"",IF($F133="À parts égales entre participants",IF(L133&lt;&gt;"Oui",0,IF(0=0,$D133-SUM($T133:X133),ROUND($D133/COUNTIF($G133:$L133,"Oui"),2))),IF($F133="Montants convenus",IF(L133="Oui",R133,0),"")))</f>
      </c>
      <c r="Z133" s="81" t="str">
        <f>IF(COUNTIF($A133:$S133,"&lt;&gt;")=0,"",IF(OR($D133="",$D133&lt;=0),"Saisissez un montant supérieur à zéro.",IF($E133="","Sélectionnez la personne qui a payé.",IF(COUNTIF($G133:$L133,"Oui")=0,"Sélectionnez au moins une personne participante.",IF($F133="À parts égales entre participants","Vérifié",IF($F133="Montants convenus",IF(OR(AND(G133="Oui",M133=""),AND(H133="Oui",N133=""),AND(I133="Oui",O133=""),AND(J133="Oui",P133=""),AND(K133="Oui",Q133=""),AND(L133="Oui",R133="")),"Saisissez les montants convenus pour que leur somme corresponde à la dépense.",IF(ABS(SUM($M133:$R133))&lt;0.005,"Saisissez les montants convenus pour que leur somme corresponde à la dépense.",IF(SUM($M133:$R133)&lt;$D133-0.005,"Montant restant à répartir : "&amp;ROUND($D133-SUM($M133:$R133),2)&amp;".",IF(SUM($M133:$R133)&gt;$D133+0.005,"Montant réparti en trop : "&amp;ROUND(SUM($M133:$R133)-$D133,2)&amp;".","Vérifié")))),"Saisissez les montants convenus pour que leur somme corresponde à la dépense."))))))</f>
      </c>
    </row>
    <row r="134">
      <c r="A134" s="83"/>
      <c r="B134" s="57"/>
      <c r="C134" s="57"/>
      <c r="D134" s="85"/>
      <c r="E134" s="57"/>
      <c r="F134" s="57"/>
      <c r="G134" s="57"/>
      <c r="H134" s="57"/>
      <c r="I134" s="57"/>
      <c r="J134" s="57"/>
      <c r="K134" s="57"/>
      <c r="L134" s="57"/>
      <c r="M134" s="85"/>
      <c r="N134" s="85"/>
      <c r="O134" s="85"/>
      <c r="P134" s="85"/>
      <c r="Q134" s="85"/>
      <c r="R134" s="85"/>
      <c r="S134" s="57"/>
      <c r="T134" s="87" t="str">
        <f>IF(COUNTIF($A134:$S134,"&lt;&gt;")=0,"",IF($F134="À parts égales entre participants",IF(G134&lt;&gt;"Oui",0,IF(COUNTIF($H134:$L134,"Oui")=0,$D134-0,ROUND($D134/COUNTIF($G134:$L134,"Oui"),2))),IF($F134="Montants convenus",IF(G134="Oui",M134,0),"")))</f>
      </c>
      <c r="U134" s="87" t="str">
        <f>IF(COUNTIF($A134:$S134,"&lt;&gt;")=0,"",IF($F134="À parts égales entre participants",IF(H134&lt;&gt;"Oui",0,IF(COUNTIF($I134:$L134,"Oui")=0,$D134-SUM($T134:T134),ROUND($D134/COUNTIF($G134:$L134,"Oui"),2))),IF($F134="Montants convenus",IF(H134="Oui",N134,0),"")))</f>
      </c>
      <c r="V134" s="87" t="str">
        <f>IF(COUNTIF($A134:$S134,"&lt;&gt;")=0,"",IF($F134="À parts égales entre participants",IF(I134&lt;&gt;"Oui",0,IF(COUNTIF($J134:$L134,"Oui")=0,$D134-SUM($T134:U134),ROUND($D134/COUNTIF($G134:$L134,"Oui"),2))),IF($F134="Montants convenus",IF(I134="Oui",O134,0),"")))</f>
      </c>
      <c r="W134" s="87" t="str">
        <f>IF(COUNTIF($A134:$S134,"&lt;&gt;")=0,"",IF($F134="À parts égales entre participants",IF(J134&lt;&gt;"Oui",0,IF(COUNTIF($K134:$L134,"Oui")=0,$D134-SUM($T134:V134),ROUND($D134/COUNTIF($G134:$L134,"Oui"),2))),IF($F134="Montants convenus",IF(J134="Oui",P134,0),"")))</f>
      </c>
      <c r="X134" s="87" t="str">
        <f>IF(COUNTIF($A134:$S134,"&lt;&gt;")=0,"",IF($F134="À parts égales entre participants",IF(K134&lt;&gt;"Oui",0,IF(COUNTIF($L134:$L134,"Oui")=0,$D134-SUM($T134:W134),ROUND($D134/COUNTIF($G134:$L134,"Oui"),2))),IF($F134="Montants convenus",IF(K134="Oui",Q134,0),"")))</f>
      </c>
      <c r="Y134" s="87" t="str">
        <f>IF(COUNTIF($A134:$S134,"&lt;&gt;")=0,"",IF($F134="À parts égales entre participants",IF(L134&lt;&gt;"Oui",0,IF(0=0,$D134-SUM($T134:X134),ROUND($D134/COUNTIF($G134:$L134,"Oui"),2))),IF($F134="Montants convenus",IF(L134="Oui",R134,0),"")))</f>
      </c>
      <c r="Z134" s="81" t="str">
        <f>IF(COUNTIF($A134:$S134,"&lt;&gt;")=0,"",IF(OR($D134="",$D134&lt;=0),"Saisissez un montant supérieur à zéro.",IF($E134="","Sélectionnez la personne qui a payé.",IF(COUNTIF($G134:$L134,"Oui")=0,"Sélectionnez au moins une personne participante.",IF($F134="À parts égales entre participants","Vérifié",IF($F134="Montants convenus",IF(OR(AND(G134="Oui",M134=""),AND(H134="Oui",N134=""),AND(I134="Oui",O134=""),AND(J134="Oui",P134=""),AND(K134="Oui",Q134=""),AND(L134="Oui",R134="")),"Saisissez les montants convenus pour que leur somme corresponde à la dépense.",IF(ABS(SUM($M134:$R134))&lt;0.005,"Saisissez les montants convenus pour que leur somme corresponde à la dépense.",IF(SUM($M134:$R134)&lt;$D134-0.005,"Montant restant à répartir : "&amp;ROUND($D134-SUM($M134:$R134),2)&amp;".",IF(SUM($M134:$R134)&gt;$D134+0.005,"Montant réparti en trop : "&amp;ROUND(SUM($M134:$R134)-$D134,2)&amp;".","Vérifié")))),"Saisissez les montants convenus pour que leur somme corresponde à la dépense."))))))</f>
      </c>
    </row>
    <row r="135">
      <c r="A135" s="83"/>
      <c r="B135" s="57"/>
      <c r="C135" s="57"/>
      <c r="D135" s="85"/>
      <c r="E135" s="57"/>
      <c r="F135" s="57"/>
      <c r="G135" s="57"/>
      <c r="H135" s="57"/>
      <c r="I135" s="57"/>
      <c r="J135" s="57"/>
      <c r="K135" s="57"/>
      <c r="L135" s="57"/>
      <c r="M135" s="85"/>
      <c r="N135" s="85"/>
      <c r="O135" s="85"/>
      <c r="P135" s="85"/>
      <c r="Q135" s="85"/>
      <c r="R135" s="85"/>
      <c r="S135" s="57"/>
      <c r="T135" s="87" t="str">
        <f>IF(COUNTIF($A135:$S135,"&lt;&gt;")=0,"",IF($F135="À parts égales entre participants",IF(G135&lt;&gt;"Oui",0,IF(COUNTIF($H135:$L135,"Oui")=0,$D135-0,ROUND($D135/COUNTIF($G135:$L135,"Oui"),2))),IF($F135="Montants convenus",IF(G135="Oui",M135,0),"")))</f>
      </c>
      <c r="U135" s="87" t="str">
        <f>IF(COUNTIF($A135:$S135,"&lt;&gt;")=0,"",IF($F135="À parts égales entre participants",IF(H135&lt;&gt;"Oui",0,IF(COUNTIF($I135:$L135,"Oui")=0,$D135-SUM($T135:T135),ROUND($D135/COUNTIF($G135:$L135,"Oui"),2))),IF($F135="Montants convenus",IF(H135="Oui",N135,0),"")))</f>
      </c>
      <c r="V135" s="87" t="str">
        <f>IF(COUNTIF($A135:$S135,"&lt;&gt;")=0,"",IF($F135="À parts égales entre participants",IF(I135&lt;&gt;"Oui",0,IF(COUNTIF($J135:$L135,"Oui")=0,$D135-SUM($T135:U135),ROUND($D135/COUNTIF($G135:$L135,"Oui"),2))),IF($F135="Montants convenus",IF(I135="Oui",O135,0),"")))</f>
      </c>
      <c r="W135" s="87" t="str">
        <f>IF(COUNTIF($A135:$S135,"&lt;&gt;")=0,"",IF($F135="À parts égales entre participants",IF(J135&lt;&gt;"Oui",0,IF(COUNTIF($K135:$L135,"Oui")=0,$D135-SUM($T135:V135),ROUND($D135/COUNTIF($G135:$L135,"Oui"),2))),IF($F135="Montants convenus",IF(J135="Oui",P135,0),"")))</f>
      </c>
      <c r="X135" s="87" t="str">
        <f>IF(COUNTIF($A135:$S135,"&lt;&gt;")=0,"",IF($F135="À parts égales entre participants",IF(K135&lt;&gt;"Oui",0,IF(COUNTIF($L135:$L135,"Oui")=0,$D135-SUM($T135:W135),ROUND($D135/COUNTIF($G135:$L135,"Oui"),2))),IF($F135="Montants convenus",IF(K135="Oui",Q135,0),"")))</f>
      </c>
      <c r="Y135" s="87" t="str">
        <f>IF(COUNTIF($A135:$S135,"&lt;&gt;")=0,"",IF($F135="À parts égales entre participants",IF(L135&lt;&gt;"Oui",0,IF(0=0,$D135-SUM($T135:X135),ROUND($D135/COUNTIF($G135:$L135,"Oui"),2))),IF($F135="Montants convenus",IF(L135="Oui",R135,0),"")))</f>
      </c>
      <c r="Z135" s="81" t="str">
        <f>IF(COUNTIF($A135:$S135,"&lt;&gt;")=0,"",IF(OR($D135="",$D135&lt;=0),"Saisissez un montant supérieur à zéro.",IF($E135="","Sélectionnez la personne qui a payé.",IF(COUNTIF($G135:$L135,"Oui")=0,"Sélectionnez au moins une personne participante.",IF($F135="À parts égales entre participants","Vérifié",IF($F135="Montants convenus",IF(OR(AND(G135="Oui",M135=""),AND(H135="Oui",N135=""),AND(I135="Oui",O135=""),AND(J135="Oui",P135=""),AND(K135="Oui",Q135=""),AND(L135="Oui",R135="")),"Saisissez les montants convenus pour que leur somme corresponde à la dépense.",IF(ABS(SUM($M135:$R135))&lt;0.005,"Saisissez les montants convenus pour que leur somme corresponde à la dépense.",IF(SUM($M135:$R135)&lt;$D135-0.005,"Montant restant à répartir : "&amp;ROUND($D135-SUM($M135:$R135),2)&amp;".",IF(SUM($M135:$R135)&gt;$D135+0.005,"Montant réparti en trop : "&amp;ROUND(SUM($M135:$R135)-$D135,2)&amp;".","Vérifié")))),"Saisissez les montants convenus pour que leur somme corresponde à la dépense."))))))</f>
      </c>
    </row>
    <row r="136">
      <c r="A136" s="83"/>
      <c r="B136" s="57"/>
      <c r="C136" s="57"/>
      <c r="D136" s="85"/>
      <c r="E136" s="57"/>
      <c r="F136" s="57"/>
      <c r="G136" s="57"/>
      <c r="H136" s="57"/>
      <c r="I136" s="57"/>
      <c r="J136" s="57"/>
      <c r="K136" s="57"/>
      <c r="L136" s="57"/>
      <c r="M136" s="85"/>
      <c r="N136" s="85"/>
      <c r="O136" s="85"/>
      <c r="P136" s="85"/>
      <c r="Q136" s="85"/>
      <c r="R136" s="85"/>
      <c r="S136" s="57"/>
      <c r="T136" s="87" t="str">
        <f>IF(COUNTIF($A136:$S136,"&lt;&gt;")=0,"",IF($F136="À parts égales entre participants",IF(G136&lt;&gt;"Oui",0,IF(COUNTIF($H136:$L136,"Oui")=0,$D136-0,ROUND($D136/COUNTIF($G136:$L136,"Oui"),2))),IF($F136="Montants convenus",IF(G136="Oui",M136,0),"")))</f>
      </c>
      <c r="U136" s="87" t="str">
        <f>IF(COUNTIF($A136:$S136,"&lt;&gt;")=0,"",IF($F136="À parts égales entre participants",IF(H136&lt;&gt;"Oui",0,IF(COUNTIF($I136:$L136,"Oui")=0,$D136-SUM($T136:T136),ROUND($D136/COUNTIF($G136:$L136,"Oui"),2))),IF($F136="Montants convenus",IF(H136="Oui",N136,0),"")))</f>
      </c>
      <c r="V136" s="87" t="str">
        <f>IF(COUNTIF($A136:$S136,"&lt;&gt;")=0,"",IF($F136="À parts égales entre participants",IF(I136&lt;&gt;"Oui",0,IF(COUNTIF($J136:$L136,"Oui")=0,$D136-SUM($T136:U136),ROUND($D136/COUNTIF($G136:$L136,"Oui"),2))),IF($F136="Montants convenus",IF(I136="Oui",O136,0),"")))</f>
      </c>
      <c r="W136" s="87" t="str">
        <f>IF(COUNTIF($A136:$S136,"&lt;&gt;")=0,"",IF($F136="À parts égales entre participants",IF(J136&lt;&gt;"Oui",0,IF(COUNTIF($K136:$L136,"Oui")=0,$D136-SUM($T136:V136),ROUND($D136/COUNTIF($G136:$L136,"Oui"),2))),IF($F136="Montants convenus",IF(J136="Oui",P136,0),"")))</f>
      </c>
      <c r="X136" s="87" t="str">
        <f>IF(COUNTIF($A136:$S136,"&lt;&gt;")=0,"",IF($F136="À parts égales entre participants",IF(K136&lt;&gt;"Oui",0,IF(COUNTIF($L136:$L136,"Oui")=0,$D136-SUM($T136:W136),ROUND($D136/COUNTIF($G136:$L136,"Oui"),2))),IF($F136="Montants convenus",IF(K136="Oui",Q136,0),"")))</f>
      </c>
      <c r="Y136" s="87" t="str">
        <f>IF(COUNTIF($A136:$S136,"&lt;&gt;")=0,"",IF($F136="À parts égales entre participants",IF(L136&lt;&gt;"Oui",0,IF(0=0,$D136-SUM($T136:X136),ROUND($D136/COUNTIF($G136:$L136,"Oui"),2))),IF($F136="Montants convenus",IF(L136="Oui",R136,0),"")))</f>
      </c>
      <c r="Z136" s="81" t="str">
        <f>IF(COUNTIF($A136:$S136,"&lt;&gt;")=0,"",IF(OR($D136="",$D136&lt;=0),"Saisissez un montant supérieur à zéro.",IF($E136="","Sélectionnez la personne qui a payé.",IF(COUNTIF($G136:$L136,"Oui")=0,"Sélectionnez au moins une personne participante.",IF($F136="À parts égales entre participants","Vérifié",IF($F136="Montants convenus",IF(OR(AND(G136="Oui",M136=""),AND(H136="Oui",N136=""),AND(I136="Oui",O136=""),AND(J136="Oui",P136=""),AND(K136="Oui",Q136=""),AND(L136="Oui",R136="")),"Saisissez les montants convenus pour que leur somme corresponde à la dépense.",IF(ABS(SUM($M136:$R136))&lt;0.005,"Saisissez les montants convenus pour que leur somme corresponde à la dépense.",IF(SUM($M136:$R136)&lt;$D136-0.005,"Montant restant à répartir : "&amp;ROUND($D136-SUM($M136:$R136),2)&amp;".",IF(SUM($M136:$R136)&gt;$D136+0.005,"Montant réparti en trop : "&amp;ROUND(SUM($M136:$R136)-$D136,2)&amp;".","Vérifié")))),"Saisissez les montants convenus pour que leur somme corresponde à la dépense."))))))</f>
      </c>
    </row>
    <row r="137">
      <c r="A137" s="83"/>
      <c r="B137" s="57"/>
      <c r="C137" s="57"/>
      <c r="D137" s="85"/>
      <c r="E137" s="57"/>
      <c r="F137" s="57"/>
      <c r="G137" s="57"/>
      <c r="H137" s="57"/>
      <c r="I137" s="57"/>
      <c r="J137" s="57"/>
      <c r="K137" s="57"/>
      <c r="L137" s="57"/>
      <c r="M137" s="85"/>
      <c r="N137" s="85"/>
      <c r="O137" s="85"/>
      <c r="P137" s="85"/>
      <c r="Q137" s="85"/>
      <c r="R137" s="85"/>
      <c r="S137" s="57"/>
      <c r="T137" s="87" t="str">
        <f>IF(COUNTIF($A137:$S137,"&lt;&gt;")=0,"",IF($F137="À parts égales entre participants",IF(G137&lt;&gt;"Oui",0,IF(COUNTIF($H137:$L137,"Oui")=0,$D137-0,ROUND($D137/COUNTIF($G137:$L137,"Oui"),2))),IF($F137="Montants convenus",IF(G137="Oui",M137,0),"")))</f>
      </c>
      <c r="U137" s="87" t="str">
        <f>IF(COUNTIF($A137:$S137,"&lt;&gt;")=0,"",IF($F137="À parts égales entre participants",IF(H137&lt;&gt;"Oui",0,IF(COUNTIF($I137:$L137,"Oui")=0,$D137-SUM($T137:T137),ROUND($D137/COUNTIF($G137:$L137,"Oui"),2))),IF($F137="Montants convenus",IF(H137="Oui",N137,0),"")))</f>
      </c>
      <c r="V137" s="87" t="str">
        <f>IF(COUNTIF($A137:$S137,"&lt;&gt;")=0,"",IF($F137="À parts égales entre participants",IF(I137&lt;&gt;"Oui",0,IF(COUNTIF($J137:$L137,"Oui")=0,$D137-SUM($T137:U137),ROUND($D137/COUNTIF($G137:$L137,"Oui"),2))),IF($F137="Montants convenus",IF(I137="Oui",O137,0),"")))</f>
      </c>
      <c r="W137" s="87" t="str">
        <f>IF(COUNTIF($A137:$S137,"&lt;&gt;")=0,"",IF($F137="À parts égales entre participants",IF(J137&lt;&gt;"Oui",0,IF(COUNTIF($K137:$L137,"Oui")=0,$D137-SUM($T137:V137),ROUND($D137/COUNTIF($G137:$L137,"Oui"),2))),IF($F137="Montants convenus",IF(J137="Oui",P137,0),"")))</f>
      </c>
      <c r="X137" s="87" t="str">
        <f>IF(COUNTIF($A137:$S137,"&lt;&gt;")=0,"",IF($F137="À parts égales entre participants",IF(K137&lt;&gt;"Oui",0,IF(COUNTIF($L137:$L137,"Oui")=0,$D137-SUM($T137:W137),ROUND($D137/COUNTIF($G137:$L137,"Oui"),2))),IF($F137="Montants convenus",IF(K137="Oui",Q137,0),"")))</f>
      </c>
      <c r="Y137" s="87" t="str">
        <f>IF(COUNTIF($A137:$S137,"&lt;&gt;")=0,"",IF($F137="À parts égales entre participants",IF(L137&lt;&gt;"Oui",0,IF(0=0,$D137-SUM($T137:X137),ROUND($D137/COUNTIF($G137:$L137,"Oui"),2))),IF($F137="Montants convenus",IF(L137="Oui",R137,0),"")))</f>
      </c>
      <c r="Z137" s="81" t="str">
        <f>IF(COUNTIF($A137:$S137,"&lt;&gt;")=0,"",IF(OR($D137="",$D137&lt;=0),"Saisissez un montant supérieur à zéro.",IF($E137="","Sélectionnez la personne qui a payé.",IF(COUNTIF($G137:$L137,"Oui")=0,"Sélectionnez au moins une personne participante.",IF($F137="À parts égales entre participants","Vérifié",IF($F137="Montants convenus",IF(OR(AND(G137="Oui",M137=""),AND(H137="Oui",N137=""),AND(I137="Oui",O137=""),AND(J137="Oui",P137=""),AND(K137="Oui",Q137=""),AND(L137="Oui",R137="")),"Saisissez les montants convenus pour que leur somme corresponde à la dépense.",IF(ABS(SUM($M137:$R137))&lt;0.005,"Saisissez les montants convenus pour que leur somme corresponde à la dépense.",IF(SUM($M137:$R137)&lt;$D137-0.005,"Montant restant à répartir : "&amp;ROUND($D137-SUM($M137:$R137),2)&amp;".",IF(SUM($M137:$R137)&gt;$D137+0.005,"Montant réparti en trop : "&amp;ROUND(SUM($M137:$R137)-$D137,2)&amp;".","Vérifié")))),"Saisissez les montants convenus pour que leur somme corresponde à la dépense."))))))</f>
      </c>
    </row>
    <row r="138">
      <c r="A138" s="83"/>
      <c r="B138" s="57"/>
      <c r="C138" s="57"/>
      <c r="D138" s="85"/>
      <c r="E138" s="57"/>
      <c r="F138" s="57"/>
      <c r="G138" s="57"/>
      <c r="H138" s="57"/>
      <c r="I138" s="57"/>
      <c r="J138" s="57"/>
      <c r="K138" s="57"/>
      <c r="L138" s="57"/>
      <c r="M138" s="85"/>
      <c r="N138" s="85"/>
      <c r="O138" s="85"/>
      <c r="P138" s="85"/>
      <c r="Q138" s="85"/>
      <c r="R138" s="85"/>
      <c r="S138" s="57"/>
      <c r="T138" s="87" t="str">
        <f>IF(COUNTIF($A138:$S138,"&lt;&gt;")=0,"",IF($F138="À parts égales entre participants",IF(G138&lt;&gt;"Oui",0,IF(COUNTIF($H138:$L138,"Oui")=0,$D138-0,ROUND($D138/COUNTIF($G138:$L138,"Oui"),2))),IF($F138="Montants convenus",IF(G138="Oui",M138,0),"")))</f>
      </c>
      <c r="U138" s="87" t="str">
        <f>IF(COUNTIF($A138:$S138,"&lt;&gt;")=0,"",IF($F138="À parts égales entre participants",IF(H138&lt;&gt;"Oui",0,IF(COUNTIF($I138:$L138,"Oui")=0,$D138-SUM($T138:T138),ROUND($D138/COUNTIF($G138:$L138,"Oui"),2))),IF($F138="Montants convenus",IF(H138="Oui",N138,0),"")))</f>
      </c>
      <c r="V138" s="87" t="str">
        <f>IF(COUNTIF($A138:$S138,"&lt;&gt;")=0,"",IF($F138="À parts égales entre participants",IF(I138&lt;&gt;"Oui",0,IF(COUNTIF($J138:$L138,"Oui")=0,$D138-SUM($T138:U138),ROUND($D138/COUNTIF($G138:$L138,"Oui"),2))),IF($F138="Montants convenus",IF(I138="Oui",O138,0),"")))</f>
      </c>
      <c r="W138" s="87" t="str">
        <f>IF(COUNTIF($A138:$S138,"&lt;&gt;")=0,"",IF($F138="À parts égales entre participants",IF(J138&lt;&gt;"Oui",0,IF(COUNTIF($K138:$L138,"Oui")=0,$D138-SUM($T138:V138),ROUND($D138/COUNTIF($G138:$L138,"Oui"),2))),IF($F138="Montants convenus",IF(J138="Oui",P138,0),"")))</f>
      </c>
      <c r="X138" s="87" t="str">
        <f>IF(COUNTIF($A138:$S138,"&lt;&gt;")=0,"",IF($F138="À parts égales entre participants",IF(K138&lt;&gt;"Oui",0,IF(COUNTIF($L138:$L138,"Oui")=0,$D138-SUM($T138:W138),ROUND($D138/COUNTIF($G138:$L138,"Oui"),2))),IF($F138="Montants convenus",IF(K138="Oui",Q138,0),"")))</f>
      </c>
      <c r="Y138" s="87" t="str">
        <f>IF(COUNTIF($A138:$S138,"&lt;&gt;")=0,"",IF($F138="À parts égales entre participants",IF(L138&lt;&gt;"Oui",0,IF(0=0,$D138-SUM($T138:X138),ROUND($D138/COUNTIF($G138:$L138,"Oui"),2))),IF($F138="Montants convenus",IF(L138="Oui",R138,0),"")))</f>
      </c>
      <c r="Z138" s="81" t="str">
        <f>IF(COUNTIF($A138:$S138,"&lt;&gt;")=0,"",IF(OR($D138="",$D138&lt;=0),"Saisissez un montant supérieur à zéro.",IF($E138="","Sélectionnez la personne qui a payé.",IF(COUNTIF($G138:$L138,"Oui")=0,"Sélectionnez au moins une personne participante.",IF($F138="À parts égales entre participants","Vérifié",IF($F138="Montants convenus",IF(OR(AND(G138="Oui",M138=""),AND(H138="Oui",N138=""),AND(I138="Oui",O138=""),AND(J138="Oui",P138=""),AND(K138="Oui",Q138=""),AND(L138="Oui",R138="")),"Saisissez les montants convenus pour que leur somme corresponde à la dépense.",IF(ABS(SUM($M138:$R138))&lt;0.005,"Saisissez les montants convenus pour que leur somme corresponde à la dépense.",IF(SUM($M138:$R138)&lt;$D138-0.005,"Montant restant à répartir : "&amp;ROUND($D138-SUM($M138:$R138),2)&amp;".",IF(SUM($M138:$R138)&gt;$D138+0.005,"Montant réparti en trop : "&amp;ROUND(SUM($M138:$R138)-$D138,2)&amp;".","Vérifié")))),"Saisissez les montants convenus pour que leur somme corresponde à la dépense."))))))</f>
      </c>
    </row>
    <row r="139">
      <c r="A139" s="83"/>
      <c r="B139" s="57"/>
      <c r="C139" s="57"/>
      <c r="D139" s="85"/>
      <c r="E139" s="57"/>
      <c r="F139" s="57"/>
      <c r="G139" s="57"/>
      <c r="H139" s="57"/>
      <c r="I139" s="57"/>
      <c r="J139" s="57"/>
      <c r="K139" s="57"/>
      <c r="L139" s="57"/>
      <c r="M139" s="85"/>
      <c r="N139" s="85"/>
      <c r="O139" s="85"/>
      <c r="P139" s="85"/>
      <c r="Q139" s="85"/>
      <c r="R139" s="85"/>
      <c r="S139" s="57"/>
      <c r="T139" s="87" t="str">
        <f>IF(COUNTIF($A139:$S139,"&lt;&gt;")=0,"",IF($F139="À parts égales entre participants",IF(G139&lt;&gt;"Oui",0,IF(COUNTIF($H139:$L139,"Oui")=0,$D139-0,ROUND($D139/COUNTIF($G139:$L139,"Oui"),2))),IF($F139="Montants convenus",IF(G139="Oui",M139,0),"")))</f>
      </c>
      <c r="U139" s="87" t="str">
        <f>IF(COUNTIF($A139:$S139,"&lt;&gt;")=0,"",IF($F139="À parts égales entre participants",IF(H139&lt;&gt;"Oui",0,IF(COUNTIF($I139:$L139,"Oui")=0,$D139-SUM($T139:T139),ROUND($D139/COUNTIF($G139:$L139,"Oui"),2))),IF($F139="Montants convenus",IF(H139="Oui",N139,0),"")))</f>
      </c>
      <c r="V139" s="87" t="str">
        <f>IF(COUNTIF($A139:$S139,"&lt;&gt;")=0,"",IF($F139="À parts égales entre participants",IF(I139&lt;&gt;"Oui",0,IF(COUNTIF($J139:$L139,"Oui")=0,$D139-SUM($T139:U139),ROUND($D139/COUNTIF($G139:$L139,"Oui"),2))),IF($F139="Montants convenus",IF(I139="Oui",O139,0),"")))</f>
      </c>
      <c r="W139" s="87" t="str">
        <f>IF(COUNTIF($A139:$S139,"&lt;&gt;")=0,"",IF($F139="À parts égales entre participants",IF(J139&lt;&gt;"Oui",0,IF(COUNTIF($K139:$L139,"Oui")=0,$D139-SUM($T139:V139),ROUND($D139/COUNTIF($G139:$L139,"Oui"),2))),IF($F139="Montants convenus",IF(J139="Oui",P139,0),"")))</f>
      </c>
      <c r="X139" s="87" t="str">
        <f>IF(COUNTIF($A139:$S139,"&lt;&gt;")=0,"",IF($F139="À parts égales entre participants",IF(K139&lt;&gt;"Oui",0,IF(COUNTIF($L139:$L139,"Oui")=0,$D139-SUM($T139:W139),ROUND($D139/COUNTIF($G139:$L139,"Oui"),2))),IF($F139="Montants convenus",IF(K139="Oui",Q139,0),"")))</f>
      </c>
      <c r="Y139" s="87" t="str">
        <f>IF(COUNTIF($A139:$S139,"&lt;&gt;")=0,"",IF($F139="À parts égales entre participants",IF(L139&lt;&gt;"Oui",0,IF(0=0,$D139-SUM($T139:X139),ROUND($D139/COUNTIF($G139:$L139,"Oui"),2))),IF($F139="Montants convenus",IF(L139="Oui",R139,0),"")))</f>
      </c>
      <c r="Z139" s="81" t="str">
        <f>IF(COUNTIF($A139:$S139,"&lt;&gt;")=0,"",IF(OR($D139="",$D139&lt;=0),"Saisissez un montant supérieur à zéro.",IF($E139="","Sélectionnez la personne qui a payé.",IF(COUNTIF($G139:$L139,"Oui")=0,"Sélectionnez au moins une personne participante.",IF($F139="À parts égales entre participants","Vérifié",IF($F139="Montants convenus",IF(OR(AND(G139="Oui",M139=""),AND(H139="Oui",N139=""),AND(I139="Oui",O139=""),AND(J139="Oui",P139=""),AND(K139="Oui",Q139=""),AND(L139="Oui",R139="")),"Saisissez les montants convenus pour que leur somme corresponde à la dépense.",IF(ABS(SUM($M139:$R139))&lt;0.005,"Saisissez les montants convenus pour que leur somme corresponde à la dépense.",IF(SUM($M139:$R139)&lt;$D139-0.005,"Montant restant à répartir : "&amp;ROUND($D139-SUM($M139:$R139),2)&amp;".",IF(SUM($M139:$R139)&gt;$D139+0.005,"Montant réparti en trop : "&amp;ROUND(SUM($M139:$R139)-$D139,2)&amp;".","Vérifié")))),"Saisissez les montants convenus pour que leur somme corresponde à la dépense."))))))</f>
      </c>
    </row>
    <row r="140">
      <c r="A140" s="83"/>
      <c r="B140" s="57"/>
      <c r="C140" s="57"/>
      <c r="D140" s="85"/>
      <c r="E140" s="57"/>
      <c r="F140" s="57"/>
      <c r="G140" s="57"/>
      <c r="H140" s="57"/>
      <c r="I140" s="57"/>
      <c r="J140" s="57"/>
      <c r="K140" s="57"/>
      <c r="L140" s="57"/>
      <c r="M140" s="85"/>
      <c r="N140" s="85"/>
      <c r="O140" s="85"/>
      <c r="P140" s="85"/>
      <c r="Q140" s="85"/>
      <c r="R140" s="85"/>
      <c r="S140" s="57"/>
      <c r="T140" s="87" t="str">
        <f>IF(COUNTIF($A140:$S140,"&lt;&gt;")=0,"",IF($F140="À parts égales entre participants",IF(G140&lt;&gt;"Oui",0,IF(COUNTIF($H140:$L140,"Oui")=0,$D140-0,ROUND($D140/COUNTIF($G140:$L140,"Oui"),2))),IF($F140="Montants convenus",IF(G140="Oui",M140,0),"")))</f>
      </c>
      <c r="U140" s="87" t="str">
        <f>IF(COUNTIF($A140:$S140,"&lt;&gt;")=0,"",IF($F140="À parts égales entre participants",IF(H140&lt;&gt;"Oui",0,IF(COUNTIF($I140:$L140,"Oui")=0,$D140-SUM($T140:T140),ROUND($D140/COUNTIF($G140:$L140,"Oui"),2))),IF($F140="Montants convenus",IF(H140="Oui",N140,0),"")))</f>
      </c>
      <c r="V140" s="87" t="str">
        <f>IF(COUNTIF($A140:$S140,"&lt;&gt;")=0,"",IF($F140="À parts égales entre participants",IF(I140&lt;&gt;"Oui",0,IF(COUNTIF($J140:$L140,"Oui")=0,$D140-SUM($T140:U140),ROUND($D140/COUNTIF($G140:$L140,"Oui"),2))),IF($F140="Montants convenus",IF(I140="Oui",O140,0),"")))</f>
      </c>
      <c r="W140" s="87" t="str">
        <f>IF(COUNTIF($A140:$S140,"&lt;&gt;")=0,"",IF($F140="À parts égales entre participants",IF(J140&lt;&gt;"Oui",0,IF(COUNTIF($K140:$L140,"Oui")=0,$D140-SUM($T140:V140),ROUND($D140/COUNTIF($G140:$L140,"Oui"),2))),IF($F140="Montants convenus",IF(J140="Oui",P140,0),"")))</f>
      </c>
      <c r="X140" s="87" t="str">
        <f>IF(COUNTIF($A140:$S140,"&lt;&gt;")=0,"",IF($F140="À parts égales entre participants",IF(K140&lt;&gt;"Oui",0,IF(COUNTIF($L140:$L140,"Oui")=0,$D140-SUM($T140:W140),ROUND($D140/COUNTIF($G140:$L140,"Oui"),2))),IF($F140="Montants convenus",IF(K140="Oui",Q140,0),"")))</f>
      </c>
      <c r="Y140" s="87" t="str">
        <f>IF(COUNTIF($A140:$S140,"&lt;&gt;")=0,"",IF($F140="À parts égales entre participants",IF(L140&lt;&gt;"Oui",0,IF(0=0,$D140-SUM($T140:X140),ROUND($D140/COUNTIF($G140:$L140,"Oui"),2))),IF($F140="Montants convenus",IF(L140="Oui",R140,0),"")))</f>
      </c>
      <c r="Z140" s="81" t="str">
        <f>IF(COUNTIF($A140:$S140,"&lt;&gt;")=0,"",IF(OR($D140="",$D140&lt;=0),"Saisissez un montant supérieur à zéro.",IF($E140="","Sélectionnez la personne qui a payé.",IF(COUNTIF($G140:$L140,"Oui")=0,"Sélectionnez au moins une personne participante.",IF($F140="À parts égales entre participants","Vérifié",IF($F140="Montants convenus",IF(OR(AND(G140="Oui",M140=""),AND(H140="Oui",N140=""),AND(I140="Oui",O140=""),AND(J140="Oui",P140=""),AND(K140="Oui",Q140=""),AND(L140="Oui",R140="")),"Saisissez les montants convenus pour que leur somme corresponde à la dépense.",IF(ABS(SUM($M140:$R140))&lt;0.005,"Saisissez les montants convenus pour que leur somme corresponde à la dépense.",IF(SUM($M140:$R140)&lt;$D140-0.005,"Montant restant à répartir : "&amp;ROUND($D140-SUM($M140:$R140),2)&amp;".",IF(SUM($M140:$R140)&gt;$D140+0.005,"Montant réparti en trop : "&amp;ROUND(SUM($M140:$R140)-$D140,2)&amp;".","Vérifié")))),"Saisissez les montants convenus pour que leur somme corresponde à la dépense."))))))</f>
      </c>
    </row>
    <row r="141">
      <c r="A141" s="83"/>
      <c r="B141" s="57"/>
      <c r="C141" s="57"/>
      <c r="D141" s="85"/>
      <c r="E141" s="57"/>
      <c r="F141" s="57"/>
      <c r="G141" s="57"/>
      <c r="H141" s="57"/>
      <c r="I141" s="57"/>
      <c r="J141" s="57"/>
      <c r="K141" s="57"/>
      <c r="L141" s="57"/>
      <c r="M141" s="85"/>
      <c r="N141" s="85"/>
      <c r="O141" s="85"/>
      <c r="P141" s="85"/>
      <c r="Q141" s="85"/>
      <c r="R141" s="85"/>
      <c r="S141" s="57"/>
      <c r="T141" s="87" t="str">
        <f>IF(COUNTIF($A141:$S141,"&lt;&gt;")=0,"",IF($F141="À parts égales entre participants",IF(G141&lt;&gt;"Oui",0,IF(COUNTIF($H141:$L141,"Oui")=0,$D141-0,ROUND($D141/COUNTIF($G141:$L141,"Oui"),2))),IF($F141="Montants convenus",IF(G141="Oui",M141,0),"")))</f>
      </c>
      <c r="U141" s="87" t="str">
        <f>IF(COUNTIF($A141:$S141,"&lt;&gt;")=0,"",IF($F141="À parts égales entre participants",IF(H141&lt;&gt;"Oui",0,IF(COUNTIF($I141:$L141,"Oui")=0,$D141-SUM($T141:T141),ROUND($D141/COUNTIF($G141:$L141,"Oui"),2))),IF($F141="Montants convenus",IF(H141="Oui",N141,0),"")))</f>
      </c>
      <c r="V141" s="87" t="str">
        <f>IF(COUNTIF($A141:$S141,"&lt;&gt;")=0,"",IF($F141="À parts égales entre participants",IF(I141&lt;&gt;"Oui",0,IF(COUNTIF($J141:$L141,"Oui")=0,$D141-SUM($T141:U141),ROUND($D141/COUNTIF($G141:$L141,"Oui"),2))),IF($F141="Montants convenus",IF(I141="Oui",O141,0),"")))</f>
      </c>
      <c r="W141" s="87" t="str">
        <f>IF(COUNTIF($A141:$S141,"&lt;&gt;")=0,"",IF($F141="À parts égales entre participants",IF(J141&lt;&gt;"Oui",0,IF(COUNTIF($K141:$L141,"Oui")=0,$D141-SUM($T141:V141),ROUND($D141/COUNTIF($G141:$L141,"Oui"),2))),IF($F141="Montants convenus",IF(J141="Oui",P141,0),"")))</f>
      </c>
      <c r="X141" s="87" t="str">
        <f>IF(COUNTIF($A141:$S141,"&lt;&gt;")=0,"",IF($F141="À parts égales entre participants",IF(K141&lt;&gt;"Oui",0,IF(COUNTIF($L141:$L141,"Oui")=0,$D141-SUM($T141:W141),ROUND($D141/COUNTIF($G141:$L141,"Oui"),2))),IF($F141="Montants convenus",IF(K141="Oui",Q141,0),"")))</f>
      </c>
      <c r="Y141" s="87" t="str">
        <f>IF(COUNTIF($A141:$S141,"&lt;&gt;")=0,"",IF($F141="À parts égales entre participants",IF(L141&lt;&gt;"Oui",0,IF(0=0,$D141-SUM($T141:X141),ROUND($D141/COUNTIF($G141:$L141,"Oui"),2))),IF($F141="Montants convenus",IF(L141="Oui",R141,0),"")))</f>
      </c>
      <c r="Z141" s="81" t="str">
        <f>IF(COUNTIF($A141:$S141,"&lt;&gt;")=0,"",IF(OR($D141="",$D141&lt;=0),"Saisissez un montant supérieur à zéro.",IF($E141="","Sélectionnez la personne qui a payé.",IF(COUNTIF($G141:$L141,"Oui")=0,"Sélectionnez au moins une personne participante.",IF($F141="À parts égales entre participants","Vérifié",IF($F141="Montants convenus",IF(OR(AND(G141="Oui",M141=""),AND(H141="Oui",N141=""),AND(I141="Oui",O141=""),AND(J141="Oui",P141=""),AND(K141="Oui",Q141=""),AND(L141="Oui",R141="")),"Saisissez les montants convenus pour que leur somme corresponde à la dépense.",IF(ABS(SUM($M141:$R141))&lt;0.005,"Saisissez les montants convenus pour que leur somme corresponde à la dépense.",IF(SUM($M141:$R141)&lt;$D141-0.005,"Montant restant à répartir : "&amp;ROUND($D141-SUM($M141:$R141),2)&amp;".",IF(SUM($M141:$R141)&gt;$D141+0.005,"Montant réparti en trop : "&amp;ROUND(SUM($M141:$R141)-$D141,2)&amp;".","Vérifié")))),"Saisissez les montants convenus pour que leur somme corresponde à la dépense."))))))</f>
      </c>
    </row>
    <row r="142">
      <c r="A142" s="83"/>
      <c r="B142" s="57"/>
      <c r="C142" s="57"/>
      <c r="D142" s="85"/>
      <c r="E142" s="57"/>
      <c r="F142" s="57"/>
      <c r="G142" s="57"/>
      <c r="H142" s="57"/>
      <c r="I142" s="57"/>
      <c r="J142" s="57"/>
      <c r="K142" s="57"/>
      <c r="L142" s="57"/>
      <c r="M142" s="85"/>
      <c r="N142" s="85"/>
      <c r="O142" s="85"/>
      <c r="P142" s="85"/>
      <c r="Q142" s="85"/>
      <c r="R142" s="85"/>
      <c r="S142" s="57"/>
      <c r="T142" s="87" t="str">
        <f>IF(COUNTIF($A142:$S142,"&lt;&gt;")=0,"",IF($F142="À parts égales entre participants",IF(G142&lt;&gt;"Oui",0,IF(COUNTIF($H142:$L142,"Oui")=0,$D142-0,ROUND($D142/COUNTIF($G142:$L142,"Oui"),2))),IF($F142="Montants convenus",IF(G142="Oui",M142,0),"")))</f>
      </c>
      <c r="U142" s="87" t="str">
        <f>IF(COUNTIF($A142:$S142,"&lt;&gt;")=0,"",IF($F142="À parts égales entre participants",IF(H142&lt;&gt;"Oui",0,IF(COUNTIF($I142:$L142,"Oui")=0,$D142-SUM($T142:T142),ROUND($D142/COUNTIF($G142:$L142,"Oui"),2))),IF($F142="Montants convenus",IF(H142="Oui",N142,0),"")))</f>
      </c>
      <c r="V142" s="87" t="str">
        <f>IF(COUNTIF($A142:$S142,"&lt;&gt;")=0,"",IF($F142="À parts égales entre participants",IF(I142&lt;&gt;"Oui",0,IF(COUNTIF($J142:$L142,"Oui")=0,$D142-SUM($T142:U142),ROUND($D142/COUNTIF($G142:$L142,"Oui"),2))),IF($F142="Montants convenus",IF(I142="Oui",O142,0),"")))</f>
      </c>
      <c r="W142" s="87" t="str">
        <f>IF(COUNTIF($A142:$S142,"&lt;&gt;")=0,"",IF($F142="À parts égales entre participants",IF(J142&lt;&gt;"Oui",0,IF(COUNTIF($K142:$L142,"Oui")=0,$D142-SUM($T142:V142),ROUND($D142/COUNTIF($G142:$L142,"Oui"),2))),IF($F142="Montants convenus",IF(J142="Oui",P142,0),"")))</f>
      </c>
      <c r="X142" s="87" t="str">
        <f>IF(COUNTIF($A142:$S142,"&lt;&gt;")=0,"",IF($F142="À parts égales entre participants",IF(K142&lt;&gt;"Oui",0,IF(COUNTIF($L142:$L142,"Oui")=0,$D142-SUM($T142:W142),ROUND($D142/COUNTIF($G142:$L142,"Oui"),2))),IF($F142="Montants convenus",IF(K142="Oui",Q142,0),"")))</f>
      </c>
      <c r="Y142" s="87" t="str">
        <f>IF(COUNTIF($A142:$S142,"&lt;&gt;")=0,"",IF($F142="À parts égales entre participants",IF(L142&lt;&gt;"Oui",0,IF(0=0,$D142-SUM($T142:X142),ROUND($D142/COUNTIF($G142:$L142,"Oui"),2))),IF($F142="Montants convenus",IF(L142="Oui",R142,0),"")))</f>
      </c>
      <c r="Z142" s="81" t="str">
        <f>IF(COUNTIF($A142:$S142,"&lt;&gt;")=0,"",IF(OR($D142="",$D142&lt;=0),"Saisissez un montant supérieur à zéro.",IF($E142="","Sélectionnez la personne qui a payé.",IF(COUNTIF($G142:$L142,"Oui")=0,"Sélectionnez au moins une personne participante.",IF($F142="À parts égales entre participants","Vérifié",IF($F142="Montants convenus",IF(OR(AND(G142="Oui",M142=""),AND(H142="Oui",N142=""),AND(I142="Oui",O142=""),AND(J142="Oui",P142=""),AND(K142="Oui",Q142=""),AND(L142="Oui",R142="")),"Saisissez les montants convenus pour que leur somme corresponde à la dépense.",IF(ABS(SUM($M142:$R142))&lt;0.005,"Saisissez les montants convenus pour que leur somme corresponde à la dépense.",IF(SUM($M142:$R142)&lt;$D142-0.005,"Montant restant à répartir : "&amp;ROUND($D142-SUM($M142:$R142),2)&amp;".",IF(SUM($M142:$R142)&gt;$D142+0.005,"Montant réparti en trop : "&amp;ROUND(SUM($M142:$R142)-$D142,2)&amp;".","Vérifié")))),"Saisissez les montants convenus pour que leur somme corresponde à la dépense."))))))</f>
      </c>
    </row>
    <row r="143">
      <c r="A143" s="83"/>
      <c r="B143" s="57"/>
      <c r="C143" s="57"/>
      <c r="D143" s="85"/>
      <c r="E143" s="57"/>
      <c r="F143" s="57"/>
      <c r="G143" s="57"/>
      <c r="H143" s="57"/>
      <c r="I143" s="57"/>
      <c r="J143" s="57"/>
      <c r="K143" s="57"/>
      <c r="L143" s="57"/>
      <c r="M143" s="85"/>
      <c r="N143" s="85"/>
      <c r="O143" s="85"/>
      <c r="P143" s="85"/>
      <c r="Q143" s="85"/>
      <c r="R143" s="85"/>
      <c r="S143" s="57"/>
      <c r="T143" s="87" t="str">
        <f>IF(COUNTIF($A143:$S143,"&lt;&gt;")=0,"",IF($F143="À parts égales entre participants",IF(G143&lt;&gt;"Oui",0,IF(COUNTIF($H143:$L143,"Oui")=0,$D143-0,ROUND($D143/COUNTIF($G143:$L143,"Oui"),2))),IF($F143="Montants convenus",IF(G143="Oui",M143,0),"")))</f>
      </c>
      <c r="U143" s="87" t="str">
        <f>IF(COUNTIF($A143:$S143,"&lt;&gt;")=0,"",IF($F143="À parts égales entre participants",IF(H143&lt;&gt;"Oui",0,IF(COUNTIF($I143:$L143,"Oui")=0,$D143-SUM($T143:T143),ROUND($D143/COUNTIF($G143:$L143,"Oui"),2))),IF($F143="Montants convenus",IF(H143="Oui",N143,0),"")))</f>
      </c>
      <c r="V143" s="87" t="str">
        <f>IF(COUNTIF($A143:$S143,"&lt;&gt;")=0,"",IF($F143="À parts égales entre participants",IF(I143&lt;&gt;"Oui",0,IF(COUNTIF($J143:$L143,"Oui")=0,$D143-SUM($T143:U143),ROUND($D143/COUNTIF($G143:$L143,"Oui"),2))),IF($F143="Montants convenus",IF(I143="Oui",O143,0),"")))</f>
      </c>
      <c r="W143" s="87" t="str">
        <f>IF(COUNTIF($A143:$S143,"&lt;&gt;")=0,"",IF($F143="À parts égales entre participants",IF(J143&lt;&gt;"Oui",0,IF(COUNTIF($K143:$L143,"Oui")=0,$D143-SUM($T143:V143),ROUND($D143/COUNTIF($G143:$L143,"Oui"),2))),IF($F143="Montants convenus",IF(J143="Oui",P143,0),"")))</f>
      </c>
      <c r="X143" s="87" t="str">
        <f>IF(COUNTIF($A143:$S143,"&lt;&gt;")=0,"",IF($F143="À parts égales entre participants",IF(K143&lt;&gt;"Oui",0,IF(COUNTIF($L143:$L143,"Oui")=0,$D143-SUM($T143:W143),ROUND($D143/COUNTIF($G143:$L143,"Oui"),2))),IF($F143="Montants convenus",IF(K143="Oui",Q143,0),"")))</f>
      </c>
      <c r="Y143" s="87" t="str">
        <f>IF(COUNTIF($A143:$S143,"&lt;&gt;")=0,"",IF($F143="À parts égales entre participants",IF(L143&lt;&gt;"Oui",0,IF(0=0,$D143-SUM($T143:X143),ROUND($D143/COUNTIF($G143:$L143,"Oui"),2))),IF($F143="Montants convenus",IF(L143="Oui",R143,0),"")))</f>
      </c>
      <c r="Z143" s="81" t="str">
        <f>IF(COUNTIF($A143:$S143,"&lt;&gt;")=0,"",IF(OR($D143="",$D143&lt;=0),"Saisissez un montant supérieur à zéro.",IF($E143="","Sélectionnez la personne qui a payé.",IF(COUNTIF($G143:$L143,"Oui")=0,"Sélectionnez au moins une personne participante.",IF($F143="À parts égales entre participants","Vérifié",IF($F143="Montants convenus",IF(OR(AND(G143="Oui",M143=""),AND(H143="Oui",N143=""),AND(I143="Oui",O143=""),AND(J143="Oui",P143=""),AND(K143="Oui",Q143=""),AND(L143="Oui",R143="")),"Saisissez les montants convenus pour que leur somme corresponde à la dépense.",IF(ABS(SUM($M143:$R143))&lt;0.005,"Saisissez les montants convenus pour que leur somme corresponde à la dépense.",IF(SUM($M143:$R143)&lt;$D143-0.005,"Montant restant à répartir : "&amp;ROUND($D143-SUM($M143:$R143),2)&amp;".",IF(SUM($M143:$R143)&gt;$D143+0.005,"Montant réparti en trop : "&amp;ROUND(SUM($M143:$R143)-$D143,2)&amp;".","Vérifié")))),"Saisissez les montants convenus pour que leur somme corresponde à la dépense."))))))</f>
      </c>
    </row>
    <row r="144">
      <c r="A144" s="83"/>
      <c r="B144" s="57"/>
      <c r="C144" s="57"/>
      <c r="D144" s="85"/>
      <c r="E144" s="57"/>
      <c r="F144" s="57"/>
      <c r="G144" s="57"/>
      <c r="H144" s="57"/>
      <c r="I144" s="57"/>
      <c r="J144" s="57"/>
      <c r="K144" s="57"/>
      <c r="L144" s="57"/>
      <c r="M144" s="85"/>
      <c r="N144" s="85"/>
      <c r="O144" s="85"/>
      <c r="P144" s="85"/>
      <c r="Q144" s="85"/>
      <c r="R144" s="85"/>
      <c r="S144" s="57"/>
      <c r="T144" s="87" t="str">
        <f>IF(COUNTIF($A144:$S144,"&lt;&gt;")=0,"",IF($F144="À parts égales entre participants",IF(G144&lt;&gt;"Oui",0,IF(COUNTIF($H144:$L144,"Oui")=0,$D144-0,ROUND($D144/COUNTIF($G144:$L144,"Oui"),2))),IF($F144="Montants convenus",IF(G144="Oui",M144,0),"")))</f>
      </c>
      <c r="U144" s="87" t="str">
        <f>IF(COUNTIF($A144:$S144,"&lt;&gt;")=0,"",IF($F144="À parts égales entre participants",IF(H144&lt;&gt;"Oui",0,IF(COUNTIF($I144:$L144,"Oui")=0,$D144-SUM($T144:T144),ROUND($D144/COUNTIF($G144:$L144,"Oui"),2))),IF($F144="Montants convenus",IF(H144="Oui",N144,0),"")))</f>
      </c>
      <c r="V144" s="87" t="str">
        <f>IF(COUNTIF($A144:$S144,"&lt;&gt;")=0,"",IF($F144="À parts égales entre participants",IF(I144&lt;&gt;"Oui",0,IF(COUNTIF($J144:$L144,"Oui")=0,$D144-SUM($T144:U144),ROUND($D144/COUNTIF($G144:$L144,"Oui"),2))),IF($F144="Montants convenus",IF(I144="Oui",O144,0),"")))</f>
      </c>
      <c r="W144" s="87" t="str">
        <f>IF(COUNTIF($A144:$S144,"&lt;&gt;")=0,"",IF($F144="À parts égales entre participants",IF(J144&lt;&gt;"Oui",0,IF(COUNTIF($K144:$L144,"Oui")=0,$D144-SUM($T144:V144),ROUND($D144/COUNTIF($G144:$L144,"Oui"),2))),IF($F144="Montants convenus",IF(J144="Oui",P144,0),"")))</f>
      </c>
      <c r="X144" s="87" t="str">
        <f>IF(COUNTIF($A144:$S144,"&lt;&gt;")=0,"",IF($F144="À parts égales entre participants",IF(K144&lt;&gt;"Oui",0,IF(COUNTIF($L144:$L144,"Oui")=0,$D144-SUM($T144:W144),ROUND($D144/COUNTIF($G144:$L144,"Oui"),2))),IF($F144="Montants convenus",IF(K144="Oui",Q144,0),"")))</f>
      </c>
      <c r="Y144" s="87" t="str">
        <f>IF(COUNTIF($A144:$S144,"&lt;&gt;")=0,"",IF($F144="À parts égales entre participants",IF(L144&lt;&gt;"Oui",0,IF(0=0,$D144-SUM($T144:X144),ROUND($D144/COUNTIF($G144:$L144,"Oui"),2))),IF($F144="Montants convenus",IF(L144="Oui",R144,0),"")))</f>
      </c>
      <c r="Z144" s="81" t="str">
        <f>IF(COUNTIF($A144:$S144,"&lt;&gt;")=0,"",IF(OR($D144="",$D144&lt;=0),"Saisissez un montant supérieur à zéro.",IF($E144="","Sélectionnez la personne qui a payé.",IF(COUNTIF($G144:$L144,"Oui")=0,"Sélectionnez au moins une personne participante.",IF($F144="À parts égales entre participants","Vérifié",IF($F144="Montants convenus",IF(OR(AND(G144="Oui",M144=""),AND(H144="Oui",N144=""),AND(I144="Oui",O144=""),AND(J144="Oui",P144=""),AND(K144="Oui",Q144=""),AND(L144="Oui",R144="")),"Saisissez les montants convenus pour que leur somme corresponde à la dépense.",IF(ABS(SUM($M144:$R144))&lt;0.005,"Saisissez les montants convenus pour que leur somme corresponde à la dépense.",IF(SUM($M144:$R144)&lt;$D144-0.005,"Montant restant à répartir : "&amp;ROUND($D144-SUM($M144:$R144),2)&amp;".",IF(SUM($M144:$R144)&gt;$D144+0.005,"Montant réparti en trop : "&amp;ROUND(SUM($M144:$R144)-$D144,2)&amp;".","Vérifié")))),"Saisissez les montants convenus pour que leur somme corresponde à la dépense."))))))</f>
      </c>
    </row>
    <row r="145">
      <c r="A145" s="83"/>
      <c r="B145" s="57"/>
      <c r="C145" s="57"/>
      <c r="D145" s="85"/>
      <c r="E145" s="57"/>
      <c r="F145" s="57"/>
      <c r="G145" s="57"/>
      <c r="H145" s="57"/>
      <c r="I145" s="57"/>
      <c r="J145" s="57"/>
      <c r="K145" s="57"/>
      <c r="L145" s="57"/>
      <c r="M145" s="85"/>
      <c r="N145" s="85"/>
      <c r="O145" s="85"/>
      <c r="P145" s="85"/>
      <c r="Q145" s="85"/>
      <c r="R145" s="85"/>
      <c r="S145" s="57"/>
      <c r="T145" s="87" t="str">
        <f>IF(COUNTIF($A145:$S145,"&lt;&gt;")=0,"",IF($F145="À parts égales entre participants",IF(G145&lt;&gt;"Oui",0,IF(COUNTIF($H145:$L145,"Oui")=0,$D145-0,ROUND($D145/COUNTIF($G145:$L145,"Oui"),2))),IF($F145="Montants convenus",IF(G145="Oui",M145,0),"")))</f>
      </c>
      <c r="U145" s="87" t="str">
        <f>IF(COUNTIF($A145:$S145,"&lt;&gt;")=0,"",IF($F145="À parts égales entre participants",IF(H145&lt;&gt;"Oui",0,IF(COUNTIF($I145:$L145,"Oui")=0,$D145-SUM($T145:T145),ROUND($D145/COUNTIF($G145:$L145,"Oui"),2))),IF($F145="Montants convenus",IF(H145="Oui",N145,0),"")))</f>
      </c>
      <c r="V145" s="87" t="str">
        <f>IF(COUNTIF($A145:$S145,"&lt;&gt;")=0,"",IF($F145="À parts égales entre participants",IF(I145&lt;&gt;"Oui",0,IF(COUNTIF($J145:$L145,"Oui")=0,$D145-SUM($T145:U145),ROUND($D145/COUNTIF($G145:$L145,"Oui"),2))),IF($F145="Montants convenus",IF(I145="Oui",O145,0),"")))</f>
      </c>
      <c r="W145" s="87" t="str">
        <f>IF(COUNTIF($A145:$S145,"&lt;&gt;")=0,"",IF($F145="À parts égales entre participants",IF(J145&lt;&gt;"Oui",0,IF(COUNTIF($K145:$L145,"Oui")=0,$D145-SUM($T145:V145),ROUND($D145/COUNTIF($G145:$L145,"Oui"),2))),IF($F145="Montants convenus",IF(J145="Oui",P145,0),"")))</f>
      </c>
      <c r="X145" s="87" t="str">
        <f>IF(COUNTIF($A145:$S145,"&lt;&gt;")=0,"",IF($F145="À parts égales entre participants",IF(K145&lt;&gt;"Oui",0,IF(COUNTIF($L145:$L145,"Oui")=0,$D145-SUM($T145:W145),ROUND($D145/COUNTIF($G145:$L145,"Oui"),2))),IF($F145="Montants convenus",IF(K145="Oui",Q145,0),"")))</f>
      </c>
      <c r="Y145" s="87" t="str">
        <f>IF(COUNTIF($A145:$S145,"&lt;&gt;")=0,"",IF($F145="À parts égales entre participants",IF(L145&lt;&gt;"Oui",0,IF(0=0,$D145-SUM($T145:X145),ROUND($D145/COUNTIF($G145:$L145,"Oui"),2))),IF($F145="Montants convenus",IF(L145="Oui",R145,0),"")))</f>
      </c>
      <c r="Z145" s="81" t="str">
        <f>IF(COUNTIF($A145:$S145,"&lt;&gt;")=0,"",IF(OR($D145="",$D145&lt;=0),"Saisissez un montant supérieur à zéro.",IF($E145="","Sélectionnez la personne qui a payé.",IF(COUNTIF($G145:$L145,"Oui")=0,"Sélectionnez au moins une personne participante.",IF($F145="À parts égales entre participants","Vérifié",IF($F145="Montants convenus",IF(OR(AND(G145="Oui",M145=""),AND(H145="Oui",N145=""),AND(I145="Oui",O145=""),AND(J145="Oui",P145=""),AND(K145="Oui",Q145=""),AND(L145="Oui",R145="")),"Saisissez les montants convenus pour que leur somme corresponde à la dépense.",IF(ABS(SUM($M145:$R145))&lt;0.005,"Saisissez les montants convenus pour que leur somme corresponde à la dépense.",IF(SUM($M145:$R145)&lt;$D145-0.005,"Montant restant à répartir : "&amp;ROUND($D145-SUM($M145:$R145),2)&amp;".",IF(SUM($M145:$R145)&gt;$D145+0.005,"Montant réparti en trop : "&amp;ROUND(SUM($M145:$R145)-$D145,2)&amp;".","Vérifié")))),"Saisissez les montants convenus pour que leur somme corresponde à la dépense."))))))</f>
      </c>
    </row>
    <row r="146">
      <c r="A146" s="83"/>
      <c r="B146" s="57"/>
      <c r="C146" s="57"/>
      <c r="D146" s="85"/>
      <c r="E146" s="57"/>
      <c r="F146" s="57"/>
      <c r="G146" s="57"/>
      <c r="H146" s="57"/>
      <c r="I146" s="57"/>
      <c r="J146" s="57"/>
      <c r="K146" s="57"/>
      <c r="L146" s="57"/>
      <c r="M146" s="85"/>
      <c r="N146" s="85"/>
      <c r="O146" s="85"/>
      <c r="P146" s="85"/>
      <c r="Q146" s="85"/>
      <c r="R146" s="85"/>
      <c r="S146" s="57"/>
      <c r="T146" s="87" t="str">
        <f>IF(COUNTIF($A146:$S146,"&lt;&gt;")=0,"",IF($F146="À parts égales entre participants",IF(G146&lt;&gt;"Oui",0,IF(COUNTIF($H146:$L146,"Oui")=0,$D146-0,ROUND($D146/COUNTIF($G146:$L146,"Oui"),2))),IF($F146="Montants convenus",IF(G146="Oui",M146,0),"")))</f>
      </c>
      <c r="U146" s="87" t="str">
        <f>IF(COUNTIF($A146:$S146,"&lt;&gt;")=0,"",IF($F146="À parts égales entre participants",IF(H146&lt;&gt;"Oui",0,IF(COUNTIF($I146:$L146,"Oui")=0,$D146-SUM($T146:T146),ROUND($D146/COUNTIF($G146:$L146,"Oui"),2))),IF($F146="Montants convenus",IF(H146="Oui",N146,0),"")))</f>
      </c>
      <c r="V146" s="87" t="str">
        <f>IF(COUNTIF($A146:$S146,"&lt;&gt;")=0,"",IF($F146="À parts égales entre participants",IF(I146&lt;&gt;"Oui",0,IF(COUNTIF($J146:$L146,"Oui")=0,$D146-SUM($T146:U146),ROUND($D146/COUNTIF($G146:$L146,"Oui"),2))),IF($F146="Montants convenus",IF(I146="Oui",O146,0),"")))</f>
      </c>
      <c r="W146" s="87" t="str">
        <f>IF(COUNTIF($A146:$S146,"&lt;&gt;")=0,"",IF($F146="À parts égales entre participants",IF(J146&lt;&gt;"Oui",0,IF(COUNTIF($K146:$L146,"Oui")=0,$D146-SUM($T146:V146),ROUND($D146/COUNTIF($G146:$L146,"Oui"),2))),IF($F146="Montants convenus",IF(J146="Oui",P146,0),"")))</f>
      </c>
      <c r="X146" s="87" t="str">
        <f>IF(COUNTIF($A146:$S146,"&lt;&gt;")=0,"",IF($F146="À parts égales entre participants",IF(K146&lt;&gt;"Oui",0,IF(COUNTIF($L146:$L146,"Oui")=0,$D146-SUM($T146:W146),ROUND($D146/COUNTIF($G146:$L146,"Oui"),2))),IF($F146="Montants convenus",IF(K146="Oui",Q146,0),"")))</f>
      </c>
      <c r="Y146" s="87" t="str">
        <f>IF(COUNTIF($A146:$S146,"&lt;&gt;")=0,"",IF($F146="À parts égales entre participants",IF(L146&lt;&gt;"Oui",0,IF(0=0,$D146-SUM($T146:X146),ROUND($D146/COUNTIF($G146:$L146,"Oui"),2))),IF($F146="Montants convenus",IF(L146="Oui",R146,0),"")))</f>
      </c>
      <c r="Z146" s="81" t="str">
        <f>IF(COUNTIF($A146:$S146,"&lt;&gt;")=0,"",IF(OR($D146="",$D146&lt;=0),"Saisissez un montant supérieur à zéro.",IF($E146="","Sélectionnez la personne qui a payé.",IF(COUNTIF($G146:$L146,"Oui")=0,"Sélectionnez au moins une personne participante.",IF($F146="À parts égales entre participants","Vérifié",IF($F146="Montants convenus",IF(OR(AND(G146="Oui",M146=""),AND(H146="Oui",N146=""),AND(I146="Oui",O146=""),AND(J146="Oui",P146=""),AND(K146="Oui",Q146=""),AND(L146="Oui",R146="")),"Saisissez les montants convenus pour que leur somme corresponde à la dépense.",IF(ABS(SUM($M146:$R146))&lt;0.005,"Saisissez les montants convenus pour que leur somme corresponde à la dépense.",IF(SUM($M146:$R146)&lt;$D146-0.005,"Montant restant à répartir : "&amp;ROUND($D146-SUM($M146:$R146),2)&amp;".",IF(SUM($M146:$R146)&gt;$D146+0.005,"Montant réparti en trop : "&amp;ROUND(SUM($M146:$R146)-$D146,2)&amp;".","Vérifié")))),"Saisissez les montants convenus pour que leur somme corresponde à la dépense."))))))</f>
      </c>
    </row>
    <row r="147">
      <c r="A147" s="83"/>
      <c r="B147" s="57"/>
      <c r="C147" s="57"/>
      <c r="D147" s="85"/>
      <c r="E147" s="57"/>
      <c r="F147" s="57"/>
      <c r="G147" s="57"/>
      <c r="H147" s="57"/>
      <c r="I147" s="57"/>
      <c r="J147" s="57"/>
      <c r="K147" s="57"/>
      <c r="L147" s="57"/>
      <c r="M147" s="85"/>
      <c r="N147" s="85"/>
      <c r="O147" s="85"/>
      <c r="P147" s="85"/>
      <c r="Q147" s="85"/>
      <c r="R147" s="85"/>
      <c r="S147" s="57"/>
      <c r="T147" s="87" t="str">
        <f>IF(COUNTIF($A147:$S147,"&lt;&gt;")=0,"",IF($F147="À parts égales entre participants",IF(G147&lt;&gt;"Oui",0,IF(COUNTIF($H147:$L147,"Oui")=0,$D147-0,ROUND($D147/COUNTIF($G147:$L147,"Oui"),2))),IF($F147="Montants convenus",IF(G147="Oui",M147,0),"")))</f>
      </c>
      <c r="U147" s="87" t="str">
        <f>IF(COUNTIF($A147:$S147,"&lt;&gt;")=0,"",IF($F147="À parts égales entre participants",IF(H147&lt;&gt;"Oui",0,IF(COUNTIF($I147:$L147,"Oui")=0,$D147-SUM($T147:T147),ROUND($D147/COUNTIF($G147:$L147,"Oui"),2))),IF($F147="Montants convenus",IF(H147="Oui",N147,0),"")))</f>
      </c>
      <c r="V147" s="87" t="str">
        <f>IF(COUNTIF($A147:$S147,"&lt;&gt;")=0,"",IF($F147="À parts égales entre participants",IF(I147&lt;&gt;"Oui",0,IF(COUNTIF($J147:$L147,"Oui")=0,$D147-SUM($T147:U147),ROUND($D147/COUNTIF($G147:$L147,"Oui"),2))),IF($F147="Montants convenus",IF(I147="Oui",O147,0),"")))</f>
      </c>
      <c r="W147" s="87" t="str">
        <f>IF(COUNTIF($A147:$S147,"&lt;&gt;")=0,"",IF($F147="À parts égales entre participants",IF(J147&lt;&gt;"Oui",0,IF(COUNTIF($K147:$L147,"Oui")=0,$D147-SUM($T147:V147),ROUND($D147/COUNTIF($G147:$L147,"Oui"),2))),IF($F147="Montants convenus",IF(J147="Oui",P147,0),"")))</f>
      </c>
      <c r="X147" s="87" t="str">
        <f>IF(COUNTIF($A147:$S147,"&lt;&gt;")=0,"",IF($F147="À parts égales entre participants",IF(K147&lt;&gt;"Oui",0,IF(COUNTIF($L147:$L147,"Oui")=0,$D147-SUM($T147:W147),ROUND($D147/COUNTIF($G147:$L147,"Oui"),2))),IF($F147="Montants convenus",IF(K147="Oui",Q147,0),"")))</f>
      </c>
      <c r="Y147" s="87" t="str">
        <f>IF(COUNTIF($A147:$S147,"&lt;&gt;")=0,"",IF($F147="À parts égales entre participants",IF(L147&lt;&gt;"Oui",0,IF(0=0,$D147-SUM($T147:X147),ROUND($D147/COUNTIF($G147:$L147,"Oui"),2))),IF($F147="Montants convenus",IF(L147="Oui",R147,0),"")))</f>
      </c>
      <c r="Z147" s="81" t="str">
        <f>IF(COUNTIF($A147:$S147,"&lt;&gt;")=0,"",IF(OR($D147="",$D147&lt;=0),"Saisissez un montant supérieur à zéro.",IF($E147="","Sélectionnez la personne qui a payé.",IF(COUNTIF($G147:$L147,"Oui")=0,"Sélectionnez au moins une personne participante.",IF($F147="À parts égales entre participants","Vérifié",IF($F147="Montants convenus",IF(OR(AND(G147="Oui",M147=""),AND(H147="Oui",N147=""),AND(I147="Oui",O147=""),AND(J147="Oui",P147=""),AND(K147="Oui",Q147=""),AND(L147="Oui",R147="")),"Saisissez les montants convenus pour que leur somme corresponde à la dépense.",IF(ABS(SUM($M147:$R147))&lt;0.005,"Saisissez les montants convenus pour que leur somme corresponde à la dépense.",IF(SUM($M147:$R147)&lt;$D147-0.005,"Montant restant à répartir : "&amp;ROUND($D147-SUM($M147:$R147),2)&amp;".",IF(SUM($M147:$R147)&gt;$D147+0.005,"Montant réparti en trop : "&amp;ROUND(SUM($M147:$R147)-$D147,2)&amp;".","Vérifié")))),"Saisissez les montants convenus pour que leur somme corresponde à la dépense."))))))</f>
      </c>
    </row>
    <row r="148">
      <c r="A148" s="83"/>
      <c r="B148" s="57"/>
      <c r="C148" s="57"/>
      <c r="D148" s="85"/>
      <c r="E148" s="57"/>
      <c r="F148" s="57"/>
      <c r="G148" s="57"/>
      <c r="H148" s="57"/>
      <c r="I148" s="57"/>
      <c r="J148" s="57"/>
      <c r="K148" s="57"/>
      <c r="L148" s="57"/>
      <c r="M148" s="85"/>
      <c r="N148" s="85"/>
      <c r="O148" s="85"/>
      <c r="P148" s="85"/>
      <c r="Q148" s="85"/>
      <c r="R148" s="85"/>
      <c r="S148" s="57"/>
      <c r="T148" s="87" t="str">
        <f>IF(COUNTIF($A148:$S148,"&lt;&gt;")=0,"",IF($F148="À parts égales entre participants",IF(G148&lt;&gt;"Oui",0,IF(COUNTIF($H148:$L148,"Oui")=0,$D148-0,ROUND($D148/COUNTIF($G148:$L148,"Oui"),2))),IF($F148="Montants convenus",IF(G148="Oui",M148,0),"")))</f>
      </c>
      <c r="U148" s="87" t="str">
        <f>IF(COUNTIF($A148:$S148,"&lt;&gt;")=0,"",IF($F148="À parts égales entre participants",IF(H148&lt;&gt;"Oui",0,IF(COUNTIF($I148:$L148,"Oui")=0,$D148-SUM($T148:T148),ROUND($D148/COUNTIF($G148:$L148,"Oui"),2))),IF($F148="Montants convenus",IF(H148="Oui",N148,0),"")))</f>
      </c>
      <c r="V148" s="87" t="str">
        <f>IF(COUNTIF($A148:$S148,"&lt;&gt;")=0,"",IF($F148="À parts égales entre participants",IF(I148&lt;&gt;"Oui",0,IF(COUNTIF($J148:$L148,"Oui")=0,$D148-SUM($T148:U148),ROUND($D148/COUNTIF($G148:$L148,"Oui"),2))),IF($F148="Montants convenus",IF(I148="Oui",O148,0),"")))</f>
      </c>
      <c r="W148" s="87" t="str">
        <f>IF(COUNTIF($A148:$S148,"&lt;&gt;")=0,"",IF($F148="À parts égales entre participants",IF(J148&lt;&gt;"Oui",0,IF(COUNTIF($K148:$L148,"Oui")=0,$D148-SUM($T148:V148),ROUND($D148/COUNTIF($G148:$L148,"Oui"),2))),IF($F148="Montants convenus",IF(J148="Oui",P148,0),"")))</f>
      </c>
      <c r="X148" s="87" t="str">
        <f>IF(COUNTIF($A148:$S148,"&lt;&gt;")=0,"",IF($F148="À parts égales entre participants",IF(K148&lt;&gt;"Oui",0,IF(COUNTIF($L148:$L148,"Oui")=0,$D148-SUM($T148:W148),ROUND($D148/COUNTIF($G148:$L148,"Oui"),2))),IF($F148="Montants convenus",IF(K148="Oui",Q148,0),"")))</f>
      </c>
      <c r="Y148" s="87" t="str">
        <f>IF(COUNTIF($A148:$S148,"&lt;&gt;")=0,"",IF($F148="À parts égales entre participants",IF(L148&lt;&gt;"Oui",0,IF(0=0,$D148-SUM($T148:X148),ROUND($D148/COUNTIF($G148:$L148,"Oui"),2))),IF($F148="Montants convenus",IF(L148="Oui",R148,0),"")))</f>
      </c>
      <c r="Z148" s="81" t="str">
        <f>IF(COUNTIF($A148:$S148,"&lt;&gt;")=0,"",IF(OR($D148="",$D148&lt;=0),"Saisissez un montant supérieur à zéro.",IF($E148="","Sélectionnez la personne qui a payé.",IF(COUNTIF($G148:$L148,"Oui")=0,"Sélectionnez au moins une personne participante.",IF($F148="À parts égales entre participants","Vérifié",IF($F148="Montants convenus",IF(OR(AND(G148="Oui",M148=""),AND(H148="Oui",N148=""),AND(I148="Oui",O148=""),AND(J148="Oui",P148=""),AND(K148="Oui",Q148=""),AND(L148="Oui",R148="")),"Saisissez les montants convenus pour que leur somme corresponde à la dépense.",IF(ABS(SUM($M148:$R148))&lt;0.005,"Saisissez les montants convenus pour que leur somme corresponde à la dépense.",IF(SUM($M148:$R148)&lt;$D148-0.005,"Montant restant à répartir : "&amp;ROUND($D148-SUM($M148:$R148),2)&amp;".",IF(SUM($M148:$R148)&gt;$D148+0.005,"Montant réparti en trop : "&amp;ROUND(SUM($M148:$R148)-$D148,2)&amp;".","Vérifié")))),"Saisissez les montants convenus pour que leur somme corresponde à la dépense."))))))</f>
      </c>
    </row>
    <row r="149">
      <c r="A149" s="83"/>
      <c r="B149" s="57"/>
      <c r="C149" s="57"/>
      <c r="D149" s="85"/>
      <c r="E149" s="57"/>
      <c r="F149" s="57"/>
      <c r="G149" s="57"/>
      <c r="H149" s="57"/>
      <c r="I149" s="57"/>
      <c r="J149" s="57"/>
      <c r="K149" s="57"/>
      <c r="L149" s="57"/>
      <c r="M149" s="85"/>
      <c r="N149" s="85"/>
      <c r="O149" s="85"/>
      <c r="P149" s="85"/>
      <c r="Q149" s="85"/>
      <c r="R149" s="85"/>
      <c r="S149" s="57"/>
      <c r="T149" s="87" t="str">
        <f>IF(COUNTIF($A149:$S149,"&lt;&gt;")=0,"",IF($F149="À parts égales entre participants",IF(G149&lt;&gt;"Oui",0,IF(COUNTIF($H149:$L149,"Oui")=0,$D149-0,ROUND($D149/COUNTIF($G149:$L149,"Oui"),2))),IF($F149="Montants convenus",IF(G149="Oui",M149,0),"")))</f>
      </c>
      <c r="U149" s="87" t="str">
        <f>IF(COUNTIF($A149:$S149,"&lt;&gt;")=0,"",IF($F149="À parts égales entre participants",IF(H149&lt;&gt;"Oui",0,IF(COUNTIF($I149:$L149,"Oui")=0,$D149-SUM($T149:T149),ROUND($D149/COUNTIF($G149:$L149,"Oui"),2))),IF($F149="Montants convenus",IF(H149="Oui",N149,0),"")))</f>
      </c>
      <c r="V149" s="87" t="str">
        <f>IF(COUNTIF($A149:$S149,"&lt;&gt;")=0,"",IF($F149="À parts égales entre participants",IF(I149&lt;&gt;"Oui",0,IF(COUNTIF($J149:$L149,"Oui")=0,$D149-SUM($T149:U149),ROUND($D149/COUNTIF($G149:$L149,"Oui"),2))),IF($F149="Montants convenus",IF(I149="Oui",O149,0),"")))</f>
      </c>
      <c r="W149" s="87" t="str">
        <f>IF(COUNTIF($A149:$S149,"&lt;&gt;")=0,"",IF($F149="À parts égales entre participants",IF(J149&lt;&gt;"Oui",0,IF(COUNTIF($K149:$L149,"Oui")=0,$D149-SUM($T149:V149),ROUND($D149/COUNTIF($G149:$L149,"Oui"),2))),IF($F149="Montants convenus",IF(J149="Oui",P149,0),"")))</f>
      </c>
      <c r="X149" s="87" t="str">
        <f>IF(COUNTIF($A149:$S149,"&lt;&gt;")=0,"",IF($F149="À parts égales entre participants",IF(K149&lt;&gt;"Oui",0,IF(COUNTIF($L149:$L149,"Oui")=0,$D149-SUM($T149:W149),ROUND($D149/COUNTIF($G149:$L149,"Oui"),2))),IF($F149="Montants convenus",IF(K149="Oui",Q149,0),"")))</f>
      </c>
      <c r="Y149" s="87" t="str">
        <f>IF(COUNTIF($A149:$S149,"&lt;&gt;")=0,"",IF($F149="À parts égales entre participants",IF(L149&lt;&gt;"Oui",0,IF(0=0,$D149-SUM($T149:X149),ROUND($D149/COUNTIF($G149:$L149,"Oui"),2))),IF($F149="Montants convenus",IF(L149="Oui",R149,0),"")))</f>
      </c>
      <c r="Z149" s="81" t="str">
        <f>IF(COUNTIF($A149:$S149,"&lt;&gt;")=0,"",IF(OR($D149="",$D149&lt;=0),"Saisissez un montant supérieur à zéro.",IF($E149="","Sélectionnez la personne qui a payé.",IF(COUNTIF($G149:$L149,"Oui")=0,"Sélectionnez au moins une personne participante.",IF($F149="À parts égales entre participants","Vérifié",IF($F149="Montants convenus",IF(OR(AND(G149="Oui",M149=""),AND(H149="Oui",N149=""),AND(I149="Oui",O149=""),AND(J149="Oui",P149=""),AND(K149="Oui",Q149=""),AND(L149="Oui",R149="")),"Saisissez les montants convenus pour que leur somme corresponde à la dépense.",IF(ABS(SUM($M149:$R149))&lt;0.005,"Saisissez les montants convenus pour que leur somme corresponde à la dépense.",IF(SUM($M149:$R149)&lt;$D149-0.005,"Montant restant à répartir : "&amp;ROUND($D149-SUM($M149:$R149),2)&amp;".",IF(SUM($M149:$R149)&gt;$D149+0.005,"Montant réparti en trop : "&amp;ROUND(SUM($M149:$R149)-$D149,2)&amp;".","Vérifié")))),"Saisissez les montants convenus pour que leur somme corresponde à la dépense."))))))</f>
      </c>
    </row>
    <row r="150">
      <c r="A150" s="83"/>
      <c r="B150" s="57"/>
      <c r="C150" s="57"/>
      <c r="D150" s="85"/>
      <c r="E150" s="57"/>
      <c r="F150" s="57"/>
      <c r="G150" s="57"/>
      <c r="H150" s="57"/>
      <c r="I150" s="57"/>
      <c r="J150" s="57"/>
      <c r="K150" s="57"/>
      <c r="L150" s="57"/>
      <c r="M150" s="85"/>
      <c r="N150" s="85"/>
      <c r="O150" s="85"/>
      <c r="P150" s="85"/>
      <c r="Q150" s="85"/>
      <c r="R150" s="85"/>
      <c r="S150" s="57"/>
      <c r="T150" s="87" t="str">
        <f>IF(COUNTIF($A150:$S150,"&lt;&gt;")=0,"",IF($F150="À parts égales entre participants",IF(G150&lt;&gt;"Oui",0,IF(COUNTIF($H150:$L150,"Oui")=0,$D150-0,ROUND($D150/COUNTIF($G150:$L150,"Oui"),2))),IF($F150="Montants convenus",IF(G150="Oui",M150,0),"")))</f>
      </c>
      <c r="U150" s="87" t="str">
        <f>IF(COUNTIF($A150:$S150,"&lt;&gt;")=0,"",IF($F150="À parts égales entre participants",IF(H150&lt;&gt;"Oui",0,IF(COUNTIF($I150:$L150,"Oui")=0,$D150-SUM($T150:T150),ROUND($D150/COUNTIF($G150:$L150,"Oui"),2))),IF($F150="Montants convenus",IF(H150="Oui",N150,0),"")))</f>
      </c>
      <c r="V150" s="87" t="str">
        <f>IF(COUNTIF($A150:$S150,"&lt;&gt;")=0,"",IF($F150="À parts égales entre participants",IF(I150&lt;&gt;"Oui",0,IF(COUNTIF($J150:$L150,"Oui")=0,$D150-SUM($T150:U150),ROUND($D150/COUNTIF($G150:$L150,"Oui"),2))),IF($F150="Montants convenus",IF(I150="Oui",O150,0),"")))</f>
      </c>
      <c r="W150" s="87" t="str">
        <f>IF(COUNTIF($A150:$S150,"&lt;&gt;")=0,"",IF($F150="À parts égales entre participants",IF(J150&lt;&gt;"Oui",0,IF(COUNTIF($K150:$L150,"Oui")=0,$D150-SUM($T150:V150),ROUND($D150/COUNTIF($G150:$L150,"Oui"),2))),IF($F150="Montants convenus",IF(J150="Oui",P150,0),"")))</f>
      </c>
      <c r="X150" s="87" t="str">
        <f>IF(COUNTIF($A150:$S150,"&lt;&gt;")=0,"",IF($F150="À parts égales entre participants",IF(K150&lt;&gt;"Oui",0,IF(COUNTIF($L150:$L150,"Oui")=0,$D150-SUM($T150:W150),ROUND($D150/COUNTIF($G150:$L150,"Oui"),2))),IF($F150="Montants convenus",IF(K150="Oui",Q150,0),"")))</f>
      </c>
      <c r="Y150" s="87" t="str">
        <f>IF(COUNTIF($A150:$S150,"&lt;&gt;")=0,"",IF($F150="À parts égales entre participants",IF(L150&lt;&gt;"Oui",0,IF(0=0,$D150-SUM($T150:X150),ROUND($D150/COUNTIF($G150:$L150,"Oui"),2))),IF($F150="Montants convenus",IF(L150="Oui",R150,0),"")))</f>
      </c>
      <c r="Z150" s="81" t="str">
        <f>IF(COUNTIF($A150:$S150,"&lt;&gt;")=0,"",IF(OR($D150="",$D150&lt;=0),"Saisissez un montant supérieur à zéro.",IF($E150="","Sélectionnez la personne qui a payé.",IF(COUNTIF($G150:$L150,"Oui")=0,"Sélectionnez au moins une personne participante.",IF($F150="À parts égales entre participants","Vérifié",IF($F150="Montants convenus",IF(OR(AND(G150="Oui",M150=""),AND(H150="Oui",N150=""),AND(I150="Oui",O150=""),AND(J150="Oui",P150=""),AND(K150="Oui",Q150=""),AND(L150="Oui",R150="")),"Saisissez les montants convenus pour que leur somme corresponde à la dépense.",IF(ABS(SUM($M150:$R150))&lt;0.005,"Saisissez les montants convenus pour que leur somme corresponde à la dépense.",IF(SUM($M150:$R150)&lt;$D150-0.005,"Montant restant à répartir : "&amp;ROUND($D150-SUM($M150:$R150),2)&amp;".",IF(SUM($M150:$R150)&gt;$D150+0.005,"Montant réparti en trop : "&amp;ROUND(SUM($M150:$R150)-$D150,2)&amp;".","Vérifié")))),"Saisissez les montants convenus pour que leur somme corresponde à la dépense."))))))</f>
      </c>
    </row>
    <row r="151">
      <c r="A151" s="83"/>
      <c r="B151" s="57"/>
      <c r="C151" s="57"/>
      <c r="D151" s="85"/>
      <c r="E151" s="57"/>
      <c r="F151" s="57"/>
      <c r="G151" s="57"/>
      <c r="H151" s="57"/>
      <c r="I151" s="57"/>
      <c r="J151" s="57"/>
      <c r="K151" s="57"/>
      <c r="L151" s="57"/>
      <c r="M151" s="85"/>
      <c r="N151" s="85"/>
      <c r="O151" s="85"/>
      <c r="P151" s="85"/>
      <c r="Q151" s="85"/>
      <c r="R151" s="85"/>
      <c r="S151" s="57"/>
      <c r="T151" s="87" t="str">
        <f>IF(COUNTIF($A151:$S151,"&lt;&gt;")=0,"",IF($F151="À parts égales entre participants",IF(G151&lt;&gt;"Oui",0,IF(COUNTIF($H151:$L151,"Oui")=0,$D151-0,ROUND($D151/COUNTIF($G151:$L151,"Oui"),2))),IF($F151="Montants convenus",IF(G151="Oui",M151,0),"")))</f>
      </c>
      <c r="U151" s="87" t="str">
        <f>IF(COUNTIF($A151:$S151,"&lt;&gt;")=0,"",IF($F151="À parts égales entre participants",IF(H151&lt;&gt;"Oui",0,IF(COUNTIF($I151:$L151,"Oui")=0,$D151-SUM($T151:T151),ROUND($D151/COUNTIF($G151:$L151,"Oui"),2))),IF($F151="Montants convenus",IF(H151="Oui",N151,0),"")))</f>
      </c>
      <c r="V151" s="87" t="str">
        <f>IF(COUNTIF($A151:$S151,"&lt;&gt;")=0,"",IF($F151="À parts égales entre participants",IF(I151&lt;&gt;"Oui",0,IF(COUNTIF($J151:$L151,"Oui")=0,$D151-SUM($T151:U151),ROUND($D151/COUNTIF($G151:$L151,"Oui"),2))),IF($F151="Montants convenus",IF(I151="Oui",O151,0),"")))</f>
      </c>
      <c r="W151" s="87" t="str">
        <f>IF(COUNTIF($A151:$S151,"&lt;&gt;")=0,"",IF($F151="À parts égales entre participants",IF(J151&lt;&gt;"Oui",0,IF(COUNTIF($K151:$L151,"Oui")=0,$D151-SUM($T151:V151),ROUND($D151/COUNTIF($G151:$L151,"Oui"),2))),IF($F151="Montants convenus",IF(J151="Oui",P151,0),"")))</f>
      </c>
      <c r="X151" s="87" t="str">
        <f>IF(COUNTIF($A151:$S151,"&lt;&gt;")=0,"",IF($F151="À parts égales entre participants",IF(K151&lt;&gt;"Oui",0,IF(COUNTIF($L151:$L151,"Oui")=0,$D151-SUM($T151:W151),ROUND($D151/COUNTIF($G151:$L151,"Oui"),2))),IF($F151="Montants convenus",IF(K151="Oui",Q151,0),"")))</f>
      </c>
      <c r="Y151" s="87" t="str">
        <f>IF(COUNTIF($A151:$S151,"&lt;&gt;")=0,"",IF($F151="À parts égales entre participants",IF(L151&lt;&gt;"Oui",0,IF(0=0,$D151-SUM($T151:X151),ROUND($D151/COUNTIF($G151:$L151,"Oui"),2))),IF($F151="Montants convenus",IF(L151="Oui",R151,0),"")))</f>
      </c>
      <c r="Z151" s="81" t="str">
        <f>IF(COUNTIF($A151:$S151,"&lt;&gt;")=0,"",IF(OR($D151="",$D151&lt;=0),"Saisissez un montant supérieur à zéro.",IF($E151="","Sélectionnez la personne qui a payé.",IF(COUNTIF($G151:$L151,"Oui")=0,"Sélectionnez au moins une personne participante.",IF($F151="À parts égales entre participants","Vérifié",IF($F151="Montants convenus",IF(OR(AND(G151="Oui",M151=""),AND(H151="Oui",N151=""),AND(I151="Oui",O151=""),AND(J151="Oui",P151=""),AND(K151="Oui",Q151=""),AND(L151="Oui",R151="")),"Saisissez les montants convenus pour que leur somme corresponde à la dépense.",IF(ABS(SUM($M151:$R151))&lt;0.005,"Saisissez les montants convenus pour que leur somme corresponde à la dépense.",IF(SUM($M151:$R151)&lt;$D151-0.005,"Montant restant à répartir : "&amp;ROUND($D151-SUM($M151:$R151),2)&amp;".",IF(SUM($M151:$R151)&gt;$D151+0.005,"Montant réparti en trop : "&amp;ROUND(SUM($M151:$R151)-$D151,2)&amp;".","Vérifié")))),"Saisissez les montants convenus pour que leur somme corresponde à la dépense."))))))</f>
      </c>
    </row>
    <row r="152">
      <c r="A152" s="83"/>
      <c r="B152" s="57"/>
      <c r="C152" s="57"/>
      <c r="D152" s="85"/>
      <c r="E152" s="57"/>
      <c r="F152" s="57"/>
      <c r="G152" s="57"/>
      <c r="H152" s="57"/>
      <c r="I152" s="57"/>
      <c r="J152" s="57"/>
      <c r="K152" s="57"/>
      <c r="L152" s="57"/>
      <c r="M152" s="85"/>
      <c r="N152" s="85"/>
      <c r="O152" s="85"/>
      <c r="P152" s="85"/>
      <c r="Q152" s="85"/>
      <c r="R152" s="85"/>
      <c r="S152" s="57"/>
      <c r="T152" s="87" t="str">
        <f>IF(COUNTIF($A152:$S152,"&lt;&gt;")=0,"",IF($F152="À parts égales entre participants",IF(G152&lt;&gt;"Oui",0,IF(COUNTIF($H152:$L152,"Oui")=0,$D152-0,ROUND($D152/COUNTIF($G152:$L152,"Oui"),2))),IF($F152="Montants convenus",IF(G152="Oui",M152,0),"")))</f>
      </c>
      <c r="U152" s="87" t="str">
        <f>IF(COUNTIF($A152:$S152,"&lt;&gt;")=0,"",IF($F152="À parts égales entre participants",IF(H152&lt;&gt;"Oui",0,IF(COUNTIF($I152:$L152,"Oui")=0,$D152-SUM($T152:T152),ROUND($D152/COUNTIF($G152:$L152,"Oui"),2))),IF($F152="Montants convenus",IF(H152="Oui",N152,0),"")))</f>
      </c>
      <c r="V152" s="87" t="str">
        <f>IF(COUNTIF($A152:$S152,"&lt;&gt;")=0,"",IF($F152="À parts égales entre participants",IF(I152&lt;&gt;"Oui",0,IF(COUNTIF($J152:$L152,"Oui")=0,$D152-SUM($T152:U152),ROUND($D152/COUNTIF($G152:$L152,"Oui"),2))),IF($F152="Montants convenus",IF(I152="Oui",O152,0),"")))</f>
      </c>
      <c r="W152" s="87" t="str">
        <f>IF(COUNTIF($A152:$S152,"&lt;&gt;")=0,"",IF($F152="À parts égales entre participants",IF(J152&lt;&gt;"Oui",0,IF(COUNTIF($K152:$L152,"Oui")=0,$D152-SUM($T152:V152),ROUND($D152/COUNTIF($G152:$L152,"Oui"),2))),IF($F152="Montants convenus",IF(J152="Oui",P152,0),"")))</f>
      </c>
      <c r="X152" s="87" t="str">
        <f>IF(COUNTIF($A152:$S152,"&lt;&gt;")=0,"",IF($F152="À parts égales entre participants",IF(K152&lt;&gt;"Oui",0,IF(COUNTIF($L152:$L152,"Oui")=0,$D152-SUM($T152:W152),ROUND($D152/COUNTIF($G152:$L152,"Oui"),2))),IF($F152="Montants convenus",IF(K152="Oui",Q152,0),"")))</f>
      </c>
      <c r="Y152" s="87" t="str">
        <f>IF(COUNTIF($A152:$S152,"&lt;&gt;")=0,"",IF($F152="À parts égales entre participants",IF(L152&lt;&gt;"Oui",0,IF(0=0,$D152-SUM($T152:X152),ROUND($D152/COUNTIF($G152:$L152,"Oui"),2))),IF($F152="Montants convenus",IF(L152="Oui",R152,0),"")))</f>
      </c>
      <c r="Z152" s="81" t="str">
        <f>IF(COUNTIF($A152:$S152,"&lt;&gt;")=0,"",IF(OR($D152="",$D152&lt;=0),"Saisissez un montant supérieur à zéro.",IF($E152="","Sélectionnez la personne qui a payé.",IF(COUNTIF($G152:$L152,"Oui")=0,"Sélectionnez au moins une personne participante.",IF($F152="À parts égales entre participants","Vérifié",IF($F152="Montants convenus",IF(OR(AND(G152="Oui",M152=""),AND(H152="Oui",N152=""),AND(I152="Oui",O152=""),AND(J152="Oui",P152=""),AND(K152="Oui",Q152=""),AND(L152="Oui",R152="")),"Saisissez les montants convenus pour que leur somme corresponde à la dépense.",IF(ABS(SUM($M152:$R152))&lt;0.005,"Saisissez les montants convenus pour que leur somme corresponde à la dépense.",IF(SUM($M152:$R152)&lt;$D152-0.005,"Montant restant à répartir : "&amp;ROUND($D152-SUM($M152:$R152),2)&amp;".",IF(SUM($M152:$R152)&gt;$D152+0.005,"Montant réparti en trop : "&amp;ROUND(SUM($M152:$R152)-$D152,2)&amp;".","Vérifié")))),"Saisissez les montants convenus pour que leur somme corresponde à la dépense."))))))</f>
      </c>
    </row>
    <row r="153">
      <c r="A153" s="83"/>
      <c r="B153" s="57"/>
      <c r="C153" s="57"/>
      <c r="D153" s="85"/>
      <c r="E153" s="57"/>
      <c r="F153" s="57"/>
      <c r="G153" s="57"/>
      <c r="H153" s="57"/>
      <c r="I153" s="57"/>
      <c r="J153" s="57"/>
      <c r="K153" s="57"/>
      <c r="L153" s="57"/>
      <c r="M153" s="85"/>
      <c r="N153" s="85"/>
      <c r="O153" s="85"/>
      <c r="P153" s="85"/>
      <c r="Q153" s="85"/>
      <c r="R153" s="85"/>
      <c r="S153" s="57"/>
      <c r="T153" s="87" t="str">
        <f>IF(COUNTIF($A153:$S153,"&lt;&gt;")=0,"",IF($F153="À parts égales entre participants",IF(G153&lt;&gt;"Oui",0,IF(COUNTIF($H153:$L153,"Oui")=0,$D153-0,ROUND($D153/COUNTIF($G153:$L153,"Oui"),2))),IF($F153="Montants convenus",IF(G153="Oui",M153,0),"")))</f>
      </c>
      <c r="U153" s="87" t="str">
        <f>IF(COUNTIF($A153:$S153,"&lt;&gt;")=0,"",IF($F153="À parts égales entre participants",IF(H153&lt;&gt;"Oui",0,IF(COUNTIF($I153:$L153,"Oui")=0,$D153-SUM($T153:T153),ROUND($D153/COUNTIF($G153:$L153,"Oui"),2))),IF($F153="Montants convenus",IF(H153="Oui",N153,0),"")))</f>
      </c>
      <c r="V153" s="87" t="str">
        <f>IF(COUNTIF($A153:$S153,"&lt;&gt;")=0,"",IF($F153="À parts égales entre participants",IF(I153&lt;&gt;"Oui",0,IF(COUNTIF($J153:$L153,"Oui")=0,$D153-SUM($T153:U153),ROUND($D153/COUNTIF($G153:$L153,"Oui"),2))),IF($F153="Montants convenus",IF(I153="Oui",O153,0),"")))</f>
      </c>
      <c r="W153" s="87" t="str">
        <f>IF(COUNTIF($A153:$S153,"&lt;&gt;")=0,"",IF($F153="À parts égales entre participants",IF(J153&lt;&gt;"Oui",0,IF(COUNTIF($K153:$L153,"Oui")=0,$D153-SUM($T153:V153),ROUND($D153/COUNTIF($G153:$L153,"Oui"),2))),IF($F153="Montants convenus",IF(J153="Oui",P153,0),"")))</f>
      </c>
      <c r="X153" s="87" t="str">
        <f>IF(COUNTIF($A153:$S153,"&lt;&gt;")=0,"",IF($F153="À parts égales entre participants",IF(K153&lt;&gt;"Oui",0,IF(COUNTIF($L153:$L153,"Oui")=0,$D153-SUM($T153:W153),ROUND($D153/COUNTIF($G153:$L153,"Oui"),2))),IF($F153="Montants convenus",IF(K153="Oui",Q153,0),"")))</f>
      </c>
      <c r="Y153" s="87" t="str">
        <f>IF(COUNTIF($A153:$S153,"&lt;&gt;")=0,"",IF($F153="À parts égales entre participants",IF(L153&lt;&gt;"Oui",0,IF(0=0,$D153-SUM($T153:X153),ROUND($D153/COUNTIF($G153:$L153,"Oui"),2))),IF($F153="Montants convenus",IF(L153="Oui",R153,0),"")))</f>
      </c>
      <c r="Z153" s="81" t="str">
        <f>IF(COUNTIF($A153:$S153,"&lt;&gt;")=0,"",IF(OR($D153="",$D153&lt;=0),"Saisissez un montant supérieur à zéro.",IF($E153="","Sélectionnez la personne qui a payé.",IF(COUNTIF($G153:$L153,"Oui")=0,"Sélectionnez au moins une personne participante.",IF($F153="À parts égales entre participants","Vérifié",IF($F153="Montants convenus",IF(OR(AND(G153="Oui",M153=""),AND(H153="Oui",N153=""),AND(I153="Oui",O153=""),AND(J153="Oui",P153=""),AND(K153="Oui",Q153=""),AND(L153="Oui",R153="")),"Saisissez les montants convenus pour que leur somme corresponde à la dépense.",IF(ABS(SUM($M153:$R153))&lt;0.005,"Saisissez les montants convenus pour que leur somme corresponde à la dépense.",IF(SUM($M153:$R153)&lt;$D153-0.005,"Montant restant à répartir : "&amp;ROUND($D153-SUM($M153:$R153),2)&amp;".",IF(SUM($M153:$R153)&gt;$D153+0.005,"Montant réparti en trop : "&amp;ROUND(SUM($M153:$R153)-$D153,2)&amp;".","Vérifié")))),"Saisissez les montants convenus pour que leur somme corresponde à la dépense."))))))</f>
      </c>
    </row>
    <row r="154">
      <c r="A154" s="83"/>
      <c r="B154" s="57"/>
      <c r="C154" s="57"/>
      <c r="D154" s="85"/>
      <c r="E154" s="57"/>
      <c r="F154" s="57"/>
      <c r="G154" s="57"/>
      <c r="H154" s="57"/>
      <c r="I154" s="57"/>
      <c r="J154" s="57"/>
      <c r="K154" s="57"/>
      <c r="L154" s="57"/>
      <c r="M154" s="85"/>
      <c r="N154" s="85"/>
      <c r="O154" s="85"/>
      <c r="P154" s="85"/>
      <c r="Q154" s="85"/>
      <c r="R154" s="85"/>
      <c r="S154" s="57"/>
      <c r="T154" s="87" t="str">
        <f>IF(COUNTIF($A154:$S154,"&lt;&gt;")=0,"",IF($F154="À parts égales entre participants",IF(G154&lt;&gt;"Oui",0,IF(COUNTIF($H154:$L154,"Oui")=0,$D154-0,ROUND($D154/COUNTIF($G154:$L154,"Oui"),2))),IF($F154="Montants convenus",IF(G154="Oui",M154,0),"")))</f>
      </c>
      <c r="U154" s="87" t="str">
        <f>IF(COUNTIF($A154:$S154,"&lt;&gt;")=0,"",IF($F154="À parts égales entre participants",IF(H154&lt;&gt;"Oui",0,IF(COUNTIF($I154:$L154,"Oui")=0,$D154-SUM($T154:T154),ROUND($D154/COUNTIF($G154:$L154,"Oui"),2))),IF($F154="Montants convenus",IF(H154="Oui",N154,0),"")))</f>
      </c>
      <c r="V154" s="87" t="str">
        <f>IF(COUNTIF($A154:$S154,"&lt;&gt;")=0,"",IF($F154="À parts égales entre participants",IF(I154&lt;&gt;"Oui",0,IF(COUNTIF($J154:$L154,"Oui")=0,$D154-SUM($T154:U154),ROUND($D154/COUNTIF($G154:$L154,"Oui"),2))),IF($F154="Montants convenus",IF(I154="Oui",O154,0),"")))</f>
      </c>
      <c r="W154" s="87" t="str">
        <f>IF(COUNTIF($A154:$S154,"&lt;&gt;")=0,"",IF($F154="À parts égales entre participants",IF(J154&lt;&gt;"Oui",0,IF(COUNTIF($K154:$L154,"Oui")=0,$D154-SUM($T154:V154),ROUND($D154/COUNTIF($G154:$L154,"Oui"),2))),IF($F154="Montants convenus",IF(J154="Oui",P154,0),"")))</f>
      </c>
      <c r="X154" s="87" t="str">
        <f>IF(COUNTIF($A154:$S154,"&lt;&gt;")=0,"",IF($F154="À parts égales entre participants",IF(K154&lt;&gt;"Oui",0,IF(COUNTIF($L154:$L154,"Oui")=0,$D154-SUM($T154:W154),ROUND($D154/COUNTIF($G154:$L154,"Oui"),2))),IF($F154="Montants convenus",IF(K154="Oui",Q154,0),"")))</f>
      </c>
      <c r="Y154" s="87" t="str">
        <f>IF(COUNTIF($A154:$S154,"&lt;&gt;")=0,"",IF($F154="À parts égales entre participants",IF(L154&lt;&gt;"Oui",0,IF(0=0,$D154-SUM($T154:X154),ROUND($D154/COUNTIF($G154:$L154,"Oui"),2))),IF($F154="Montants convenus",IF(L154="Oui",R154,0),"")))</f>
      </c>
      <c r="Z154" s="81" t="str">
        <f>IF(COUNTIF($A154:$S154,"&lt;&gt;")=0,"",IF(OR($D154="",$D154&lt;=0),"Saisissez un montant supérieur à zéro.",IF($E154="","Sélectionnez la personne qui a payé.",IF(COUNTIF($G154:$L154,"Oui")=0,"Sélectionnez au moins une personne participante.",IF($F154="À parts égales entre participants","Vérifié",IF($F154="Montants convenus",IF(OR(AND(G154="Oui",M154=""),AND(H154="Oui",N154=""),AND(I154="Oui",O154=""),AND(J154="Oui",P154=""),AND(K154="Oui",Q154=""),AND(L154="Oui",R154="")),"Saisissez les montants convenus pour que leur somme corresponde à la dépense.",IF(ABS(SUM($M154:$R154))&lt;0.005,"Saisissez les montants convenus pour que leur somme corresponde à la dépense.",IF(SUM($M154:$R154)&lt;$D154-0.005,"Montant restant à répartir : "&amp;ROUND($D154-SUM($M154:$R154),2)&amp;".",IF(SUM($M154:$R154)&gt;$D154+0.005,"Montant réparti en trop : "&amp;ROUND(SUM($M154:$R154)-$D154,2)&amp;".","Vérifié")))),"Saisissez les montants convenus pour que leur somme corresponde à la dépense."))))))</f>
      </c>
    </row>
    <row r="155">
      <c r="A155" s="83"/>
      <c r="B155" s="57"/>
      <c r="C155" s="57"/>
      <c r="D155" s="85"/>
      <c r="E155" s="57"/>
      <c r="F155" s="57"/>
      <c r="G155" s="57"/>
      <c r="H155" s="57"/>
      <c r="I155" s="57"/>
      <c r="J155" s="57"/>
      <c r="K155" s="57"/>
      <c r="L155" s="57"/>
      <c r="M155" s="85"/>
      <c r="N155" s="85"/>
      <c r="O155" s="85"/>
      <c r="P155" s="85"/>
      <c r="Q155" s="85"/>
      <c r="R155" s="85"/>
      <c r="S155" s="57"/>
      <c r="T155" s="87" t="str">
        <f>IF(COUNTIF($A155:$S155,"&lt;&gt;")=0,"",IF($F155="À parts égales entre participants",IF(G155&lt;&gt;"Oui",0,IF(COUNTIF($H155:$L155,"Oui")=0,$D155-0,ROUND($D155/COUNTIF($G155:$L155,"Oui"),2))),IF($F155="Montants convenus",IF(G155="Oui",M155,0),"")))</f>
      </c>
      <c r="U155" s="87" t="str">
        <f>IF(COUNTIF($A155:$S155,"&lt;&gt;")=0,"",IF($F155="À parts égales entre participants",IF(H155&lt;&gt;"Oui",0,IF(COUNTIF($I155:$L155,"Oui")=0,$D155-SUM($T155:T155),ROUND($D155/COUNTIF($G155:$L155,"Oui"),2))),IF($F155="Montants convenus",IF(H155="Oui",N155,0),"")))</f>
      </c>
      <c r="V155" s="87" t="str">
        <f>IF(COUNTIF($A155:$S155,"&lt;&gt;")=0,"",IF($F155="À parts égales entre participants",IF(I155&lt;&gt;"Oui",0,IF(COUNTIF($J155:$L155,"Oui")=0,$D155-SUM($T155:U155),ROUND($D155/COUNTIF($G155:$L155,"Oui"),2))),IF($F155="Montants convenus",IF(I155="Oui",O155,0),"")))</f>
      </c>
      <c r="W155" s="87" t="str">
        <f>IF(COUNTIF($A155:$S155,"&lt;&gt;")=0,"",IF($F155="À parts égales entre participants",IF(J155&lt;&gt;"Oui",0,IF(COUNTIF($K155:$L155,"Oui")=0,$D155-SUM($T155:V155),ROUND($D155/COUNTIF($G155:$L155,"Oui"),2))),IF($F155="Montants convenus",IF(J155="Oui",P155,0),"")))</f>
      </c>
      <c r="X155" s="87" t="str">
        <f>IF(COUNTIF($A155:$S155,"&lt;&gt;")=0,"",IF($F155="À parts égales entre participants",IF(K155&lt;&gt;"Oui",0,IF(COUNTIF($L155:$L155,"Oui")=0,$D155-SUM($T155:W155),ROUND($D155/COUNTIF($G155:$L155,"Oui"),2))),IF($F155="Montants convenus",IF(K155="Oui",Q155,0),"")))</f>
      </c>
      <c r="Y155" s="87" t="str">
        <f>IF(COUNTIF($A155:$S155,"&lt;&gt;")=0,"",IF($F155="À parts égales entre participants",IF(L155&lt;&gt;"Oui",0,IF(0=0,$D155-SUM($T155:X155),ROUND($D155/COUNTIF($G155:$L155,"Oui"),2))),IF($F155="Montants convenus",IF(L155="Oui",R155,0),"")))</f>
      </c>
      <c r="Z155" s="81" t="str">
        <f>IF(COUNTIF($A155:$S155,"&lt;&gt;")=0,"",IF(OR($D155="",$D155&lt;=0),"Saisissez un montant supérieur à zéro.",IF($E155="","Sélectionnez la personne qui a payé.",IF(COUNTIF($G155:$L155,"Oui")=0,"Sélectionnez au moins une personne participante.",IF($F155="À parts égales entre participants","Vérifié",IF($F155="Montants convenus",IF(OR(AND(G155="Oui",M155=""),AND(H155="Oui",N155=""),AND(I155="Oui",O155=""),AND(J155="Oui",P155=""),AND(K155="Oui",Q155=""),AND(L155="Oui",R155="")),"Saisissez les montants convenus pour que leur somme corresponde à la dépense.",IF(ABS(SUM($M155:$R155))&lt;0.005,"Saisissez les montants convenus pour que leur somme corresponde à la dépense.",IF(SUM($M155:$R155)&lt;$D155-0.005,"Montant restant à répartir : "&amp;ROUND($D155-SUM($M155:$R155),2)&amp;".",IF(SUM($M155:$R155)&gt;$D155+0.005,"Montant réparti en trop : "&amp;ROUND(SUM($M155:$R155)-$D155,2)&amp;".","Vérifié")))),"Saisissez les montants convenus pour que leur somme corresponde à la dépense."))))))</f>
      </c>
    </row>
    <row r="156">
      <c r="A156" s="83"/>
      <c r="B156" s="57"/>
      <c r="C156" s="57"/>
      <c r="D156" s="85"/>
      <c r="E156" s="57"/>
      <c r="F156" s="57"/>
      <c r="G156" s="57"/>
      <c r="H156" s="57"/>
      <c r="I156" s="57"/>
      <c r="J156" s="57"/>
      <c r="K156" s="57"/>
      <c r="L156" s="57"/>
      <c r="M156" s="85"/>
      <c r="N156" s="85"/>
      <c r="O156" s="85"/>
      <c r="P156" s="85"/>
      <c r="Q156" s="85"/>
      <c r="R156" s="85"/>
      <c r="S156" s="57"/>
      <c r="T156" s="87" t="str">
        <f>IF(COUNTIF($A156:$S156,"&lt;&gt;")=0,"",IF($F156="À parts égales entre participants",IF(G156&lt;&gt;"Oui",0,IF(COUNTIF($H156:$L156,"Oui")=0,$D156-0,ROUND($D156/COUNTIF($G156:$L156,"Oui"),2))),IF($F156="Montants convenus",IF(G156="Oui",M156,0),"")))</f>
      </c>
      <c r="U156" s="87" t="str">
        <f>IF(COUNTIF($A156:$S156,"&lt;&gt;")=0,"",IF($F156="À parts égales entre participants",IF(H156&lt;&gt;"Oui",0,IF(COUNTIF($I156:$L156,"Oui")=0,$D156-SUM($T156:T156),ROUND($D156/COUNTIF($G156:$L156,"Oui"),2))),IF($F156="Montants convenus",IF(H156="Oui",N156,0),"")))</f>
      </c>
      <c r="V156" s="87" t="str">
        <f>IF(COUNTIF($A156:$S156,"&lt;&gt;")=0,"",IF($F156="À parts égales entre participants",IF(I156&lt;&gt;"Oui",0,IF(COUNTIF($J156:$L156,"Oui")=0,$D156-SUM($T156:U156),ROUND($D156/COUNTIF($G156:$L156,"Oui"),2))),IF($F156="Montants convenus",IF(I156="Oui",O156,0),"")))</f>
      </c>
      <c r="W156" s="87" t="str">
        <f>IF(COUNTIF($A156:$S156,"&lt;&gt;")=0,"",IF($F156="À parts égales entre participants",IF(J156&lt;&gt;"Oui",0,IF(COUNTIF($K156:$L156,"Oui")=0,$D156-SUM($T156:V156),ROUND($D156/COUNTIF($G156:$L156,"Oui"),2))),IF($F156="Montants convenus",IF(J156="Oui",P156,0),"")))</f>
      </c>
      <c r="X156" s="87" t="str">
        <f>IF(COUNTIF($A156:$S156,"&lt;&gt;")=0,"",IF($F156="À parts égales entre participants",IF(K156&lt;&gt;"Oui",0,IF(COUNTIF($L156:$L156,"Oui")=0,$D156-SUM($T156:W156),ROUND($D156/COUNTIF($G156:$L156,"Oui"),2))),IF($F156="Montants convenus",IF(K156="Oui",Q156,0),"")))</f>
      </c>
      <c r="Y156" s="87" t="str">
        <f>IF(COUNTIF($A156:$S156,"&lt;&gt;")=0,"",IF($F156="À parts égales entre participants",IF(L156&lt;&gt;"Oui",0,IF(0=0,$D156-SUM($T156:X156),ROUND($D156/COUNTIF($G156:$L156,"Oui"),2))),IF($F156="Montants convenus",IF(L156="Oui",R156,0),"")))</f>
      </c>
      <c r="Z156" s="81" t="str">
        <f>IF(COUNTIF($A156:$S156,"&lt;&gt;")=0,"",IF(OR($D156="",$D156&lt;=0),"Saisissez un montant supérieur à zéro.",IF($E156="","Sélectionnez la personne qui a payé.",IF(COUNTIF($G156:$L156,"Oui")=0,"Sélectionnez au moins une personne participante.",IF($F156="À parts égales entre participants","Vérifié",IF($F156="Montants convenus",IF(OR(AND(G156="Oui",M156=""),AND(H156="Oui",N156=""),AND(I156="Oui",O156=""),AND(J156="Oui",P156=""),AND(K156="Oui",Q156=""),AND(L156="Oui",R156="")),"Saisissez les montants convenus pour que leur somme corresponde à la dépense.",IF(ABS(SUM($M156:$R156))&lt;0.005,"Saisissez les montants convenus pour que leur somme corresponde à la dépense.",IF(SUM($M156:$R156)&lt;$D156-0.005,"Montant restant à répartir : "&amp;ROUND($D156-SUM($M156:$R156),2)&amp;".",IF(SUM($M156:$R156)&gt;$D156+0.005,"Montant réparti en trop : "&amp;ROUND(SUM($M156:$R156)-$D156,2)&amp;".","Vérifié")))),"Saisissez les montants convenus pour que leur somme corresponde à la dépense."))))))</f>
      </c>
    </row>
    <row r="157">
      <c r="A157" s="83"/>
      <c r="B157" s="57"/>
      <c r="C157" s="57"/>
      <c r="D157" s="85"/>
      <c r="E157" s="57"/>
      <c r="F157" s="57"/>
      <c r="G157" s="57"/>
      <c r="H157" s="57"/>
      <c r="I157" s="57"/>
      <c r="J157" s="57"/>
      <c r="K157" s="57"/>
      <c r="L157" s="57"/>
      <c r="M157" s="85"/>
      <c r="N157" s="85"/>
      <c r="O157" s="85"/>
      <c r="P157" s="85"/>
      <c r="Q157" s="85"/>
      <c r="R157" s="85"/>
      <c r="S157" s="57"/>
      <c r="T157" s="87" t="str">
        <f>IF(COUNTIF($A157:$S157,"&lt;&gt;")=0,"",IF($F157="À parts égales entre participants",IF(G157&lt;&gt;"Oui",0,IF(COUNTIF($H157:$L157,"Oui")=0,$D157-0,ROUND($D157/COUNTIF($G157:$L157,"Oui"),2))),IF($F157="Montants convenus",IF(G157="Oui",M157,0),"")))</f>
      </c>
      <c r="U157" s="87" t="str">
        <f>IF(COUNTIF($A157:$S157,"&lt;&gt;")=0,"",IF($F157="À parts égales entre participants",IF(H157&lt;&gt;"Oui",0,IF(COUNTIF($I157:$L157,"Oui")=0,$D157-SUM($T157:T157),ROUND($D157/COUNTIF($G157:$L157,"Oui"),2))),IF($F157="Montants convenus",IF(H157="Oui",N157,0),"")))</f>
      </c>
      <c r="V157" s="87" t="str">
        <f>IF(COUNTIF($A157:$S157,"&lt;&gt;")=0,"",IF($F157="À parts égales entre participants",IF(I157&lt;&gt;"Oui",0,IF(COUNTIF($J157:$L157,"Oui")=0,$D157-SUM($T157:U157),ROUND($D157/COUNTIF($G157:$L157,"Oui"),2))),IF($F157="Montants convenus",IF(I157="Oui",O157,0),"")))</f>
      </c>
      <c r="W157" s="87" t="str">
        <f>IF(COUNTIF($A157:$S157,"&lt;&gt;")=0,"",IF($F157="À parts égales entre participants",IF(J157&lt;&gt;"Oui",0,IF(COUNTIF($K157:$L157,"Oui")=0,$D157-SUM($T157:V157),ROUND($D157/COUNTIF($G157:$L157,"Oui"),2))),IF($F157="Montants convenus",IF(J157="Oui",P157,0),"")))</f>
      </c>
      <c r="X157" s="87" t="str">
        <f>IF(COUNTIF($A157:$S157,"&lt;&gt;")=0,"",IF($F157="À parts égales entre participants",IF(K157&lt;&gt;"Oui",0,IF(COUNTIF($L157:$L157,"Oui")=0,$D157-SUM($T157:W157),ROUND($D157/COUNTIF($G157:$L157,"Oui"),2))),IF($F157="Montants convenus",IF(K157="Oui",Q157,0),"")))</f>
      </c>
      <c r="Y157" s="87" t="str">
        <f>IF(COUNTIF($A157:$S157,"&lt;&gt;")=0,"",IF($F157="À parts égales entre participants",IF(L157&lt;&gt;"Oui",0,IF(0=0,$D157-SUM($T157:X157),ROUND($D157/COUNTIF($G157:$L157,"Oui"),2))),IF($F157="Montants convenus",IF(L157="Oui",R157,0),"")))</f>
      </c>
      <c r="Z157" s="81" t="str">
        <f>IF(COUNTIF($A157:$S157,"&lt;&gt;")=0,"",IF(OR($D157="",$D157&lt;=0),"Saisissez un montant supérieur à zéro.",IF($E157="","Sélectionnez la personne qui a payé.",IF(COUNTIF($G157:$L157,"Oui")=0,"Sélectionnez au moins une personne participante.",IF($F157="À parts égales entre participants","Vérifié",IF($F157="Montants convenus",IF(OR(AND(G157="Oui",M157=""),AND(H157="Oui",N157=""),AND(I157="Oui",O157=""),AND(J157="Oui",P157=""),AND(K157="Oui",Q157=""),AND(L157="Oui",R157="")),"Saisissez les montants convenus pour que leur somme corresponde à la dépense.",IF(ABS(SUM($M157:$R157))&lt;0.005,"Saisissez les montants convenus pour que leur somme corresponde à la dépense.",IF(SUM($M157:$R157)&lt;$D157-0.005,"Montant restant à répartir : "&amp;ROUND($D157-SUM($M157:$R157),2)&amp;".",IF(SUM($M157:$R157)&gt;$D157+0.005,"Montant réparti en trop : "&amp;ROUND(SUM($M157:$R157)-$D157,2)&amp;".","Vérifié")))),"Saisissez les montants convenus pour que leur somme corresponde à la dépense."))))))</f>
      </c>
    </row>
    <row r="158">
      <c r="A158" s="83"/>
      <c r="B158" s="57"/>
      <c r="C158" s="57"/>
      <c r="D158" s="85"/>
      <c r="E158" s="57"/>
      <c r="F158" s="57"/>
      <c r="G158" s="57"/>
      <c r="H158" s="57"/>
      <c r="I158" s="57"/>
      <c r="J158" s="57"/>
      <c r="K158" s="57"/>
      <c r="L158" s="57"/>
      <c r="M158" s="85"/>
      <c r="N158" s="85"/>
      <c r="O158" s="85"/>
      <c r="P158" s="85"/>
      <c r="Q158" s="85"/>
      <c r="R158" s="85"/>
      <c r="S158" s="57"/>
      <c r="T158" s="87" t="str">
        <f>IF(COUNTIF($A158:$S158,"&lt;&gt;")=0,"",IF($F158="À parts égales entre participants",IF(G158&lt;&gt;"Oui",0,IF(COUNTIF($H158:$L158,"Oui")=0,$D158-0,ROUND($D158/COUNTIF($G158:$L158,"Oui"),2))),IF($F158="Montants convenus",IF(G158="Oui",M158,0),"")))</f>
      </c>
      <c r="U158" s="87" t="str">
        <f>IF(COUNTIF($A158:$S158,"&lt;&gt;")=0,"",IF($F158="À parts égales entre participants",IF(H158&lt;&gt;"Oui",0,IF(COUNTIF($I158:$L158,"Oui")=0,$D158-SUM($T158:T158),ROUND($D158/COUNTIF($G158:$L158,"Oui"),2))),IF($F158="Montants convenus",IF(H158="Oui",N158,0),"")))</f>
      </c>
      <c r="V158" s="87" t="str">
        <f>IF(COUNTIF($A158:$S158,"&lt;&gt;")=0,"",IF($F158="À parts égales entre participants",IF(I158&lt;&gt;"Oui",0,IF(COUNTIF($J158:$L158,"Oui")=0,$D158-SUM($T158:U158),ROUND($D158/COUNTIF($G158:$L158,"Oui"),2))),IF($F158="Montants convenus",IF(I158="Oui",O158,0),"")))</f>
      </c>
      <c r="W158" s="87" t="str">
        <f>IF(COUNTIF($A158:$S158,"&lt;&gt;")=0,"",IF($F158="À parts égales entre participants",IF(J158&lt;&gt;"Oui",0,IF(COUNTIF($K158:$L158,"Oui")=0,$D158-SUM($T158:V158),ROUND($D158/COUNTIF($G158:$L158,"Oui"),2))),IF($F158="Montants convenus",IF(J158="Oui",P158,0),"")))</f>
      </c>
      <c r="X158" s="87" t="str">
        <f>IF(COUNTIF($A158:$S158,"&lt;&gt;")=0,"",IF($F158="À parts égales entre participants",IF(K158&lt;&gt;"Oui",0,IF(COUNTIF($L158:$L158,"Oui")=0,$D158-SUM($T158:W158),ROUND($D158/COUNTIF($G158:$L158,"Oui"),2))),IF($F158="Montants convenus",IF(K158="Oui",Q158,0),"")))</f>
      </c>
      <c r="Y158" s="87" t="str">
        <f>IF(COUNTIF($A158:$S158,"&lt;&gt;")=0,"",IF($F158="À parts égales entre participants",IF(L158&lt;&gt;"Oui",0,IF(0=0,$D158-SUM($T158:X158),ROUND($D158/COUNTIF($G158:$L158,"Oui"),2))),IF($F158="Montants convenus",IF(L158="Oui",R158,0),"")))</f>
      </c>
      <c r="Z158" s="81" t="str">
        <f>IF(COUNTIF($A158:$S158,"&lt;&gt;")=0,"",IF(OR($D158="",$D158&lt;=0),"Saisissez un montant supérieur à zéro.",IF($E158="","Sélectionnez la personne qui a payé.",IF(COUNTIF($G158:$L158,"Oui")=0,"Sélectionnez au moins une personne participante.",IF($F158="À parts égales entre participants","Vérifié",IF($F158="Montants convenus",IF(OR(AND(G158="Oui",M158=""),AND(H158="Oui",N158=""),AND(I158="Oui",O158=""),AND(J158="Oui",P158=""),AND(K158="Oui",Q158=""),AND(L158="Oui",R158="")),"Saisissez les montants convenus pour que leur somme corresponde à la dépense.",IF(ABS(SUM($M158:$R158))&lt;0.005,"Saisissez les montants convenus pour que leur somme corresponde à la dépense.",IF(SUM($M158:$R158)&lt;$D158-0.005,"Montant restant à répartir : "&amp;ROUND($D158-SUM($M158:$R158),2)&amp;".",IF(SUM($M158:$R158)&gt;$D158+0.005,"Montant réparti en trop : "&amp;ROUND(SUM($M158:$R158)-$D158,2)&amp;".","Vérifié")))),"Saisissez les montants convenus pour que leur somme corresponde à la dépense."))))))</f>
      </c>
    </row>
    <row r="159">
      <c r="A159" s="83"/>
      <c r="B159" s="57"/>
      <c r="C159" s="57"/>
      <c r="D159" s="85"/>
      <c r="E159" s="57"/>
      <c r="F159" s="57"/>
      <c r="G159" s="57"/>
      <c r="H159" s="57"/>
      <c r="I159" s="57"/>
      <c r="J159" s="57"/>
      <c r="K159" s="57"/>
      <c r="L159" s="57"/>
      <c r="M159" s="85"/>
      <c r="N159" s="85"/>
      <c r="O159" s="85"/>
      <c r="P159" s="85"/>
      <c r="Q159" s="85"/>
      <c r="R159" s="85"/>
      <c r="S159" s="57"/>
      <c r="T159" s="87" t="str">
        <f>IF(COUNTIF($A159:$S159,"&lt;&gt;")=0,"",IF($F159="À parts égales entre participants",IF(G159&lt;&gt;"Oui",0,IF(COUNTIF($H159:$L159,"Oui")=0,$D159-0,ROUND($D159/COUNTIF($G159:$L159,"Oui"),2))),IF($F159="Montants convenus",IF(G159="Oui",M159,0),"")))</f>
      </c>
      <c r="U159" s="87" t="str">
        <f>IF(COUNTIF($A159:$S159,"&lt;&gt;")=0,"",IF($F159="À parts égales entre participants",IF(H159&lt;&gt;"Oui",0,IF(COUNTIF($I159:$L159,"Oui")=0,$D159-SUM($T159:T159),ROUND($D159/COUNTIF($G159:$L159,"Oui"),2))),IF($F159="Montants convenus",IF(H159="Oui",N159,0),"")))</f>
      </c>
      <c r="V159" s="87" t="str">
        <f>IF(COUNTIF($A159:$S159,"&lt;&gt;")=0,"",IF($F159="À parts égales entre participants",IF(I159&lt;&gt;"Oui",0,IF(COUNTIF($J159:$L159,"Oui")=0,$D159-SUM($T159:U159),ROUND($D159/COUNTIF($G159:$L159,"Oui"),2))),IF($F159="Montants convenus",IF(I159="Oui",O159,0),"")))</f>
      </c>
      <c r="W159" s="87" t="str">
        <f>IF(COUNTIF($A159:$S159,"&lt;&gt;")=0,"",IF($F159="À parts égales entre participants",IF(J159&lt;&gt;"Oui",0,IF(COUNTIF($K159:$L159,"Oui")=0,$D159-SUM($T159:V159),ROUND($D159/COUNTIF($G159:$L159,"Oui"),2))),IF($F159="Montants convenus",IF(J159="Oui",P159,0),"")))</f>
      </c>
      <c r="X159" s="87" t="str">
        <f>IF(COUNTIF($A159:$S159,"&lt;&gt;")=0,"",IF($F159="À parts égales entre participants",IF(K159&lt;&gt;"Oui",0,IF(COUNTIF($L159:$L159,"Oui")=0,$D159-SUM($T159:W159),ROUND($D159/COUNTIF($G159:$L159,"Oui"),2))),IF($F159="Montants convenus",IF(K159="Oui",Q159,0),"")))</f>
      </c>
      <c r="Y159" s="87" t="str">
        <f>IF(COUNTIF($A159:$S159,"&lt;&gt;")=0,"",IF($F159="À parts égales entre participants",IF(L159&lt;&gt;"Oui",0,IF(0=0,$D159-SUM($T159:X159),ROUND($D159/COUNTIF($G159:$L159,"Oui"),2))),IF($F159="Montants convenus",IF(L159="Oui",R159,0),"")))</f>
      </c>
      <c r="Z159" s="81" t="str">
        <f>IF(COUNTIF($A159:$S159,"&lt;&gt;")=0,"",IF(OR($D159="",$D159&lt;=0),"Saisissez un montant supérieur à zéro.",IF($E159="","Sélectionnez la personne qui a payé.",IF(COUNTIF($G159:$L159,"Oui")=0,"Sélectionnez au moins une personne participante.",IF($F159="À parts égales entre participants","Vérifié",IF($F159="Montants convenus",IF(OR(AND(G159="Oui",M159=""),AND(H159="Oui",N159=""),AND(I159="Oui",O159=""),AND(J159="Oui",P159=""),AND(K159="Oui",Q159=""),AND(L159="Oui",R159="")),"Saisissez les montants convenus pour que leur somme corresponde à la dépense.",IF(ABS(SUM($M159:$R159))&lt;0.005,"Saisissez les montants convenus pour que leur somme corresponde à la dépense.",IF(SUM($M159:$R159)&lt;$D159-0.005,"Montant restant à répartir : "&amp;ROUND($D159-SUM($M159:$R159),2)&amp;".",IF(SUM($M159:$R159)&gt;$D159+0.005,"Montant réparti en trop : "&amp;ROUND(SUM($M159:$R159)-$D159,2)&amp;".","Vérifié")))),"Saisissez les montants convenus pour que leur somme corresponde à la dépense."))))))</f>
      </c>
    </row>
    <row r="160">
      <c r="A160" s="83"/>
      <c r="B160" s="57"/>
      <c r="C160" s="57"/>
      <c r="D160" s="85"/>
      <c r="E160" s="57"/>
      <c r="F160" s="57"/>
      <c r="G160" s="57"/>
      <c r="H160" s="57"/>
      <c r="I160" s="57"/>
      <c r="J160" s="57"/>
      <c r="K160" s="57"/>
      <c r="L160" s="57"/>
      <c r="M160" s="85"/>
      <c r="N160" s="85"/>
      <c r="O160" s="85"/>
      <c r="P160" s="85"/>
      <c r="Q160" s="85"/>
      <c r="R160" s="85"/>
      <c r="S160" s="57"/>
      <c r="T160" s="87" t="str">
        <f>IF(COUNTIF($A160:$S160,"&lt;&gt;")=0,"",IF($F160="À parts égales entre participants",IF(G160&lt;&gt;"Oui",0,IF(COUNTIF($H160:$L160,"Oui")=0,$D160-0,ROUND($D160/COUNTIF($G160:$L160,"Oui"),2))),IF($F160="Montants convenus",IF(G160="Oui",M160,0),"")))</f>
      </c>
      <c r="U160" s="87" t="str">
        <f>IF(COUNTIF($A160:$S160,"&lt;&gt;")=0,"",IF($F160="À parts égales entre participants",IF(H160&lt;&gt;"Oui",0,IF(COUNTIF($I160:$L160,"Oui")=0,$D160-SUM($T160:T160),ROUND($D160/COUNTIF($G160:$L160,"Oui"),2))),IF($F160="Montants convenus",IF(H160="Oui",N160,0),"")))</f>
      </c>
      <c r="V160" s="87" t="str">
        <f>IF(COUNTIF($A160:$S160,"&lt;&gt;")=0,"",IF($F160="À parts égales entre participants",IF(I160&lt;&gt;"Oui",0,IF(COUNTIF($J160:$L160,"Oui")=0,$D160-SUM($T160:U160),ROUND($D160/COUNTIF($G160:$L160,"Oui"),2))),IF($F160="Montants convenus",IF(I160="Oui",O160,0),"")))</f>
      </c>
      <c r="W160" s="87" t="str">
        <f>IF(COUNTIF($A160:$S160,"&lt;&gt;")=0,"",IF($F160="À parts égales entre participants",IF(J160&lt;&gt;"Oui",0,IF(COUNTIF($K160:$L160,"Oui")=0,$D160-SUM($T160:V160),ROUND($D160/COUNTIF($G160:$L160,"Oui"),2))),IF($F160="Montants convenus",IF(J160="Oui",P160,0),"")))</f>
      </c>
      <c r="X160" s="87" t="str">
        <f>IF(COUNTIF($A160:$S160,"&lt;&gt;")=0,"",IF($F160="À parts égales entre participants",IF(K160&lt;&gt;"Oui",0,IF(COUNTIF($L160:$L160,"Oui")=0,$D160-SUM($T160:W160),ROUND($D160/COUNTIF($G160:$L160,"Oui"),2))),IF($F160="Montants convenus",IF(K160="Oui",Q160,0),"")))</f>
      </c>
      <c r="Y160" s="87" t="str">
        <f>IF(COUNTIF($A160:$S160,"&lt;&gt;")=0,"",IF($F160="À parts égales entre participants",IF(L160&lt;&gt;"Oui",0,IF(0=0,$D160-SUM($T160:X160),ROUND($D160/COUNTIF($G160:$L160,"Oui"),2))),IF($F160="Montants convenus",IF(L160="Oui",R160,0),"")))</f>
      </c>
      <c r="Z160" s="81" t="str">
        <f>IF(COUNTIF($A160:$S160,"&lt;&gt;")=0,"",IF(OR($D160="",$D160&lt;=0),"Saisissez un montant supérieur à zéro.",IF($E160="","Sélectionnez la personne qui a payé.",IF(COUNTIF($G160:$L160,"Oui")=0,"Sélectionnez au moins une personne participante.",IF($F160="À parts égales entre participants","Vérifié",IF($F160="Montants convenus",IF(OR(AND(G160="Oui",M160=""),AND(H160="Oui",N160=""),AND(I160="Oui",O160=""),AND(J160="Oui",P160=""),AND(K160="Oui",Q160=""),AND(L160="Oui",R160="")),"Saisissez les montants convenus pour que leur somme corresponde à la dépense.",IF(ABS(SUM($M160:$R160))&lt;0.005,"Saisissez les montants convenus pour que leur somme corresponde à la dépense.",IF(SUM($M160:$R160)&lt;$D160-0.005,"Montant restant à répartir : "&amp;ROUND($D160-SUM($M160:$R160),2)&amp;".",IF(SUM($M160:$R160)&gt;$D160+0.005,"Montant réparti en trop : "&amp;ROUND(SUM($M160:$R160)-$D160,2)&amp;".","Vérifié")))),"Saisissez les montants convenus pour que leur somme corresponde à la dépense."))))))</f>
      </c>
    </row>
    <row r="161">
      <c r="A161" s="83"/>
      <c r="B161" s="57"/>
      <c r="C161" s="57"/>
      <c r="D161" s="85"/>
      <c r="E161" s="57"/>
      <c r="F161" s="57"/>
      <c r="G161" s="57"/>
      <c r="H161" s="57"/>
      <c r="I161" s="57"/>
      <c r="J161" s="57"/>
      <c r="K161" s="57"/>
      <c r="L161" s="57"/>
      <c r="M161" s="85"/>
      <c r="N161" s="85"/>
      <c r="O161" s="85"/>
      <c r="P161" s="85"/>
      <c r="Q161" s="85"/>
      <c r="R161" s="85"/>
      <c r="S161" s="57"/>
      <c r="T161" s="87" t="str">
        <f>IF(COUNTIF($A161:$S161,"&lt;&gt;")=0,"",IF($F161="À parts égales entre participants",IF(G161&lt;&gt;"Oui",0,IF(COUNTIF($H161:$L161,"Oui")=0,$D161-0,ROUND($D161/COUNTIF($G161:$L161,"Oui"),2))),IF($F161="Montants convenus",IF(G161="Oui",M161,0),"")))</f>
      </c>
      <c r="U161" s="87" t="str">
        <f>IF(COUNTIF($A161:$S161,"&lt;&gt;")=0,"",IF($F161="À parts égales entre participants",IF(H161&lt;&gt;"Oui",0,IF(COUNTIF($I161:$L161,"Oui")=0,$D161-SUM($T161:T161),ROUND($D161/COUNTIF($G161:$L161,"Oui"),2))),IF($F161="Montants convenus",IF(H161="Oui",N161,0),"")))</f>
      </c>
      <c r="V161" s="87" t="str">
        <f>IF(COUNTIF($A161:$S161,"&lt;&gt;")=0,"",IF($F161="À parts égales entre participants",IF(I161&lt;&gt;"Oui",0,IF(COUNTIF($J161:$L161,"Oui")=0,$D161-SUM($T161:U161),ROUND($D161/COUNTIF($G161:$L161,"Oui"),2))),IF($F161="Montants convenus",IF(I161="Oui",O161,0),"")))</f>
      </c>
      <c r="W161" s="87" t="str">
        <f>IF(COUNTIF($A161:$S161,"&lt;&gt;")=0,"",IF($F161="À parts égales entre participants",IF(J161&lt;&gt;"Oui",0,IF(COUNTIF($K161:$L161,"Oui")=0,$D161-SUM($T161:V161),ROUND($D161/COUNTIF($G161:$L161,"Oui"),2))),IF($F161="Montants convenus",IF(J161="Oui",P161,0),"")))</f>
      </c>
      <c r="X161" s="87" t="str">
        <f>IF(COUNTIF($A161:$S161,"&lt;&gt;")=0,"",IF($F161="À parts égales entre participants",IF(K161&lt;&gt;"Oui",0,IF(COUNTIF($L161:$L161,"Oui")=0,$D161-SUM($T161:W161),ROUND($D161/COUNTIF($G161:$L161,"Oui"),2))),IF($F161="Montants convenus",IF(K161="Oui",Q161,0),"")))</f>
      </c>
      <c r="Y161" s="87" t="str">
        <f>IF(COUNTIF($A161:$S161,"&lt;&gt;")=0,"",IF($F161="À parts égales entre participants",IF(L161&lt;&gt;"Oui",0,IF(0=0,$D161-SUM($T161:X161),ROUND($D161/COUNTIF($G161:$L161,"Oui"),2))),IF($F161="Montants convenus",IF(L161="Oui",R161,0),"")))</f>
      </c>
      <c r="Z161" s="81" t="str">
        <f>IF(COUNTIF($A161:$S161,"&lt;&gt;")=0,"",IF(OR($D161="",$D161&lt;=0),"Saisissez un montant supérieur à zéro.",IF($E161="","Sélectionnez la personne qui a payé.",IF(COUNTIF($G161:$L161,"Oui")=0,"Sélectionnez au moins une personne participante.",IF($F161="À parts égales entre participants","Vérifié",IF($F161="Montants convenus",IF(OR(AND(G161="Oui",M161=""),AND(H161="Oui",N161=""),AND(I161="Oui",O161=""),AND(J161="Oui",P161=""),AND(K161="Oui",Q161=""),AND(L161="Oui",R161="")),"Saisissez les montants convenus pour que leur somme corresponde à la dépense.",IF(ABS(SUM($M161:$R161))&lt;0.005,"Saisissez les montants convenus pour que leur somme corresponde à la dépense.",IF(SUM($M161:$R161)&lt;$D161-0.005,"Montant restant à répartir : "&amp;ROUND($D161-SUM($M161:$R161),2)&amp;".",IF(SUM($M161:$R161)&gt;$D161+0.005,"Montant réparti en trop : "&amp;ROUND(SUM($M161:$R161)-$D161,2)&amp;".","Vérifié")))),"Saisissez les montants convenus pour que leur somme corresponde à la dépense."))))))</f>
      </c>
    </row>
    <row r="162">
      <c r="A162" s="83"/>
      <c r="B162" s="57"/>
      <c r="C162" s="57"/>
      <c r="D162" s="85"/>
      <c r="E162" s="57"/>
      <c r="F162" s="57"/>
      <c r="G162" s="57"/>
      <c r="H162" s="57"/>
      <c r="I162" s="57"/>
      <c r="J162" s="57"/>
      <c r="K162" s="57"/>
      <c r="L162" s="57"/>
      <c r="M162" s="85"/>
      <c r="N162" s="85"/>
      <c r="O162" s="85"/>
      <c r="P162" s="85"/>
      <c r="Q162" s="85"/>
      <c r="R162" s="85"/>
      <c r="S162" s="57"/>
      <c r="T162" s="87" t="str">
        <f>IF(COUNTIF($A162:$S162,"&lt;&gt;")=0,"",IF($F162="À parts égales entre participants",IF(G162&lt;&gt;"Oui",0,IF(COUNTIF($H162:$L162,"Oui")=0,$D162-0,ROUND($D162/COUNTIF($G162:$L162,"Oui"),2))),IF($F162="Montants convenus",IF(G162="Oui",M162,0),"")))</f>
      </c>
      <c r="U162" s="87" t="str">
        <f>IF(COUNTIF($A162:$S162,"&lt;&gt;")=0,"",IF($F162="À parts égales entre participants",IF(H162&lt;&gt;"Oui",0,IF(COUNTIF($I162:$L162,"Oui")=0,$D162-SUM($T162:T162),ROUND($D162/COUNTIF($G162:$L162,"Oui"),2))),IF($F162="Montants convenus",IF(H162="Oui",N162,0),"")))</f>
      </c>
      <c r="V162" s="87" t="str">
        <f>IF(COUNTIF($A162:$S162,"&lt;&gt;")=0,"",IF($F162="À parts égales entre participants",IF(I162&lt;&gt;"Oui",0,IF(COUNTIF($J162:$L162,"Oui")=0,$D162-SUM($T162:U162),ROUND($D162/COUNTIF($G162:$L162,"Oui"),2))),IF($F162="Montants convenus",IF(I162="Oui",O162,0),"")))</f>
      </c>
      <c r="W162" s="87" t="str">
        <f>IF(COUNTIF($A162:$S162,"&lt;&gt;")=0,"",IF($F162="À parts égales entre participants",IF(J162&lt;&gt;"Oui",0,IF(COUNTIF($K162:$L162,"Oui")=0,$D162-SUM($T162:V162),ROUND($D162/COUNTIF($G162:$L162,"Oui"),2))),IF($F162="Montants convenus",IF(J162="Oui",P162,0),"")))</f>
      </c>
      <c r="X162" s="87" t="str">
        <f>IF(COUNTIF($A162:$S162,"&lt;&gt;")=0,"",IF($F162="À parts égales entre participants",IF(K162&lt;&gt;"Oui",0,IF(COUNTIF($L162:$L162,"Oui")=0,$D162-SUM($T162:W162),ROUND($D162/COUNTIF($G162:$L162,"Oui"),2))),IF($F162="Montants convenus",IF(K162="Oui",Q162,0),"")))</f>
      </c>
      <c r="Y162" s="87" t="str">
        <f>IF(COUNTIF($A162:$S162,"&lt;&gt;")=0,"",IF($F162="À parts égales entre participants",IF(L162&lt;&gt;"Oui",0,IF(0=0,$D162-SUM($T162:X162),ROUND($D162/COUNTIF($G162:$L162,"Oui"),2))),IF($F162="Montants convenus",IF(L162="Oui",R162,0),"")))</f>
      </c>
      <c r="Z162" s="81" t="str">
        <f>IF(COUNTIF($A162:$S162,"&lt;&gt;")=0,"",IF(OR($D162="",$D162&lt;=0),"Saisissez un montant supérieur à zéro.",IF($E162="","Sélectionnez la personne qui a payé.",IF(COUNTIF($G162:$L162,"Oui")=0,"Sélectionnez au moins une personne participante.",IF($F162="À parts égales entre participants","Vérifié",IF($F162="Montants convenus",IF(OR(AND(G162="Oui",M162=""),AND(H162="Oui",N162=""),AND(I162="Oui",O162=""),AND(J162="Oui",P162=""),AND(K162="Oui",Q162=""),AND(L162="Oui",R162="")),"Saisissez les montants convenus pour que leur somme corresponde à la dépense.",IF(ABS(SUM($M162:$R162))&lt;0.005,"Saisissez les montants convenus pour que leur somme corresponde à la dépense.",IF(SUM($M162:$R162)&lt;$D162-0.005,"Montant restant à répartir : "&amp;ROUND($D162-SUM($M162:$R162),2)&amp;".",IF(SUM($M162:$R162)&gt;$D162+0.005,"Montant réparti en trop : "&amp;ROUND(SUM($M162:$R162)-$D162,2)&amp;".","Vérifié")))),"Saisissez les montants convenus pour que leur somme corresponde à la dépense."))))))</f>
      </c>
    </row>
    <row r="163">
      <c r="A163" s="83"/>
      <c r="B163" s="57"/>
      <c r="C163" s="57"/>
      <c r="D163" s="85"/>
      <c r="E163" s="57"/>
      <c r="F163" s="57"/>
      <c r="G163" s="57"/>
      <c r="H163" s="57"/>
      <c r="I163" s="57"/>
      <c r="J163" s="57"/>
      <c r="K163" s="57"/>
      <c r="L163" s="57"/>
      <c r="M163" s="85"/>
      <c r="N163" s="85"/>
      <c r="O163" s="85"/>
      <c r="P163" s="85"/>
      <c r="Q163" s="85"/>
      <c r="R163" s="85"/>
      <c r="S163" s="57"/>
      <c r="T163" s="87" t="str">
        <f>IF(COUNTIF($A163:$S163,"&lt;&gt;")=0,"",IF($F163="À parts égales entre participants",IF(G163&lt;&gt;"Oui",0,IF(COUNTIF($H163:$L163,"Oui")=0,$D163-0,ROUND($D163/COUNTIF($G163:$L163,"Oui"),2))),IF($F163="Montants convenus",IF(G163="Oui",M163,0),"")))</f>
      </c>
      <c r="U163" s="87" t="str">
        <f>IF(COUNTIF($A163:$S163,"&lt;&gt;")=0,"",IF($F163="À parts égales entre participants",IF(H163&lt;&gt;"Oui",0,IF(COUNTIF($I163:$L163,"Oui")=0,$D163-SUM($T163:T163),ROUND($D163/COUNTIF($G163:$L163,"Oui"),2))),IF($F163="Montants convenus",IF(H163="Oui",N163,0),"")))</f>
      </c>
      <c r="V163" s="87" t="str">
        <f>IF(COUNTIF($A163:$S163,"&lt;&gt;")=0,"",IF($F163="À parts égales entre participants",IF(I163&lt;&gt;"Oui",0,IF(COUNTIF($J163:$L163,"Oui")=0,$D163-SUM($T163:U163),ROUND($D163/COUNTIF($G163:$L163,"Oui"),2))),IF($F163="Montants convenus",IF(I163="Oui",O163,0),"")))</f>
      </c>
      <c r="W163" s="87" t="str">
        <f>IF(COUNTIF($A163:$S163,"&lt;&gt;")=0,"",IF($F163="À parts égales entre participants",IF(J163&lt;&gt;"Oui",0,IF(COUNTIF($K163:$L163,"Oui")=0,$D163-SUM($T163:V163),ROUND($D163/COUNTIF($G163:$L163,"Oui"),2))),IF($F163="Montants convenus",IF(J163="Oui",P163,0),"")))</f>
      </c>
      <c r="X163" s="87" t="str">
        <f>IF(COUNTIF($A163:$S163,"&lt;&gt;")=0,"",IF($F163="À parts égales entre participants",IF(K163&lt;&gt;"Oui",0,IF(COUNTIF($L163:$L163,"Oui")=0,$D163-SUM($T163:W163),ROUND($D163/COUNTIF($G163:$L163,"Oui"),2))),IF($F163="Montants convenus",IF(K163="Oui",Q163,0),"")))</f>
      </c>
      <c r="Y163" s="87" t="str">
        <f>IF(COUNTIF($A163:$S163,"&lt;&gt;")=0,"",IF($F163="À parts égales entre participants",IF(L163&lt;&gt;"Oui",0,IF(0=0,$D163-SUM($T163:X163),ROUND($D163/COUNTIF($G163:$L163,"Oui"),2))),IF($F163="Montants convenus",IF(L163="Oui",R163,0),"")))</f>
      </c>
      <c r="Z163" s="81" t="str">
        <f>IF(COUNTIF($A163:$S163,"&lt;&gt;")=0,"",IF(OR($D163="",$D163&lt;=0),"Saisissez un montant supérieur à zéro.",IF($E163="","Sélectionnez la personne qui a payé.",IF(COUNTIF($G163:$L163,"Oui")=0,"Sélectionnez au moins une personne participante.",IF($F163="À parts égales entre participants","Vérifié",IF($F163="Montants convenus",IF(OR(AND(G163="Oui",M163=""),AND(H163="Oui",N163=""),AND(I163="Oui",O163=""),AND(J163="Oui",P163=""),AND(K163="Oui",Q163=""),AND(L163="Oui",R163="")),"Saisissez les montants convenus pour que leur somme corresponde à la dépense.",IF(ABS(SUM($M163:$R163))&lt;0.005,"Saisissez les montants convenus pour que leur somme corresponde à la dépense.",IF(SUM($M163:$R163)&lt;$D163-0.005,"Montant restant à répartir : "&amp;ROUND($D163-SUM($M163:$R163),2)&amp;".",IF(SUM($M163:$R163)&gt;$D163+0.005,"Montant réparti en trop : "&amp;ROUND(SUM($M163:$R163)-$D163,2)&amp;".","Vérifié")))),"Saisissez les montants convenus pour que leur somme corresponde à la dépense."))))))</f>
      </c>
    </row>
    <row r="164">
      <c r="A164" s="83"/>
      <c r="B164" s="57"/>
      <c r="C164" s="57"/>
      <c r="D164" s="85"/>
      <c r="E164" s="57"/>
      <c r="F164" s="57"/>
      <c r="G164" s="57"/>
      <c r="H164" s="57"/>
      <c r="I164" s="57"/>
      <c r="J164" s="57"/>
      <c r="K164" s="57"/>
      <c r="L164" s="57"/>
      <c r="M164" s="85"/>
      <c r="N164" s="85"/>
      <c r="O164" s="85"/>
      <c r="P164" s="85"/>
      <c r="Q164" s="85"/>
      <c r="R164" s="85"/>
      <c r="S164" s="57"/>
      <c r="T164" s="87" t="str">
        <f>IF(COUNTIF($A164:$S164,"&lt;&gt;")=0,"",IF($F164="À parts égales entre participants",IF(G164&lt;&gt;"Oui",0,IF(COUNTIF($H164:$L164,"Oui")=0,$D164-0,ROUND($D164/COUNTIF($G164:$L164,"Oui"),2))),IF($F164="Montants convenus",IF(G164="Oui",M164,0),"")))</f>
      </c>
      <c r="U164" s="87" t="str">
        <f>IF(COUNTIF($A164:$S164,"&lt;&gt;")=0,"",IF($F164="À parts égales entre participants",IF(H164&lt;&gt;"Oui",0,IF(COUNTIF($I164:$L164,"Oui")=0,$D164-SUM($T164:T164),ROUND($D164/COUNTIF($G164:$L164,"Oui"),2))),IF($F164="Montants convenus",IF(H164="Oui",N164,0),"")))</f>
      </c>
      <c r="V164" s="87" t="str">
        <f>IF(COUNTIF($A164:$S164,"&lt;&gt;")=0,"",IF($F164="À parts égales entre participants",IF(I164&lt;&gt;"Oui",0,IF(COUNTIF($J164:$L164,"Oui")=0,$D164-SUM($T164:U164),ROUND($D164/COUNTIF($G164:$L164,"Oui"),2))),IF($F164="Montants convenus",IF(I164="Oui",O164,0),"")))</f>
      </c>
      <c r="W164" s="87" t="str">
        <f>IF(COUNTIF($A164:$S164,"&lt;&gt;")=0,"",IF($F164="À parts égales entre participants",IF(J164&lt;&gt;"Oui",0,IF(COUNTIF($K164:$L164,"Oui")=0,$D164-SUM($T164:V164),ROUND($D164/COUNTIF($G164:$L164,"Oui"),2))),IF($F164="Montants convenus",IF(J164="Oui",P164,0),"")))</f>
      </c>
      <c r="X164" s="87" t="str">
        <f>IF(COUNTIF($A164:$S164,"&lt;&gt;")=0,"",IF($F164="À parts égales entre participants",IF(K164&lt;&gt;"Oui",0,IF(COUNTIF($L164:$L164,"Oui")=0,$D164-SUM($T164:W164),ROUND($D164/COUNTIF($G164:$L164,"Oui"),2))),IF($F164="Montants convenus",IF(K164="Oui",Q164,0),"")))</f>
      </c>
      <c r="Y164" s="87" t="str">
        <f>IF(COUNTIF($A164:$S164,"&lt;&gt;")=0,"",IF($F164="À parts égales entre participants",IF(L164&lt;&gt;"Oui",0,IF(0=0,$D164-SUM($T164:X164),ROUND($D164/COUNTIF($G164:$L164,"Oui"),2))),IF($F164="Montants convenus",IF(L164="Oui",R164,0),"")))</f>
      </c>
      <c r="Z164" s="81" t="str">
        <f>IF(COUNTIF($A164:$S164,"&lt;&gt;")=0,"",IF(OR($D164="",$D164&lt;=0),"Saisissez un montant supérieur à zéro.",IF($E164="","Sélectionnez la personne qui a payé.",IF(COUNTIF($G164:$L164,"Oui")=0,"Sélectionnez au moins une personne participante.",IF($F164="À parts égales entre participants","Vérifié",IF($F164="Montants convenus",IF(OR(AND(G164="Oui",M164=""),AND(H164="Oui",N164=""),AND(I164="Oui",O164=""),AND(J164="Oui",P164=""),AND(K164="Oui",Q164=""),AND(L164="Oui",R164="")),"Saisissez les montants convenus pour que leur somme corresponde à la dépense.",IF(ABS(SUM($M164:$R164))&lt;0.005,"Saisissez les montants convenus pour que leur somme corresponde à la dépense.",IF(SUM($M164:$R164)&lt;$D164-0.005,"Montant restant à répartir : "&amp;ROUND($D164-SUM($M164:$R164),2)&amp;".",IF(SUM($M164:$R164)&gt;$D164+0.005,"Montant réparti en trop : "&amp;ROUND(SUM($M164:$R164)-$D164,2)&amp;".","Vérifié")))),"Saisissez les montants convenus pour que leur somme corresponde à la dépense."))))))</f>
      </c>
    </row>
    <row r="165">
      <c r="A165" s="83"/>
      <c r="B165" s="57"/>
      <c r="C165" s="57"/>
      <c r="D165" s="85"/>
      <c r="E165" s="57"/>
      <c r="F165" s="57"/>
      <c r="G165" s="57"/>
      <c r="H165" s="57"/>
      <c r="I165" s="57"/>
      <c r="J165" s="57"/>
      <c r="K165" s="57"/>
      <c r="L165" s="57"/>
      <c r="M165" s="85"/>
      <c r="N165" s="85"/>
      <c r="O165" s="85"/>
      <c r="P165" s="85"/>
      <c r="Q165" s="85"/>
      <c r="R165" s="85"/>
      <c r="S165" s="57"/>
      <c r="T165" s="87" t="str">
        <f>IF(COUNTIF($A165:$S165,"&lt;&gt;")=0,"",IF($F165="À parts égales entre participants",IF(G165&lt;&gt;"Oui",0,IF(COUNTIF($H165:$L165,"Oui")=0,$D165-0,ROUND($D165/COUNTIF($G165:$L165,"Oui"),2))),IF($F165="Montants convenus",IF(G165="Oui",M165,0),"")))</f>
      </c>
      <c r="U165" s="87" t="str">
        <f>IF(COUNTIF($A165:$S165,"&lt;&gt;")=0,"",IF($F165="À parts égales entre participants",IF(H165&lt;&gt;"Oui",0,IF(COUNTIF($I165:$L165,"Oui")=0,$D165-SUM($T165:T165),ROUND($D165/COUNTIF($G165:$L165,"Oui"),2))),IF($F165="Montants convenus",IF(H165="Oui",N165,0),"")))</f>
      </c>
      <c r="V165" s="87" t="str">
        <f>IF(COUNTIF($A165:$S165,"&lt;&gt;")=0,"",IF($F165="À parts égales entre participants",IF(I165&lt;&gt;"Oui",0,IF(COUNTIF($J165:$L165,"Oui")=0,$D165-SUM($T165:U165),ROUND($D165/COUNTIF($G165:$L165,"Oui"),2))),IF($F165="Montants convenus",IF(I165="Oui",O165,0),"")))</f>
      </c>
      <c r="W165" s="87" t="str">
        <f>IF(COUNTIF($A165:$S165,"&lt;&gt;")=0,"",IF($F165="À parts égales entre participants",IF(J165&lt;&gt;"Oui",0,IF(COUNTIF($K165:$L165,"Oui")=0,$D165-SUM($T165:V165),ROUND($D165/COUNTIF($G165:$L165,"Oui"),2))),IF($F165="Montants convenus",IF(J165="Oui",P165,0),"")))</f>
      </c>
      <c r="X165" s="87" t="str">
        <f>IF(COUNTIF($A165:$S165,"&lt;&gt;")=0,"",IF($F165="À parts égales entre participants",IF(K165&lt;&gt;"Oui",0,IF(COUNTIF($L165:$L165,"Oui")=0,$D165-SUM($T165:W165),ROUND($D165/COUNTIF($G165:$L165,"Oui"),2))),IF($F165="Montants convenus",IF(K165="Oui",Q165,0),"")))</f>
      </c>
      <c r="Y165" s="87" t="str">
        <f>IF(COUNTIF($A165:$S165,"&lt;&gt;")=0,"",IF($F165="À parts égales entre participants",IF(L165&lt;&gt;"Oui",0,IF(0=0,$D165-SUM($T165:X165),ROUND($D165/COUNTIF($G165:$L165,"Oui"),2))),IF($F165="Montants convenus",IF(L165="Oui",R165,0),"")))</f>
      </c>
      <c r="Z165" s="81" t="str">
        <f>IF(COUNTIF($A165:$S165,"&lt;&gt;")=0,"",IF(OR($D165="",$D165&lt;=0),"Saisissez un montant supérieur à zéro.",IF($E165="","Sélectionnez la personne qui a payé.",IF(COUNTIF($G165:$L165,"Oui")=0,"Sélectionnez au moins une personne participante.",IF($F165="À parts égales entre participants","Vérifié",IF($F165="Montants convenus",IF(OR(AND(G165="Oui",M165=""),AND(H165="Oui",N165=""),AND(I165="Oui",O165=""),AND(J165="Oui",P165=""),AND(K165="Oui",Q165=""),AND(L165="Oui",R165="")),"Saisissez les montants convenus pour que leur somme corresponde à la dépense.",IF(ABS(SUM($M165:$R165))&lt;0.005,"Saisissez les montants convenus pour que leur somme corresponde à la dépense.",IF(SUM($M165:$R165)&lt;$D165-0.005,"Montant restant à répartir : "&amp;ROUND($D165-SUM($M165:$R165),2)&amp;".",IF(SUM($M165:$R165)&gt;$D165+0.005,"Montant réparti en trop : "&amp;ROUND(SUM($M165:$R165)-$D165,2)&amp;".","Vérifié")))),"Saisissez les montants convenus pour que leur somme corresponde à la dépense."))))))</f>
      </c>
    </row>
    <row r="166">
      <c r="A166" s="83"/>
      <c r="B166" s="57"/>
      <c r="C166" s="57"/>
      <c r="D166" s="85"/>
      <c r="E166" s="57"/>
      <c r="F166" s="57"/>
      <c r="G166" s="57"/>
      <c r="H166" s="57"/>
      <c r="I166" s="57"/>
      <c r="J166" s="57"/>
      <c r="K166" s="57"/>
      <c r="L166" s="57"/>
      <c r="M166" s="85"/>
      <c r="N166" s="85"/>
      <c r="O166" s="85"/>
      <c r="P166" s="85"/>
      <c r="Q166" s="85"/>
      <c r="R166" s="85"/>
      <c r="S166" s="57"/>
      <c r="T166" s="87" t="str">
        <f>IF(COUNTIF($A166:$S166,"&lt;&gt;")=0,"",IF($F166="À parts égales entre participants",IF(G166&lt;&gt;"Oui",0,IF(COUNTIF($H166:$L166,"Oui")=0,$D166-0,ROUND($D166/COUNTIF($G166:$L166,"Oui"),2))),IF($F166="Montants convenus",IF(G166="Oui",M166,0),"")))</f>
      </c>
      <c r="U166" s="87" t="str">
        <f>IF(COUNTIF($A166:$S166,"&lt;&gt;")=0,"",IF($F166="À parts égales entre participants",IF(H166&lt;&gt;"Oui",0,IF(COUNTIF($I166:$L166,"Oui")=0,$D166-SUM($T166:T166),ROUND($D166/COUNTIF($G166:$L166,"Oui"),2))),IF($F166="Montants convenus",IF(H166="Oui",N166,0),"")))</f>
      </c>
      <c r="V166" s="87" t="str">
        <f>IF(COUNTIF($A166:$S166,"&lt;&gt;")=0,"",IF($F166="À parts égales entre participants",IF(I166&lt;&gt;"Oui",0,IF(COUNTIF($J166:$L166,"Oui")=0,$D166-SUM($T166:U166),ROUND($D166/COUNTIF($G166:$L166,"Oui"),2))),IF($F166="Montants convenus",IF(I166="Oui",O166,0),"")))</f>
      </c>
      <c r="W166" s="87" t="str">
        <f>IF(COUNTIF($A166:$S166,"&lt;&gt;")=0,"",IF($F166="À parts égales entre participants",IF(J166&lt;&gt;"Oui",0,IF(COUNTIF($K166:$L166,"Oui")=0,$D166-SUM($T166:V166),ROUND($D166/COUNTIF($G166:$L166,"Oui"),2))),IF($F166="Montants convenus",IF(J166="Oui",P166,0),"")))</f>
      </c>
      <c r="X166" s="87" t="str">
        <f>IF(COUNTIF($A166:$S166,"&lt;&gt;")=0,"",IF($F166="À parts égales entre participants",IF(K166&lt;&gt;"Oui",0,IF(COUNTIF($L166:$L166,"Oui")=0,$D166-SUM($T166:W166),ROUND($D166/COUNTIF($G166:$L166,"Oui"),2))),IF($F166="Montants convenus",IF(K166="Oui",Q166,0),"")))</f>
      </c>
      <c r="Y166" s="87" t="str">
        <f>IF(COUNTIF($A166:$S166,"&lt;&gt;")=0,"",IF($F166="À parts égales entre participants",IF(L166&lt;&gt;"Oui",0,IF(0=0,$D166-SUM($T166:X166),ROUND($D166/COUNTIF($G166:$L166,"Oui"),2))),IF($F166="Montants convenus",IF(L166="Oui",R166,0),"")))</f>
      </c>
      <c r="Z166" s="81" t="str">
        <f>IF(COUNTIF($A166:$S166,"&lt;&gt;")=0,"",IF(OR($D166="",$D166&lt;=0),"Saisissez un montant supérieur à zéro.",IF($E166="","Sélectionnez la personne qui a payé.",IF(COUNTIF($G166:$L166,"Oui")=0,"Sélectionnez au moins une personne participante.",IF($F166="À parts égales entre participants","Vérifié",IF($F166="Montants convenus",IF(OR(AND(G166="Oui",M166=""),AND(H166="Oui",N166=""),AND(I166="Oui",O166=""),AND(J166="Oui",P166=""),AND(K166="Oui",Q166=""),AND(L166="Oui",R166="")),"Saisissez les montants convenus pour que leur somme corresponde à la dépense.",IF(ABS(SUM($M166:$R166))&lt;0.005,"Saisissez les montants convenus pour que leur somme corresponde à la dépense.",IF(SUM($M166:$R166)&lt;$D166-0.005,"Montant restant à répartir : "&amp;ROUND($D166-SUM($M166:$R166),2)&amp;".",IF(SUM($M166:$R166)&gt;$D166+0.005,"Montant réparti en trop : "&amp;ROUND(SUM($M166:$R166)-$D166,2)&amp;".","Vérifié")))),"Saisissez les montants convenus pour que leur somme corresponde à la dépense."))))))</f>
      </c>
    </row>
    <row r="167">
      <c r="A167" s="83"/>
      <c r="B167" s="57"/>
      <c r="C167" s="57"/>
      <c r="D167" s="85"/>
      <c r="E167" s="57"/>
      <c r="F167" s="57"/>
      <c r="G167" s="57"/>
      <c r="H167" s="57"/>
      <c r="I167" s="57"/>
      <c r="J167" s="57"/>
      <c r="K167" s="57"/>
      <c r="L167" s="57"/>
      <c r="M167" s="85"/>
      <c r="N167" s="85"/>
      <c r="O167" s="85"/>
      <c r="P167" s="85"/>
      <c r="Q167" s="85"/>
      <c r="R167" s="85"/>
      <c r="S167" s="57"/>
      <c r="T167" s="87" t="str">
        <f>IF(COUNTIF($A167:$S167,"&lt;&gt;")=0,"",IF($F167="À parts égales entre participants",IF(G167&lt;&gt;"Oui",0,IF(COUNTIF($H167:$L167,"Oui")=0,$D167-0,ROUND($D167/COUNTIF($G167:$L167,"Oui"),2))),IF($F167="Montants convenus",IF(G167="Oui",M167,0),"")))</f>
      </c>
      <c r="U167" s="87" t="str">
        <f>IF(COUNTIF($A167:$S167,"&lt;&gt;")=0,"",IF($F167="À parts égales entre participants",IF(H167&lt;&gt;"Oui",0,IF(COUNTIF($I167:$L167,"Oui")=0,$D167-SUM($T167:T167),ROUND($D167/COUNTIF($G167:$L167,"Oui"),2))),IF($F167="Montants convenus",IF(H167="Oui",N167,0),"")))</f>
      </c>
      <c r="V167" s="87" t="str">
        <f>IF(COUNTIF($A167:$S167,"&lt;&gt;")=0,"",IF($F167="À parts égales entre participants",IF(I167&lt;&gt;"Oui",0,IF(COUNTIF($J167:$L167,"Oui")=0,$D167-SUM($T167:U167),ROUND($D167/COUNTIF($G167:$L167,"Oui"),2))),IF($F167="Montants convenus",IF(I167="Oui",O167,0),"")))</f>
      </c>
      <c r="W167" s="87" t="str">
        <f>IF(COUNTIF($A167:$S167,"&lt;&gt;")=0,"",IF($F167="À parts égales entre participants",IF(J167&lt;&gt;"Oui",0,IF(COUNTIF($K167:$L167,"Oui")=0,$D167-SUM($T167:V167),ROUND($D167/COUNTIF($G167:$L167,"Oui"),2))),IF($F167="Montants convenus",IF(J167="Oui",P167,0),"")))</f>
      </c>
      <c r="X167" s="87" t="str">
        <f>IF(COUNTIF($A167:$S167,"&lt;&gt;")=0,"",IF($F167="À parts égales entre participants",IF(K167&lt;&gt;"Oui",0,IF(COUNTIF($L167:$L167,"Oui")=0,$D167-SUM($T167:W167),ROUND($D167/COUNTIF($G167:$L167,"Oui"),2))),IF($F167="Montants convenus",IF(K167="Oui",Q167,0),"")))</f>
      </c>
      <c r="Y167" s="87" t="str">
        <f>IF(COUNTIF($A167:$S167,"&lt;&gt;")=0,"",IF($F167="À parts égales entre participants",IF(L167&lt;&gt;"Oui",0,IF(0=0,$D167-SUM($T167:X167),ROUND($D167/COUNTIF($G167:$L167,"Oui"),2))),IF($F167="Montants convenus",IF(L167="Oui",R167,0),"")))</f>
      </c>
      <c r="Z167" s="81" t="str">
        <f>IF(COUNTIF($A167:$S167,"&lt;&gt;")=0,"",IF(OR($D167="",$D167&lt;=0),"Saisissez un montant supérieur à zéro.",IF($E167="","Sélectionnez la personne qui a payé.",IF(COUNTIF($G167:$L167,"Oui")=0,"Sélectionnez au moins une personne participante.",IF($F167="À parts égales entre participants","Vérifié",IF($F167="Montants convenus",IF(OR(AND(G167="Oui",M167=""),AND(H167="Oui",N167=""),AND(I167="Oui",O167=""),AND(J167="Oui",P167=""),AND(K167="Oui",Q167=""),AND(L167="Oui",R167="")),"Saisissez les montants convenus pour que leur somme corresponde à la dépense.",IF(ABS(SUM($M167:$R167))&lt;0.005,"Saisissez les montants convenus pour que leur somme corresponde à la dépense.",IF(SUM($M167:$R167)&lt;$D167-0.005,"Montant restant à répartir : "&amp;ROUND($D167-SUM($M167:$R167),2)&amp;".",IF(SUM($M167:$R167)&gt;$D167+0.005,"Montant réparti en trop : "&amp;ROUND(SUM($M167:$R167)-$D167,2)&amp;".","Vérifié")))),"Saisissez les montants convenus pour que leur somme corresponde à la dépense."))))))</f>
      </c>
    </row>
    <row r="168">
      <c r="A168" s="83"/>
      <c r="B168" s="57"/>
      <c r="C168" s="57"/>
      <c r="D168" s="85"/>
      <c r="E168" s="57"/>
      <c r="F168" s="57"/>
      <c r="G168" s="57"/>
      <c r="H168" s="57"/>
      <c r="I168" s="57"/>
      <c r="J168" s="57"/>
      <c r="K168" s="57"/>
      <c r="L168" s="57"/>
      <c r="M168" s="85"/>
      <c r="N168" s="85"/>
      <c r="O168" s="85"/>
      <c r="P168" s="85"/>
      <c r="Q168" s="85"/>
      <c r="R168" s="85"/>
      <c r="S168" s="57"/>
      <c r="T168" s="87" t="str">
        <f>IF(COUNTIF($A168:$S168,"&lt;&gt;")=0,"",IF($F168="À parts égales entre participants",IF(G168&lt;&gt;"Oui",0,IF(COUNTIF($H168:$L168,"Oui")=0,$D168-0,ROUND($D168/COUNTIF($G168:$L168,"Oui"),2))),IF($F168="Montants convenus",IF(G168="Oui",M168,0),"")))</f>
      </c>
      <c r="U168" s="87" t="str">
        <f>IF(COUNTIF($A168:$S168,"&lt;&gt;")=0,"",IF($F168="À parts égales entre participants",IF(H168&lt;&gt;"Oui",0,IF(COUNTIF($I168:$L168,"Oui")=0,$D168-SUM($T168:T168),ROUND($D168/COUNTIF($G168:$L168,"Oui"),2))),IF($F168="Montants convenus",IF(H168="Oui",N168,0),"")))</f>
      </c>
      <c r="V168" s="87" t="str">
        <f>IF(COUNTIF($A168:$S168,"&lt;&gt;")=0,"",IF($F168="À parts égales entre participants",IF(I168&lt;&gt;"Oui",0,IF(COUNTIF($J168:$L168,"Oui")=0,$D168-SUM($T168:U168),ROUND($D168/COUNTIF($G168:$L168,"Oui"),2))),IF($F168="Montants convenus",IF(I168="Oui",O168,0),"")))</f>
      </c>
      <c r="W168" s="87" t="str">
        <f>IF(COUNTIF($A168:$S168,"&lt;&gt;")=0,"",IF($F168="À parts égales entre participants",IF(J168&lt;&gt;"Oui",0,IF(COUNTIF($K168:$L168,"Oui")=0,$D168-SUM($T168:V168),ROUND($D168/COUNTIF($G168:$L168,"Oui"),2))),IF($F168="Montants convenus",IF(J168="Oui",P168,0),"")))</f>
      </c>
      <c r="X168" s="87" t="str">
        <f>IF(COUNTIF($A168:$S168,"&lt;&gt;")=0,"",IF($F168="À parts égales entre participants",IF(K168&lt;&gt;"Oui",0,IF(COUNTIF($L168:$L168,"Oui")=0,$D168-SUM($T168:W168),ROUND($D168/COUNTIF($G168:$L168,"Oui"),2))),IF($F168="Montants convenus",IF(K168="Oui",Q168,0),"")))</f>
      </c>
      <c r="Y168" s="87" t="str">
        <f>IF(COUNTIF($A168:$S168,"&lt;&gt;")=0,"",IF($F168="À parts égales entre participants",IF(L168&lt;&gt;"Oui",0,IF(0=0,$D168-SUM($T168:X168),ROUND($D168/COUNTIF($G168:$L168,"Oui"),2))),IF($F168="Montants convenus",IF(L168="Oui",R168,0),"")))</f>
      </c>
      <c r="Z168" s="81" t="str">
        <f>IF(COUNTIF($A168:$S168,"&lt;&gt;")=0,"",IF(OR($D168="",$D168&lt;=0),"Saisissez un montant supérieur à zéro.",IF($E168="","Sélectionnez la personne qui a payé.",IF(COUNTIF($G168:$L168,"Oui")=0,"Sélectionnez au moins une personne participante.",IF($F168="À parts égales entre participants","Vérifié",IF($F168="Montants convenus",IF(OR(AND(G168="Oui",M168=""),AND(H168="Oui",N168=""),AND(I168="Oui",O168=""),AND(J168="Oui",P168=""),AND(K168="Oui",Q168=""),AND(L168="Oui",R168="")),"Saisissez les montants convenus pour que leur somme corresponde à la dépense.",IF(ABS(SUM($M168:$R168))&lt;0.005,"Saisissez les montants convenus pour que leur somme corresponde à la dépense.",IF(SUM($M168:$R168)&lt;$D168-0.005,"Montant restant à répartir : "&amp;ROUND($D168-SUM($M168:$R168),2)&amp;".",IF(SUM($M168:$R168)&gt;$D168+0.005,"Montant réparti en trop : "&amp;ROUND(SUM($M168:$R168)-$D168,2)&amp;".","Vérifié")))),"Saisissez les montants convenus pour que leur somme corresponde à la dépense."))))))</f>
      </c>
    </row>
    <row r="169">
      <c r="A169" s="83"/>
      <c r="B169" s="57"/>
      <c r="C169" s="57"/>
      <c r="D169" s="85"/>
      <c r="E169" s="57"/>
      <c r="F169" s="57"/>
      <c r="G169" s="57"/>
      <c r="H169" s="57"/>
      <c r="I169" s="57"/>
      <c r="J169" s="57"/>
      <c r="K169" s="57"/>
      <c r="L169" s="57"/>
      <c r="M169" s="85"/>
      <c r="N169" s="85"/>
      <c r="O169" s="85"/>
      <c r="P169" s="85"/>
      <c r="Q169" s="85"/>
      <c r="R169" s="85"/>
      <c r="S169" s="57"/>
      <c r="T169" s="87" t="str">
        <f>IF(COUNTIF($A169:$S169,"&lt;&gt;")=0,"",IF($F169="À parts égales entre participants",IF(G169&lt;&gt;"Oui",0,IF(COUNTIF($H169:$L169,"Oui")=0,$D169-0,ROUND($D169/COUNTIF($G169:$L169,"Oui"),2))),IF($F169="Montants convenus",IF(G169="Oui",M169,0),"")))</f>
      </c>
      <c r="U169" s="87" t="str">
        <f>IF(COUNTIF($A169:$S169,"&lt;&gt;")=0,"",IF($F169="À parts égales entre participants",IF(H169&lt;&gt;"Oui",0,IF(COUNTIF($I169:$L169,"Oui")=0,$D169-SUM($T169:T169),ROUND($D169/COUNTIF($G169:$L169,"Oui"),2))),IF($F169="Montants convenus",IF(H169="Oui",N169,0),"")))</f>
      </c>
      <c r="V169" s="87" t="str">
        <f>IF(COUNTIF($A169:$S169,"&lt;&gt;")=0,"",IF($F169="À parts égales entre participants",IF(I169&lt;&gt;"Oui",0,IF(COUNTIF($J169:$L169,"Oui")=0,$D169-SUM($T169:U169),ROUND($D169/COUNTIF($G169:$L169,"Oui"),2))),IF($F169="Montants convenus",IF(I169="Oui",O169,0),"")))</f>
      </c>
      <c r="W169" s="87" t="str">
        <f>IF(COUNTIF($A169:$S169,"&lt;&gt;")=0,"",IF($F169="À parts égales entre participants",IF(J169&lt;&gt;"Oui",0,IF(COUNTIF($K169:$L169,"Oui")=0,$D169-SUM($T169:V169),ROUND($D169/COUNTIF($G169:$L169,"Oui"),2))),IF($F169="Montants convenus",IF(J169="Oui",P169,0),"")))</f>
      </c>
      <c r="X169" s="87" t="str">
        <f>IF(COUNTIF($A169:$S169,"&lt;&gt;")=0,"",IF($F169="À parts égales entre participants",IF(K169&lt;&gt;"Oui",0,IF(COUNTIF($L169:$L169,"Oui")=0,$D169-SUM($T169:W169),ROUND($D169/COUNTIF($G169:$L169,"Oui"),2))),IF($F169="Montants convenus",IF(K169="Oui",Q169,0),"")))</f>
      </c>
      <c r="Y169" s="87" t="str">
        <f>IF(COUNTIF($A169:$S169,"&lt;&gt;")=0,"",IF($F169="À parts égales entre participants",IF(L169&lt;&gt;"Oui",0,IF(0=0,$D169-SUM($T169:X169),ROUND($D169/COUNTIF($G169:$L169,"Oui"),2))),IF($F169="Montants convenus",IF(L169="Oui",R169,0),"")))</f>
      </c>
      <c r="Z169" s="81" t="str">
        <f>IF(COUNTIF($A169:$S169,"&lt;&gt;")=0,"",IF(OR($D169="",$D169&lt;=0),"Saisissez un montant supérieur à zéro.",IF($E169="","Sélectionnez la personne qui a payé.",IF(COUNTIF($G169:$L169,"Oui")=0,"Sélectionnez au moins une personne participante.",IF($F169="À parts égales entre participants","Vérifié",IF($F169="Montants convenus",IF(OR(AND(G169="Oui",M169=""),AND(H169="Oui",N169=""),AND(I169="Oui",O169=""),AND(J169="Oui",P169=""),AND(K169="Oui",Q169=""),AND(L169="Oui",R169="")),"Saisissez les montants convenus pour que leur somme corresponde à la dépense.",IF(ABS(SUM($M169:$R169))&lt;0.005,"Saisissez les montants convenus pour que leur somme corresponde à la dépense.",IF(SUM($M169:$R169)&lt;$D169-0.005,"Montant restant à répartir : "&amp;ROUND($D169-SUM($M169:$R169),2)&amp;".",IF(SUM($M169:$R169)&gt;$D169+0.005,"Montant réparti en trop : "&amp;ROUND(SUM($M169:$R169)-$D169,2)&amp;".","Vérifié")))),"Saisissez les montants convenus pour que leur somme corresponde à la dépense."))))))</f>
      </c>
    </row>
    <row r="170">
      <c r="A170" s="83"/>
      <c r="B170" s="57"/>
      <c r="C170" s="57"/>
      <c r="D170" s="85"/>
      <c r="E170" s="57"/>
      <c r="F170" s="57"/>
      <c r="G170" s="57"/>
      <c r="H170" s="57"/>
      <c r="I170" s="57"/>
      <c r="J170" s="57"/>
      <c r="K170" s="57"/>
      <c r="L170" s="57"/>
      <c r="M170" s="85"/>
      <c r="N170" s="85"/>
      <c r="O170" s="85"/>
      <c r="P170" s="85"/>
      <c r="Q170" s="85"/>
      <c r="R170" s="85"/>
      <c r="S170" s="57"/>
      <c r="T170" s="87" t="str">
        <f>IF(COUNTIF($A170:$S170,"&lt;&gt;")=0,"",IF($F170="À parts égales entre participants",IF(G170&lt;&gt;"Oui",0,IF(COUNTIF($H170:$L170,"Oui")=0,$D170-0,ROUND($D170/COUNTIF($G170:$L170,"Oui"),2))),IF($F170="Montants convenus",IF(G170="Oui",M170,0),"")))</f>
      </c>
      <c r="U170" s="87" t="str">
        <f>IF(COUNTIF($A170:$S170,"&lt;&gt;")=0,"",IF($F170="À parts égales entre participants",IF(H170&lt;&gt;"Oui",0,IF(COUNTIF($I170:$L170,"Oui")=0,$D170-SUM($T170:T170),ROUND($D170/COUNTIF($G170:$L170,"Oui"),2))),IF($F170="Montants convenus",IF(H170="Oui",N170,0),"")))</f>
      </c>
      <c r="V170" s="87" t="str">
        <f>IF(COUNTIF($A170:$S170,"&lt;&gt;")=0,"",IF($F170="À parts égales entre participants",IF(I170&lt;&gt;"Oui",0,IF(COUNTIF($J170:$L170,"Oui")=0,$D170-SUM($T170:U170),ROUND($D170/COUNTIF($G170:$L170,"Oui"),2))),IF($F170="Montants convenus",IF(I170="Oui",O170,0),"")))</f>
      </c>
      <c r="W170" s="87" t="str">
        <f>IF(COUNTIF($A170:$S170,"&lt;&gt;")=0,"",IF($F170="À parts égales entre participants",IF(J170&lt;&gt;"Oui",0,IF(COUNTIF($K170:$L170,"Oui")=0,$D170-SUM($T170:V170),ROUND($D170/COUNTIF($G170:$L170,"Oui"),2))),IF($F170="Montants convenus",IF(J170="Oui",P170,0),"")))</f>
      </c>
      <c r="X170" s="87" t="str">
        <f>IF(COUNTIF($A170:$S170,"&lt;&gt;")=0,"",IF($F170="À parts égales entre participants",IF(K170&lt;&gt;"Oui",0,IF(COUNTIF($L170:$L170,"Oui")=0,$D170-SUM($T170:W170),ROUND($D170/COUNTIF($G170:$L170,"Oui"),2))),IF($F170="Montants convenus",IF(K170="Oui",Q170,0),"")))</f>
      </c>
      <c r="Y170" s="87" t="str">
        <f>IF(COUNTIF($A170:$S170,"&lt;&gt;")=0,"",IF($F170="À parts égales entre participants",IF(L170&lt;&gt;"Oui",0,IF(0=0,$D170-SUM($T170:X170),ROUND($D170/COUNTIF($G170:$L170,"Oui"),2))),IF($F170="Montants convenus",IF(L170="Oui",R170,0),"")))</f>
      </c>
      <c r="Z170" s="81" t="str">
        <f>IF(COUNTIF($A170:$S170,"&lt;&gt;")=0,"",IF(OR($D170="",$D170&lt;=0),"Saisissez un montant supérieur à zéro.",IF($E170="","Sélectionnez la personne qui a payé.",IF(COUNTIF($G170:$L170,"Oui")=0,"Sélectionnez au moins une personne participante.",IF($F170="À parts égales entre participants","Vérifié",IF($F170="Montants convenus",IF(OR(AND(G170="Oui",M170=""),AND(H170="Oui",N170=""),AND(I170="Oui",O170=""),AND(J170="Oui",P170=""),AND(K170="Oui",Q170=""),AND(L170="Oui",R170="")),"Saisissez les montants convenus pour que leur somme corresponde à la dépense.",IF(ABS(SUM($M170:$R170))&lt;0.005,"Saisissez les montants convenus pour que leur somme corresponde à la dépense.",IF(SUM($M170:$R170)&lt;$D170-0.005,"Montant restant à répartir : "&amp;ROUND($D170-SUM($M170:$R170),2)&amp;".",IF(SUM($M170:$R170)&gt;$D170+0.005,"Montant réparti en trop : "&amp;ROUND(SUM($M170:$R170)-$D170,2)&amp;".","Vérifié")))),"Saisissez les montants convenus pour que leur somme corresponde à la dépense."))))))</f>
      </c>
    </row>
    <row r="171">
      <c r="A171" s="83"/>
      <c r="B171" s="57"/>
      <c r="C171" s="57"/>
      <c r="D171" s="85"/>
      <c r="E171" s="57"/>
      <c r="F171" s="57"/>
      <c r="G171" s="57"/>
      <c r="H171" s="57"/>
      <c r="I171" s="57"/>
      <c r="J171" s="57"/>
      <c r="K171" s="57"/>
      <c r="L171" s="57"/>
      <c r="M171" s="85"/>
      <c r="N171" s="85"/>
      <c r="O171" s="85"/>
      <c r="P171" s="85"/>
      <c r="Q171" s="85"/>
      <c r="R171" s="85"/>
      <c r="S171" s="57"/>
      <c r="T171" s="87" t="str">
        <f>IF(COUNTIF($A171:$S171,"&lt;&gt;")=0,"",IF($F171="À parts égales entre participants",IF(G171&lt;&gt;"Oui",0,IF(COUNTIF($H171:$L171,"Oui")=0,$D171-0,ROUND($D171/COUNTIF($G171:$L171,"Oui"),2))),IF($F171="Montants convenus",IF(G171="Oui",M171,0),"")))</f>
      </c>
      <c r="U171" s="87" t="str">
        <f>IF(COUNTIF($A171:$S171,"&lt;&gt;")=0,"",IF($F171="À parts égales entre participants",IF(H171&lt;&gt;"Oui",0,IF(COUNTIF($I171:$L171,"Oui")=0,$D171-SUM($T171:T171),ROUND($D171/COUNTIF($G171:$L171,"Oui"),2))),IF($F171="Montants convenus",IF(H171="Oui",N171,0),"")))</f>
      </c>
      <c r="V171" s="87" t="str">
        <f>IF(COUNTIF($A171:$S171,"&lt;&gt;")=0,"",IF($F171="À parts égales entre participants",IF(I171&lt;&gt;"Oui",0,IF(COUNTIF($J171:$L171,"Oui")=0,$D171-SUM($T171:U171),ROUND($D171/COUNTIF($G171:$L171,"Oui"),2))),IF($F171="Montants convenus",IF(I171="Oui",O171,0),"")))</f>
      </c>
      <c r="W171" s="87" t="str">
        <f>IF(COUNTIF($A171:$S171,"&lt;&gt;")=0,"",IF($F171="À parts égales entre participants",IF(J171&lt;&gt;"Oui",0,IF(COUNTIF($K171:$L171,"Oui")=0,$D171-SUM($T171:V171),ROUND($D171/COUNTIF($G171:$L171,"Oui"),2))),IF($F171="Montants convenus",IF(J171="Oui",P171,0),"")))</f>
      </c>
      <c r="X171" s="87" t="str">
        <f>IF(COUNTIF($A171:$S171,"&lt;&gt;")=0,"",IF($F171="À parts égales entre participants",IF(K171&lt;&gt;"Oui",0,IF(COUNTIF($L171:$L171,"Oui")=0,$D171-SUM($T171:W171),ROUND($D171/COUNTIF($G171:$L171,"Oui"),2))),IF($F171="Montants convenus",IF(K171="Oui",Q171,0),"")))</f>
      </c>
      <c r="Y171" s="87" t="str">
        <f>IF(COUNTIF($A171:$S171,"&lt;&gt;")=0,"",IF($F171="À parts égales entre participants",IF(L171&lt;&gt;"Oui",0,IF(0=0,$D171-SUM($T171:X171),ROUND($D171/COUNTIF($G171:$L171,"Oui"),2))),IF($F171="Montants convenus",IF(L171="Oui",R171,0),"")))</f>
      </c>
      <c r="Z171" s="81" t="str">
        <f>IF(COUNTIF($A171:$S171,"&lt;&gt;")=0,"",IF(OR($D171="",$D171&lt;=0),"Saisissez un montant supérieur à zéro.",IF($E171="","Sélectionnez la personne qui a payé.",IF(COUNTIF($G171:$L171,"Oui")=0,"Sélectionnez au moins une personne participante.",IF($F171="À parts égales entre participants","Vérifié",IF($F171="Montants convenus",IF(OR(AND(G171="Oui",M171=""),AND(H171="Oui",N171=""),AND(I171="Oui",O171=""),AND(J171="Oui",P171=""),AND(K171="Oui",Q171=""),AND(L171="Oui",R171="")),"Saisissez les montants convenus pour que leur somme corresponde à la dépense.",IF(ABS(SUM($M171:$R171))&lt;0.005,"Saisissez les montants convenus pour que leur somme corresponde à la dépense.",IF(SUM($M171:$R171)&lt;$D171-0.005,"Montant restant à répartir : "&amp;ROUND($D171-SUM($M171:$R171),2)&amp;".",IF(SUM($M171:$R171)&gt;$D171+0.005,"Montant réparti en trop : "&amp;ROUND(SUM($M171:$R171)-$D171,2)&amp;".","Vérifié")))),"Saisissez les montants convenus pour que leur somme corresponde à la dépense."))))))</f>
      </c>
    </row>
    <row r="172">
      <c r="A172" s="83"/>
      <c r="B172" s="57"/>
      <c r="C172" s="57"/>
      <c r="D172" s="85"/>
      <c r="E172" s="57"/>
      <c r="F172" s="57"/>
      <c r="G172" s="57"/>
      <c r="H172" s="57"/>
      <c r="I172" s="57"/>
      <c r="J172" s="57"/>
      <c r="K172" s="57"/>
      <c r="L172" s="57"/>
      <c r="M172" s="85"/>
      <c r="N172" s="85"/>
      <c r="O172" s="85"/>
      <c r="P172" s="85"/>
      <c r="Q172" s="85"/>
      <c r="R172" s="85"/>
      <c r="S172" s="57"/>
      <c r="T172" s="87" t="str">
        <f>IF(COUNTIF($A172:$S172,"&lt;&gt;")=0,"",IF($F172="À parts égales entre participants",IF(G172&lt;&gt;"Oui",0,IF(COUNTIF($H172:$L172,"Oui")=0,$D172-0,ROUND($D172/COUNTIF($G172:$L172,"Oui"),2))),IF($F172="Montants convenus",IF(G172="Oui",M172,0),"")))</f>
      </c>
      <c r="U172" s="87" t="str">
        <f>IF(COUNTIF($A172:$S172,"&lt;&gt;")=0,"",IF($F172="À parts égales entre participants",IF(H172&lt;&gt;"Oui",0,IF(COUNTIF($I172:$L172,"Oui")=0,$D172-SUM($T172:T172),ROUND($D172/COUNTIF($G172:$L172,"Oui"),2))),IF($F172="Montants convenus",IF(H172="Oui",N172,0),"")))</f>
      </c>
      <c r="V172" s="87" t="str">
        <f>IF(COUNTIF($A172:$S172,"&lt;&gt;")=0,"",IF($F172="À parts égales entre participants",IF(I172&lt;&gt;"Oui",0,IF(COUNTIF($J172:$L172,"Oui")=0,$D172-SUM($T172:U172),ROUND($D172/COUNTIF($G172:$L172,"Oui"),2))),IF($F172="Montants convenus",IF(I172="Oui",O172,0),"")))</f>
      </c>
      <c r="W172" s="87" t="str">
        <f>IF(COUNTIF($A172:$S172,"&lt;&gt;")=0,"",IF($F172="À parts égales entre participants",IF(J172&lt;&gt;"Oui",0,IF(COUNTIF($K172:$L172,"Oui")=0,$D172-SUM($T172:V172),ROUND($D172/COUNTIF($G172:$L172,"Oui"),2))),IF($F172="Montants convenus",IF(J172="Oui",P172,0),"")))</f>
      </c>
      <c r="X172" s="87" t="str">
        <f>IF(COUNTIF($A172:$S172,"&lt;&gt;")=0,"",IF($F172="À parts égales entre participants",IF(K172&lt;&gt;"Oui",0,IF(COUNTIF($L172:$L172,"Oui")=0,$D172-SUM($T172:W172),ROUND($D172/COUNTIF($G172:$L172,"Oui"),2))),IF($F172="Montants convenus",IF(K172="Oui",Q172,0),"")))</f>
      </c>
      <c r="Y172" s="87" t="str">
        <f>IF(COUNTIF($A172:$S172,"&lt;&gt;")=0,"",IF($F172="À parts égales entre participants",IF(L172&lt;&gt;"Oui",0,IF(0=0,$D172-SUM($T172:X172),ROUND($D172/COUNTIF($G172:$L172,"Oui"),2))),IF($F172="Montants convenus",IF(L172="Oui",R172,0),"")))</f>
      </c>
      <c r="Z172" s="81" t="str">
        <f>IF(COUNTIF($A172:$S172,"&lt;&gt;")=0,"",IF(OR($D172="",$D172&lt;=0),"Saisissez un montant supérieur à zéro.",IF($E172="","Sélectionnez la personne qui a payé.",IF(COUNTIF($G172:$L172,"Oui")=0,"Sélectionnez au moins une personne participante.",IF($F172="À parts égales entre participants","Vérifié",IF($F172="Montants convenus",IF(OR(AND(G172="Oui",M172=""),AND(H172="Oui",N172=""),AND(I172="Oui",O172=""),AND(J172="Oui",P172=""),AND(K172="Oui",Q172=""),AND(L172="Oui",R172="")),"Saisissez les montants convenus pour que leur somme corresponde à la dépense.",IF(ABS(SUM($M172:$R172))&lt;0.005,"Saisissez les montants convenus pour que leur somme corresponde à la dépense.",IF(SUM($M172:$R172)&lt;$D172-0.005,"Montant restant à répartir : "&amp;ROUND($D172-SUM($M172:$R172),2)&amp;".",IF(SUM($M172:$R172)&gt;$D172+0.005,"Montant réparti en trop : "&amp;ROUND(SUM($M172:$R172)-$D172,2)&amp;".","Vérifié")))),"Saisissez les montants convenus pour que leur somme corresponde à la dépense."))))))</f>
      </c>
    </row>
    <row r="173">
      <c r="A173" s="83"/>
      <c r="B173" s="57"/>
      <c r="C173" s="57"/>
      <c r="D173" s="85"/>
      <c r="E173" s="57"/>
      <c r="F173" s="57"/>
      <c r="G173" s="57"/>
      <c r="H173" s="57"/>
      <c r="I173" s="57"/>
      <c r="J173" s="57"/>
      <c r="K173" s="57"/>
      <c r="L173" s="57"/>
      <c r="M173" s="85"/>
      <c r="N173" s="85"/>
      <c r="O173" s="85"/>
      <c r="P173" s="85"/>
      <c r="Q173" s="85"/>
      <c r="R173" s="85"/>
      <c r="S173" s="57"/>
      <c r="T173" s="87" t="str">
        <f>IF(COUNTIF($A173:$S173,"&lt;&gt;")=0,"",IF($F173="À parts égales entre participants",IF(G173&lt;&gt;"Oui",0,IF(COUNTIF($H173:$L173,"Oui")=0,$D173-0,ROUND($D173/COUNTIF($G173:$L173,"Oui"),2))),IF($F173="Montants convenus",IF(G173="Oui",M173,0),"")))</f>
      </c>
      <c r="U173" s="87" t="str">
        <f>IF(COUNTIF($A173:$S173,"&lt;&gt;")=0,"",IF($F173="À parts égales entre participants",IF(H173&lt;&gt;"Oui",0,IF(COUNTIF($I173:$L173,"Oui")=0,$D173-SUM($T173:T173),ROUND($D173/COUNTIF($G173:$L173,"Oui"),2))),IF($F173="Montants convenus",IF(H173="Oui",N173,0),"")))</f>
      </c>
      <c r="V173" s="87" t="str">
        <f>IF(COUNTIF($A173:$S173,"&lt;&gt;")=0,"",IF($F173="À parts égales entre participants",IF(I173&lt;&gt;"Oui",0,IF(COUNTIF($J173:$L173,"Oui")=0,$D173-SUM($T173:U173),ROUND($D173/COUNTIF($G173:$L173,"Oui"),2))),IF($F173="Montants convenus",IF(I173="Oui",O173,0),"")))</f>
      </c>
      <c r="W173" s="87" t="str">
        <f>IF(COUNTIF($A173:$S173,"&lt;&gt;")=0,"",IF($F173="À parts égales entre participants",IF(J173&lt;&gt;"Oui",0,IF(COUNTIF($K173:$L173,"Oui")=0,$D173-SUM($T173:V173),ROUND($D173/COUNTIF($G173:$L173,"Oui"),2))),IF($F173="Montants convenus",IF(J173="Oui",P173,0),"")))</f>
      </c>
      <c r="X173" s="87" t="str">
        <f>IF(COUNTIF($A173:$S173,"&lt;&gt;")=0,"",IF($F173="À parts égales entre participants",IF(K173&lt;&gt;"Oui",0,IF(COUNTIF($L173:$L173,"Oui")=0,$D173-SUM($T173:W173),ROUND($D173/COUNTIF($G173:$L173,"Oui"),2))),IF($F173="Montants convenus",IF(K173="Oui",Q173,0),"")))</f>
      </c>
      <c r="Y173" s="87" t="str">
        <f>IF(COUNTIF($A173:$S173,"&lt;&gt;")=0,"",IF($F173="À parts égales entre participants",IF(L173&lt;&gt;"Oui",0,IF(0=0,$D173-SUM($T173:X173),ROUND($D173/COUNTIF($G173:$L173,"Oui"),2))),IF($F173="Montants convenus",IF(L173="Oui",R173,0),"")))</f>
      </c>
      <c r="Z173" s="81" t="str">
        <f>IF(COUNTIF($A173:$S173,"&lt;&gt;")=0,"",IF(OR($D173="",$D173&lt;=0),"Saisissez un montant supérieur à zéro.",IF($E173="","Sélectionnez la personne qui a payé.",IF(COUNTIF($G173:$L173,"Oui")=0,"Sélectionnez au moins une personne participante.",IF($F173="À parts égales entre participants","Vérifié",IF($F173="Montants convenus",IF(OR(AND(G173="Oui",M173=""),AND(H173="Oui",N173=""),AND(I173="Oui",O173=""),AND(J173="Oui",P173=""),AND(K173="Oui",Q173=""),AND(L173="Oui",R173="")),"Saisissez les montants convenus pour que leur somme corresponde à la dépense.",IF(ABS(SUM($M173:$R173))&lt;0.005,"Saisissez les montants convenus pour que leur somme corresponde à la dépense.",IF(SUM($M173:$R173)&lt;$D173-0.005,"Montant restant à répartir : "&amp;ROUND($D173-SUM($M173:$R173),2)&amp;".",IF(SUM($M173:$R173)&gt;$D173+0.005,"Montant réparti en trop : "&amp;ROUND(SUM($M173:$R173)-$D173,2)&amp;".","Vérifié")))),"Saisissez les montants convenus pour que leur somme corresponde à la dépense."))))))</f>
      </c>
    </row>
    <row r="174">
      <c r="A174" s="83"/>
      <c r="B174" s="57"/>
      <c r="C174" s="57"/>
      <c r="D174" s="85"/>
      <c r="E174" s="57"/>
      <c r="F174" s="57"/>
      <c r="G174" s="57"/>
      <c r="H174" s="57"/>
      <c r="I174" s="57"/>
      <c r="J174" s="57"/>
      <c r="K174" s="57"/>
      <c r="L174" s="57"/>
      <c r="M174" s="85"/>
      <c r="N174" s="85"/>
      <c r="O174" s="85"/>
      <c r="P174" s="85"/>
      <c r="Q174" s="85"/>
      <c r="R174" s="85"/>
      <c r="S174" s="57"/>
      <c r="T174" s="87" t="str">
        <f>IF(COUNTIF($A174:$S174,"&lt;&gt;")=0,"",IF($F174="À parts égales entre participants",IF(G174&lt;&gt;"Oui",0,IF(COUNTIF($H174:$L174,"Oui")=0,$D174-0,ROUND($D174/COUNTIF($G174:$L174,"Oui"),2))),IF($F174="Montants convenus",IF(G174="Oui",M174,0),"")))</f>
      </c>
      <c r="U174" s="87" t="str">
        <f>IF(COUNTIF($A174:$S174,"&lt;&gt;")=0,"",IF($F174="À parts égales entre participants",IF(H174&lt;&gt;"Oui",0,IF(COUNTIF($I174:$L174,"Oui")=0,$D174-SUM($T174:T174),ROUND($D174/COUNTIF($G174:$L174,"Oui"),2))),IF($F174="Montants convenus",IF(H174="Oui",N174,0),"")))</f>
      </c>
      <c r="V174" s="87" t="str">
        <f>IF(COUNTIF($A174:$S174,"&lt;&gt;")=0,"",IF($F174="À parts égales entre participants",IF(I174&lt;&gt;"Oui",0,IF(COUNTIF($J174:$L174,"Oui")=0,$D174-SUM($T174:U174),ROUND($D174/COUNTIF($G174:$L174,"Oui"),2))),IF($F174="Montants convenus",IF(I174="Oui",O174,0),"")))</f>
      </c>
      <c r="W174" s="87" t="str">
        <f>IF(COUNTIF($A174:$S174,"&lt;&gt;")=0,"",IF($F174="À parts égales entre participants",IF(J174&lt;&gt;"Oui",0,IF(COUNTIF($K174:$L174,"Oui")=0,$D174-SUM($T174:V174),ROUND($D174/COUNTIF($G174:$L174,"Oui"),2))),IF($F174="Montants convenus",IF(J174="Oui",P174,0),"")))</f>
      </c>
      <c r="X174" s="87" t="str">
        <f>IF(COUNTIF($A174:$S174,"&lt;&gt;")=0,"",IF($F174="À parts égales entre participants",IF(K174&lt;&gt;"Oui",0,IF(COUNTIF($L174:$L174,"Oui")=0,$D174-SUM($T174:W174),ROUND($D174/COUNTIF($G174:$L174,"Oui"),2))),IF($F174="Montants convenus",IF(K174="Oui",Q174,0),"")))</f>
      </c>
      <c r="Y174" s="87" t="str">
        <f>IF(COUNTIF($A174:$S174,"&lt;&gt;")=0,"",IF($F174="À parts égales entre participants",IF(L174&lt;&gt;"Oui",0,IF(0=0,$D174-SUM($T174:X174),ROUND($D174/COUNTIF($G174:$L174,"Oui"),2))),IF($F174="Montants convenus",IF(L174="Oui",R174,0),"")))</f>
      </c>
      <c r="Z174" s="81" t="str">
        <f>IF(COUNTIF($A174:$S174,"&lt;&gt;")=0,"",IF(OR($D174="",$D174&lt;=0),"Saisissez un montant supérieur à zéro.",IF($E174="","Sélectionnez la personne qui a payé.",IF(COUNTIF($G174:$L174,"Oui")=0,"Sélectionnez au moins une personne participante.",IF($F174="À parts égales entre participants","Vérifié",IF($F174="Montants convenus",IF(OR(AND(G174="Oui",M174=""),AND(H174="Oui",N174=""),AND(I174="Oui",O174=""),AND(J174="Oui",P174=""),AND(K174="Oui",Q174=""),AND(L174="Oui",R174="")),"Saisissez les montants convenus pour que leur somme corresponde à la dépense.",IF(ABS(SUM($M174:$R174))&lt;0.005,"Saisissez les montants convenus pour que leur somme corresponde à la dépense.",IF(SUM($M174:$R174)&lt;$D174-0.005,"Montant restant à répartir : "&amp;ROUND($D174-SUM($M174:$R174),2)&amp;".",IF(SUM($M174:$R174)&gt;$D174+0.005,"Montant réparti en trop : "&amp;ROUND(SUM($M174:$R174)-$D174,2)&amp;".","Vérifié")))),"Saisissez les montants convenus pour que leur somme corresponde à la dépense."))))))</f>
      </c>
    </row>
    <row r="175">
      <c r="A175" s="83"/>
      <c r="B175" s="57"/>
      <c r="C175" s="57"/>
      <c r="D175" s="85"/>
      <c r="E175" s="57"/>
      <c r="F175" s="57"/>
      <c r="G175" s="57"/>
      <c r="H175" s="57"/>
      <c r="I175" s="57"/>
      <c r="J175" s="57"/>
      <c r="K175" s="57"/>
      <c r="L175" s="57"/>
      <c r="M175" s="85"/>
      <c r="N175" s="85"/>
      <c r="O175" s="85"/>
      <c r="P175" s="85"/>
      <c r="Q175" s="85"/>
      <c r="R175" s="85"/>
      <c r="S175" s="57"/>
      <c r="T175" s="87" t="str">
        <f>IF(COUNTIF($A175:$S175,"&lt;&gt;")=0,"",IF($F175="À parts égales entre participants",IF(G175&lt;&gt;"Oui",0,IF(COUNTIF($H175:$L175,"Oui")=0,$D175-0,ROUND($D175/COUNTIF($G175:$L175,"Oui"),2))),IF($F175="Montants convenus",IF(G175="Oui",M175,0),"")))</f>
      </c>
      <c r="U175" s="87" t="str">
        <f>IF(COUNTIF($A175:$S175,"&lt;&gt;")=0,"",IF($F175="À parts égales entre participants",IF(H175&lt;&gt;"Oui",0,IF(COUNTIF($I175:$L175,"Oui")=0,$D175-SUM($T175:T175),ROUND($D175/COUNTIF($G175:$L175,"Oui"),2))),IF($F175="Montants convenus",IF(H175="Oui",N175,0),"")))</f>
      </c>
      <c r="V175" s="87" t="str">
        <f>IF(COUNTIF($A175:$S175,"&lt;&gt;")=0,"",IF($F175="À parts égales entre participants",IF(I175&lt;&gt;"Oui",0,IF(COUNTIF($J175:$L175,"Oui")=0,$D175-SUM($T175:U175),ROUND($D175/COUNTIF($G175:$L175,"Oui"),2))),IF($F175="Montants convenus",IF(I175="Oui",O175,0),"")))</f>
      </c>
      <c r="W175" s="87" t="str">
        <f>IF(COUNTIF($A175:$S175,"&lt;&gt;")=0,"",IF($F175="À parts égales entre participants",IF(J175&lt;&gt;"Oui",0,IF(COUNTIF($K175:$L175,"Oui")=0,$D175-SUM($T175:V175),ROUND($D175/COUNTIF($G175:$L175,"Oui"),2))),IF($F175="Montants convenus",IF(J175="Oui",P175,0),"")))</f>
      </c>
      <c r="X175" s="87" t="str">
        <f>IF(COUNTIF($A175:$S175,"&lt;&gt;")=0,"",IF($F175="À parts égales entre participants",IF(K175&lt;&gt;"Oui",0,IF(COUNTIF($L175:$L175,"Oui")=0,$D175-SUM($T175:W175),ROUND($D175/COUNTIF($G175:$L175,"Oui"),2))),IF($F175="Montants convenus",IF(K175="Oui",Q175,0),"")))</f>
      </c>
      <c r="Y175" s="87" t="str">
        <f>IF(COUNTIF($A175:$S175,"&lt;&gt;")=0,"",IF($F175="À parts égales entre participants",IF(L175&lt;&gt;"Oui",0,IF(0=0,$D175-SUM($T175:X175),ROUND($D175/COUNTIF($G175:$L175,"Oui"),2))),IF($F175="Montants convenus",IF(L175="Oui",R175,0),"")))</f>
      </c>
      <c r="Z175" s="81" t="str">
        <f>IF(COUNTIF($A175:$S175,"&lt;&gt;")=0,"",IF(OR($D175="",$D175&lt;=0),"Saisissez un montant supérieur à zéro.",IF($E175="","Sélectionnez la personne qui a payé.",IF(COUNTIF($G175:$L175,"Oui")=0,"Sélectionnez au moins une personne participante.",IF($F175="À parts égales entre participants","Vérifié",IF($F175="Montants convenus",IF(OR(AND(G175="Oui",M175=""),AND(H175="Oui",N175=""),AND(I175="Oui",O175=""),AND(J175="Oui",P175=""),AND(K175="Oui",Q175=""),AND(L175="Oui",R175="")),"Saisissez les montants convenus pour que leur somme corresponde à la dépense.",IF(ABS(SUM($M175:$R175))&lt;0.005,"Saisissez les montants convenus pour que leur somme corresponde à la dépense.",IF(SUM($M175:$R175)&lt;$D175-0.005,"Montant restant à répartir : "&amp;ROUND($D175-SUM($M175:$R175),2)&amp;".",IF(SUM($M175:$R175)&gt;$D175+0.005,"Montant réparti en trop : "&amp;ROUND(SUM($M175:$R175)-$D175,2)&amp;".","Vérifié")))),"Saisissez les montants convenus pour que leur somme corresponde à la dépense."))))))</f>
      </c>
    </row>
    <row r="176">
      <c r="A176" s="83"/>
      <c r="B176" s="57"/>
      <c r="C176" s="57"/>
      <c r="D176" s="85"/>
      <c r="E176" s="57"/>
      <c r="F176" s="57"/>
      <c r="G176" s="57"/>
      <c r="H176" s="57"/>
      <c r="I176" s="57"/>
      <c r="J176" s="57"/>
      <c r="K176" s="57"/>
      <c r="L176" s="57"/>
      <c r="M176" s="85"/>
      <c r="N176" s="85"/>
      <c r="O176" s="85"/>
      <c r="P176" s="85"/>
      <c r="Q176" s="85"/>
      <c r="R176" s="85"/>
      <c r="S176" s="57"/>
      <c r="T176" s="87" t="str">
        <f>IF(COUNTIF($A176:$S176,"&lt;&gt;")=0,"",IF($F176="À parts égales entre participants",IF(G176&lt;&gt;"Oui",0,IF(COUNTIF($H176:$L176,"Oui")=0,$D176-0,ROUND($D176/COUNTIF($G176:$L176,"Oui"),2))),IF($F176="Montants convenus",IF(G176="Oui",M176,0),"")))</f>
      </c>
      <c r="U176" s="87" t="str">
        <f>IF(COUNTIF($A176:$S176,"&lt;&gt;")=0,"",IF($F176="À parts égales entre participants",IF(H176&lt;&gt;"Oui",0,IF(COUNTIF($I176:$L176,"Oui")=0,$D176-SUM($T176:T176),ROUND($D176/COUNTIF($G176:$L176,"Oui"),2))),IF($F176="Montants convenus",IF(H176="Oui",N176,0),"")))</f>
      </c>
      <c r="V176" s="87" t="str">
        <f>IF(COUNTIF($A176:$S176,"&lt;&gt;")=0,"",IF($F176="À parts égales entre participants",IF(I176&lt;&gt;"Oui",0,IF(COUNTIF($J176:$L176,"Oui")=0,$D176-SUM($T176:U176),ROUND($D176/COUNTIF($G176:$L176,"Oui"),2))),IF($F176="Montants convenus",IF(I176="Oui",O176,0),"")))</f>
      </c>
      <c r="W176" s="87" t="str">
        <f>IF(COUNTIF($A176:$S176,"&lt;&gt;")=0,"",IF($F176="À parts égales entre participants",IF(J176&lt;&gt;"Oui",0,IF(COUNTIF($K176:$L176,"Oui")=0,$D176-SUM($T176:V176),ROUND($D176/COUNTIF($G176:$L176,"Oui"),2))),IF($F176="Montants convenus",IF(J176="Oui",P176,0),"")))</f>
      </c>
      <c r="X176" s="87" t="str">
        <f>IF(COUNTIF($A176:$S176,"&lt;&gt;")=0,"",IF($F176="À parts égales entre participants",IF(K176&lt;&gt;"Oui",0,IF(COUNTIF($L176:$L176,"Oui")=0,$D176-SUM($T176:W176),ROUND($D176/COUNTIF($G176:$L176,"Oui"),2))),IF($F176="Montants convenus",IF(K176="Oui",Q176,0),"")))</f>
      </c>
      <c r="Y176" s="87" t="str">
        <f>IF(COUNTIF($A176:$S176,"&lt;&gt;")=0,"",IF($F176="À parts égales entre participants",IF(L176&lt;&gt;"Oui",0,IF(0=0,$D176-SUM($T176:X176),ROUND($D176/COUNTIF($G176:$L176,"Oui"),2))),IF($F176="Montants convenus",IF(L176="Oui",R176,0),"")))</f>
      </c>
      <c r="Z176" s="81" t="str">
        <f>IF(COUNTIF($A176:$S176,"&lt;&gt;")=0,"",IF(OR($D176="",$D176&lt;=0),"Saisissez un montant supérieur à zéro.",IF($E176="","Sélectionnez la personne qui a payé.",IF(COUNTIF($G176:$L176,"Oui")=0,"Sélectionnez au moins une personne participante.",IF($F176="À parts égales entre participants","Vérifié",IF($F176="Montants convenus",IF(OR(AND(G176="Oui",M176=""),AND(H176="Oui",N176=""),AND(I176="Oui",O176=""),AND(J176="Oui",P176=""),AND(K176="Oui",Q176=""),AND(L176="Oui",R176="")),"Saisissez les montants convenus pour que leur somme corresponde à la dépense.",IF(ABS(SUM($M176:$R176))&lt;0.005,"Saisissez les montants convenus pour que leur somme corresponde à la dépense.",IF(SUM($M176:$R176)&lt;$D176-0.005,"Montant restant à répartir : "&amp;ROUND($D176-SUM($M176:$R176),2)&amp;".",IF(SUM($M176:$R176)&gt;$D176+0.005,"Montant réparti en trop : "&amp;ROUND(SUM($M176:$R176)-$D176,2)&amp;".","Vérifié")))),"Saisissez les montants convenus pour que leur somme corresponde à la dépense."))))))</f>
      </c>
    </row>
    <row r="177">
      <c r="A177" s="83"/>
      <c r="B177" s="57"/>
      <c r="C177" s="57"/>
      <c r="D177" s="85"/>
      <c r="E177" s="57"/>
      <c r="F177" s="57"/>
      <c r="G177" s="57"/>
      <c r="H177" s="57"/>
      <c r="I177" s="57"/>
      <c r="J177" s="57"/>
      <c r="K177" s="57"/>
      <c r="L177" s="57"/>
      <c r="M177" s="85"/>
      <c r="N177" s="85"/>
      <c r="O177" s="85"/>
      <c r="P177" s="85"/>
      <c r="Q177" s="85"/>
      <c r="R177" s="85"/>
      <c r="S177" s="57"/>
      <c r="T177" s="87" t="str">
        <f>IF(COUNTIF($A177:$S177,"&lt;&gt;")=0,"",IF($F177="À parts égales entre participants",IF(G177&lt;&gt;"Oui",0,IF(COUNTIF($H177:$L177,"Oui")=0,$D177-0,ROUND($D177/COUNTIF($G177:$L177,"Oui"),2))),IF($F177="Montants convenus",IF(G177="Oui",M177,0),"")))</f>
      </c>
      <c r="U177" s="87" t="str">
        <f>IF(COUNTIF($A177:$S177,"&lt;&gt;")=0,"",IF($F177="À parts égales entre participants",IF(H177&lt;&gt;"Oui",0,IF(COUNTIF($I177:$L177,"Oui")=0,$D177-SUM($T177:T177),ROUND($D177/COUNTIF($G177:$L177,"Oui"),2))),IF($F177="Montants convenus",IF(H177="Oui",N177,0),"")))</f>
      </c>
      <c r="V177" s="87" t="str">
        <f>IF(COUNTIF($A177:$S177,"&lt;&gt;")=0,"",IF($F177="À parts égales entre participants",IF(I177&lt;&gt;"Oui",0,IF(COUNTIF($J177:$L177,"Oui")=0,$D177-SUM($T177:U177),ROUND($D177/COUNTIF($G177:$L177,"Oui"),2))),IF($F177="Montants convenus",IF(I177="Oui",O177,0),"")))</f>
      </c>
      <c r="W177" s="87" t="str">
        <f>IF(COUNTIF($A177:$S177,"&lt;&gt;")=0,"",IF($F177="À parts égales entre participants",IF(J177&lt;&gt;"Oui",0,IF(COUNTIF($K177:$L177,"Oui")=0,$D177-SUM($T177:V177),ROUND($D177/COUNTIF($G177:$L177,"Oui"),2))),IF($F177="Montants convenus",IF(J177="Oui",P177,0),"")))</f>
      </c>
      <c r="X177" s="87" t="str">
        <f>IF(COUNTIF($A177:$S177,"&lt;&gt;")=0,"",IF($F177="À parts égales entre participants",IF(K177&lt;&gt;"Oui",0,IF(COUNTIF($L177:$L177,"Oui")=0,$D177-SUM($T177:W177),ROUND($D177/COUNTIF($G177:$L177,"Oui"),2))),IF($F177="Montants convenus",IF(K177="Oui",Q177,0),"")))</f>
      </c>
      <c r="Y177" s="87" t="str">
        <f>IF(COUNTIF($A177:$S177,"&lt;&gt;")=0,"",IF($F177="À parts égales entre participants",IF(L177&lt;&gt;"Oui",0,IF(0=0,$D177-SUM($T177:X177),ROUND($D177/COUNTIF($G177:$L177,"Oui"),2))),IF($F177="Montants convenus",IF(L177="Oui",R177,0),"")))</f>
      </c>
      <c r="Z177" s="81" t="str">
        <f>IF(COUNTIF($A177:$S177,"&lt;&gt;")=0,"",IF(OR($D177="",$D177&lt;=0),"Saisissez un montant supérieur à zéro.",IF($E177="","Sélectionnez la personne qui a payé.",IF(COUNTIF($G177:$L177,"Oui")=0,"Sélectionnez au moins une personne participante.",IF($F177="À parts égales entre participants","Vérifié",IF($F177="Montants convenus",IF(OR(AND(G177="Oui",M177=""),AND(H177="Oui",N177=""),AND(I177="Oui",O177=""),AND(J177="Oui",P177=""),AND(K177="Oui",Q177=""),AND(L177="Oui",R177="")),"Saisissez les montants convenus pour que leur somme corresponde à la dépense.",IF(ABS(SUM($M177:$R177))&lt;0.005,"Saisissez les montants convenus pour que leur somme corresponde à la dépense.",IF(SUM($M177:$R177)&lt;$D177-0.005,"Montant restant à répartir : "&amp;ROUND($D177-SUM($M177:$R177),2)&amp;".",IF(SUM($M177:$R177)&gt;$D177+0.005,"Montant réparti en trop : "&amp;ROUND(SUM($M177:$R177)-$D177,2)&amp;".","Vérifié")))),"Saisissez les montants convenus pour que leur somme corresponde à la dépense."))))))</f>
      </c>
    </row>
    <row r="178">
      <c r="A178" s="83"/>
      <c r="B178" s="57"/>
      <c r="C178" s="57"/>
      <c r="D178" s="85"/>
      <c r="E178" s="57"/>
      <c r="F178" s="57"/>
      <c r="G178" s="57"/>
      <c r="H178" s="57"/>
      <c r="I178" s="57"/>
      <c r="J178" s="57"/>
      <c r="K178" s="57"/>
      <c r="L178" s="57"/>
      <c r="M178" s="85"/>
      <c r="N178" s="85"/>
      <c r="O178" s="85"/>
      <c r="P178" s="85"/>
      <c r="Q178" s="85"/>
      <c r="R178" s="85"/>
      <c r="S178" s="57"/>
      <c r="T178" s="87" t="str">
        <f>IF(COUNTIF($A178:$S178,"&lt;&gt;")=0,"",IF($F178="À parts égales entre participants",IF(G178&lt;&gt;"Oui",0,IF(COUNTIF($H178:$L178,"Oui")=0,$D178-0,ROUND($D178/COUNTIF($G178:$L178,"Oui"),2))),IF($F178="Montants convenus",IF(G178="Oui",M178,0),"")))</f>
      </c>
      <c r="U178" s="87" t="str">
        <f>IF(COUNTIF($A178:$S178,"&lt;&gt;")=0,"",IF($F178="À parts égales entre participants",IF(H178&lt;&gt;"Oui",0,IF(COUNTIF($I178:$L178,"Oui")=0,$D178-SUM($T178:T178),ROUND($D178/COUNTIF($G178:$L178,"Oui"),2))),IF($F178="Montants convenus",IF(H178="Oui",N178,0),"")))</f>
      </c>
      <c r="V178" s="87" t="str">
        <f>IF(COUNTIF($A178:$S178,"&lt;&gt;")=0,"",IF($F178="À parts égales entre participants",IF(I178&lt;&gt;"Oui",0,IF(COUNTIF($J178:$L178,"Oui")=0,$D178-SUM($T178:U178),ROUND($D178/COUNTIF($G178:$L178,"Oui"),2))),IF($F178="Montants convenus",IF(I178="Oui",O178,0),"")))</f>
      </c>
      <c r="W178" s="87" t="str">
        <f>IF(COUNTIF($A178:$S178,"&lt;&gt;")=0,"",IF($F178="À parts égales entre participants",IF(J178&lt;&gt;"Oui",0,IF(COUNTIF($K178:$L178,"Oui")=0,$D178-SUM($T178:V178),ROUND($D178/COUNTIF($G178:$L178,"Oui"),2))),IF($F178="Montants convenus",IF(J178="Oui",P178,0),"")))</f>
      </c>
      <c r="X178" s="87" t="str">
        <f>IF(COUNTIF($A178:$S178,"&lt;&gt;")=0,"",IF($F178="À parts égales entre participants",IF(K178&lt;&gt;"Oui",0,IF(COUNTIF($L178:$L178,"Oui")=0,$D178-SUM($T178:W178),ROUND($D178/COUNTIF($G178:$L178,"Oui"),2))),IF($F178="Montants convenus",IF(K178="Oui",Q178,0),"")))</f>
      </c>
      <c r="Y178" s="87" t="str">
        <f>IF(COUNTIF($A178:$S178,"&lt;&gt;")=0,"",IF($F178="À parts égales entre participants",IF(L178&lt;&gt;"Oui",0,IF(0=0,$D178-SUM($T178:X178),ROUND($D178/COUNTIF($G178:$L178,"Oui"),2))),IF($F178="Montants convenus",IF(L178="Oui",R178,0),"")))</f>
      </c>
      <c r="Z178" s="81" t="str">
        <f>IF(COUNTIF($A178:$S178,"&lt;&gt;")=0,"",IF(OR($D178="",$D178&lt;=0),"Saisissez un montant supérieur à zéro.",IF($E178="","Sélectionnez la personne qui a payé.",IF(COUNTIF($G178:$L178,"Oui")=0,"Sélectionnez au moins une personne participante.",IF($F178="À parts égales entre participants","Vérifié",IF($F178="Montants convenus",IF(OR(AND(G178="Oui",M178=""),AND(H178="Oui",N178=""),AND(I178="Oui",O178=""),AND(J178="Oui",P178=""),AND(K178="Oui",Q178=""),AND(L178="Oui",R178="")),"Saisissez les montants convenus pour que leur somme corresponde à la dépense.",IF(ABS(SUM($M178:$R178))&lt;0.005,"Saisissez les montants convenus pour que leur somme corresponde à la dépense.",IF(SUM($M178:$R178)&lt;$D178-0.005,"Montant restant à répartir : "&amp;ROUND($D178-SUM($M178:$R178),2)&amp;".",IF(SUM($M178:$R178)&gt;$D178+0.005,"Montant réparti en trop : "&amp;ROUND(SUM($M178:$R178)-$D178,2)&amp;".","Vérifié")))),"Saisissez les montants convenus pour que leur somme corresponde à la dépense."))))))</f>
      </c>
    </row>
    <row r="179">
      <c r="A179" s="83"/>
      <c r="B179" s="57"/>
      <c r="C179" s="57"/>
      <c r="D179" s="85"/>
      <c r="E179" s="57"/>
      <c r="F179" s="57"/>
      <c r="G179" s="57"/>
      <c r="H179" s="57"/>
      <c r="I179" s="57"/>
      <c r="J179" s="57"/>
      <c r="K179" s="57"/>
      <c r="L179" s="57"/>
      <c r="M179" s="85"/>
      <c r="N179" s="85"/>
      <c r="O179" s="85"/>
      <c r="P179" s="85"/>
      <c r="Q179" s="85"/>
      <c r="R179" s="85"/>
      <c r="S179" s="57"/>
      <c r="T179" s="87" t="str">
        <f>IF(COUNTIF($A179:$S179,"&lt;&gt;")=0,"",IF($F179="À parts égales entre participants",IF(G179&lt;&gt;"Oui",0,IF(COUNTIF($H179:$L179,"Oui")=0,$D179-0,ROUND($D179/COUNTIF($G179:$L179,"Oui"),2))),IF($F179="Montants convenus",IF(G179="Oui",M179,0),"")))</f>
      </c>
      <c r="U179" s="87" t="str">
        <f>IF(COUNTIF($A179:$S179,"&lt;&gt;")=0,"",IF($F179="À parts égales entre participants",IF(H179&lt;&gt;"Oui",0,IF(COUNTIF($I179:$L179,"Oui")=0,$D179-SUM($T179:T179),ROUND($D179/COUNTIF($G179:$L179,"Oui"),2))),IF($F179="Montants convenus",IF(H179="Oui",N179,0),"")))</f>
      </c>
      <c r="V179" s="87" t="str">
        <f>IF(COUNTIF($A179:$S179,"&lt;&gt;")=0,"",IF($F179="À parts égales entre participants",IF(I179&lt;&gt;"Oui",0,IF(COUNTIF($J179:$L179,"Oui")=0,$D179-SUM($T179:U179),ROUND($D179/COUNTIF($G179:$L179,"Oui"),2))),IF($F179="Montants convenus",IF(I179="Oui",O179,0),"")))</f>
      </c>
      <c r="W179" s="87" t="str">
        <f>IF(COUNTIF($A179:$S179,"&lt;&gt;")=0,"",IF($F179="À parts égales entre participants",IF(J179&lt;&gt;"Oui",0,IF(COUNTIF($K179:$L179,"Oui")=0,$D179-SUM($T179:V179),ROUND($D179/COUNTIF($G179:$L179,"Oui"),2))),IF($F179="Montants convenus",IF(J179="Oui",P179,0),"")))</f>
      </c>
      <c r="X179" s="87" t="str">
        <f>IF(COUNTIF($A179:$S179,"&lt;&gt;")=0,"",IF($F179="À parts égales entre participants",IF(K179&lt;&gt;"Oui",0,IF(COUNTIF($L179:$L179,"Oui")=0,$D179-SUM($T179:W179),ROUND($D179/COUNTIF($G179:$L179,"Oui"),2))),IF($F179="Montants convenus",IF(K179="Oui",Q179,0),"")))</f>
      </c>
      <c r="Y179" s="87" t="str">
        <f>IF(COUNTIF($A179:$S179,"&lt;&gt;")=0,"",IF($F179="À parts égales entre participants",IF(L179&lt;&gt;"Oui",0,IF(0=0,$D179-SUM($T179:X179),ROUND($D179/COUNTIF($G179:$L179,"Oui"),2))),IF($F179="Montants convenus",IF(L179="Oui",R179,0),"")))</f>
      </c>
      <c r="Z179" s="81" t="str">
        <f>IF(COUNTIF($A179:$S179,"&lt;&gt;")=0,"",IF(OR($D179="",$D179&lt;=0),"Saisissez un montant supérieur à zéro.",IF($E179="","Sélectionnez la personne qui a payé.",IF(COUNTIF($G179:$L179,"Oui")=0,"Sélectionnez au moins une personne participante.",IF($F179="À parts égales entre participants","Vérifié",IF($F179="Montants convenus",IF(OR(AND(G179="Oui",M179=""),AND(H179="Oui",N179=""),AND(I179="Oui",O179=""),AND(J179="Oui",P179=""),AND(K179="Oui",Q179=""),AND(L179="Oui",R179="")),"Saisissez les montants convenus pour que leur somme corresponde à la dépense.",IF(ABS(SUM($M179:$R179))&lt;0.005,"Saisissez les montants convenus pour que leur somme corresponde à la dépense.",IF(SUM($M179:$R179)&lt;$D179-0.005,"Montant restant à répartir : "&amp;ROUND($D179-SUM($M179:$R179),2)&amp;".",IF(SUM($M179:$R179)&gt;$D179+0.005,"Montant réparti en trop : "&amp;ROUND(SUM($M179:$R179)-$D179,2)&amp;".","Vérifié")))),"Saisissez les montants convenus pour que leur somme corresponde à la dépense."))))))</f>
      </c>
    </row>
    <row r="180">
      <c r="A180" s="83"/>
      <c r="B180" s="57"/>
      <c r="C180" s="57"/>
      <c r="D180" s="85"/>
      <c r="E180" s="57"/>
      <c r="F180" s="57"/>
      <c r="G180" s="57"/>
      <c r="H180" s="57"/>
      <c r="I180" s="57"/>
      <c r="J180" s="57"/>
      <c r="K180" s="57"/>
      <c r="L180" s="57"/>
      <c r="M180" s="85"/>
      <c r="N180" s="85"/>
      <c r="O180" s="85"/>
      <c r="P180" s="85"/>
      <c r="Q180" s="85"/>
      <c r="R180" s="85"/>
      <c r="S180" s="57"/>
      <c r="T180" s="87" t="str">
        <f>IF(COUNTIF($A180:$S180,"&lt;&gt;")=0,"",IF($F180="À parts égales entre participants",IF(G180&lt;&gt;"Oui",0,IF(COUNTIF($H180:$L180,"Oui")=0,$D180-0,ROUND($D180/COUNTIF($G180:$L180,"Oui"),2))),IF($F180="Montants convenus",IF(G180="Oui",M180,0),"")))</f>
      </c>
      <c r="U180" s="87" t="str">
        <f>IF(COUNTIF($A180:$S180,"&lt;&gt;")=0,"",IF($F180="À parts égales entre participants",IF(H180&lt;&gt;"Oui",0,IF(COUNTIF($I180:$L180,"Oui")=0,$D180-SUM($T180:T180),ROUND($D180/COUNTIF($G180:$L180,"Oui"),2))),IF($F180="Montants convenus",IF(H180="Oui",N180,0),"")))</f>
      </c>
      <c r="V180" s="87" t="str">
        <f>IF(COUNTIF($A180:$S180,"&lt;&gt;")=0,"",IF($F180="À parts égales entre participants",IF(I180&lt;&gt;"Oui",0,IF(COUNTIF($J180:$L180,"Oui")=0,$D180-SUM($T180:U180),ROUND($D180/COUNTIF($G180:$L180,"Oui"),2))),IF($F180="Montants convenus",IF(I180="Oui",O180,0),"")))</f>
      </c>
      <c r="W180" s="87" t="str">
        <f>IF(COUNTIF($A180:$S180,"&lt;&gt;")=0,"",IF($F180="À parts égales entre participants",IF(J180&lt;&gt;"Oui",0,IF(COUNTIF($K180:$L180,"Oui")=0,$D180-SUM($T180:V180),ROUND($D180/COUNTIF($G180:$L180,"Oui"),2))),IF($F180="Montants convenus",IF(J180="Oui",P180,0),"")))</f>
      </c>
      <c r="X180" s="87" t="str">
        <f>IF(COUNTIF($A180:$S180,"&lt;&gt;")=0,"",IF($F180="À parts égales entre participants",IF(K180&lt;&gt;"Oui",0,IF(COUNTIF($L180:$L180,"Oui")=0,$D180-SUM($T180:W180),ROUND($D180/COUNTIF($G180:$L180,"Oui"),2))),IF($F180="Montants convenus",IF(K180="Oui",Q180,0),"")))</f>
      </c>
      <c r="Y180" s="87" t="str">
        <f>IF(COUNTIF($A180:$S180,"&lt;&gt;")=0,"",IF($F180="À parts égales entre participants",IF(L180&lt;&gt;"Oui",0,IF(0=0,$D180-SUM($T180:X180),ROUND($D180/COUNTIF($G180:$L180,"Oui"),2))),IF($F180="Montants convenus",IF(L180="Oui",R180,0),"")))</f>
      </c>
      <c r="Z180" s="81" t="str">
        <f>IF(COUNTIF($A180:$S180,"&lt;&gt;")=0,"",IF(OR($D180="",$D180&lt;=0),"Saisissez un montant supérieur à zéro.",IF($E180="","Sélectionnez la personne qui a payé.",IF(COUNTIF($G180:$L180,"Oui")=0,"Sélectionnez au moins une personne participante.",IF($F180="À parts égales entre participants","Vérifié",IF($F180="Montants convenus",IF(OR(AND(G180="Oui",M180=""),AND(H180="Oui",N180=""),AND(I180="Oui",O180=""),AND(J180="Oui",P180=""),AND(K180="Oui",Q180=""),AND(L180="Oui",R180="")),"Saisissez les montants convenus pour que leur somme corresponde à la dépense.",IF(ABS(SUM($M180:$R180))&lt;0.005,"Saisissez les montants convenus pour que leur somme corresponde à la dépense.",IF(SUM($M180:$R180)&lt;$D180-0.005,"Montant restant à répartir : "&amp;ROUND($D180-SUM($M180:$R180),2)&amp;".",IF(SUM($M180:$R180)&gt;$D180+0.005,"Montant réparti en trop : "&amp;ROUND(SUM($M180:$R180)-$D180,2)&amp;".","Vérifié")))),"Saisissez les montants convenus pour que leur somme corresponde à la dépense."))))))</f>
      </c>
    </row>
    <row r="181">
      <c r="A181" s="83"/>
      <c r="B181" s="57"/>
      <c r="C181" s="57"/>
      <c r="D181" s="85"/>
      <c r="E181" s="57"/>
      <c r="F181" s="57"/>
      <c r="G181" s="57"/>
      <c r="H181" s="57"/>
      <c r="I181" s="57"/>
      <c r="J181" s="57"/>
      <c r="K181" s="57"/>
      <c r="L181" s="57"/>
      <c r="M181" s="85"/>
      <c r="N181" s="85"/>
      <c r="O181" s="85"/>
      <c r="P181" s="85"/>
      <c r="Q181" s="85"/>
      <c r="R181" s="85"/>
      <c r="S181" s="57"/>
      <c r="T181" s="87" t="str">
        <f>IF(COUNTIF($A181:$S181,"&lt;&gt;")=0,"",IF($F181="À parts égales entre participants",IF(G181&lt;&gt;"Oui",0,IF(COUNTIF($H181:$L181,"Oui")=0,$D181-0,ROUND($D181/COUNTIF($G181:$L181,"Oui"),2))),IF($F181="Montants convenus",IF(G181="Oui",M181,0),"")))</f>
      </c>
      <c r="U181" s="87" t="str">
        <f>IF(COUNTIF($A181:$S181,"&lt;&gt;")=0,"",IF($F181="À parts égales entre participants",IF(H181&lt;&gt;"Oui",0,IF(COUNTIF($I181:$L181,"Oui")=0,$D181-SUM($T181:T181),ROUND($D181/COUNTIF($G181:$L181,"Oui"),2))),IF($F181="Montants convenus",IF(H181="Oui",N181,0),"")))</f>
      </c>
      <c r="V181" s="87" t="str">
        <f>IF(COUNTIF($A181:$S181,"&lt;&gt;")=0,"",IF($F181="À parts égales entre participants",IF(I181&lt;&gt;"Oui",0,IF(COUNTIF($J181:$L181,"Oui")=0,$D181-SUM($T181:U181),ROUND($D181/COUNTIF($G181:$L181,"Oui"),2))),IF($F181="Montants convenus",IF(I181="Oui",O181,0),"")))</f>
      </c>
      <c r="W181" s="87" t="str">
        <f>IF(COUNTIF($A181:$S181,"&lt;&gt;")=0,"",IF($F181="À parts égales entre participants",IF(J181&lt;&gt;"Oui",0,IF(COUNTIF($K181:$L181,"Oui")=0,$D181-SUM($T181:V181),ROUND($D181/COUNTIF($G181:$L181,"Oui"),2))),IF($F181="Montants convenus",IF(J181="Oui",P181,0),"")))</f>
      </c>
      <c r="X181" s="87" t="str">
        <f>IF(COUNTIF($A181:$S181,"&lt;&gt;")=0,"",IF($F181="À parts égales entre participants",IF(K181&lt;&gt;"Oui",0,IF(COUNTIF($L181:$L181,"Oui")=0,$D181-SUM($T181:W181),ROUND($D181/COUNTIF($G181:$L181,"Oui"),2))),IF($F181="Montants convenus",IF(K181="Oui",Q181,0),"")))</f>
      </c>
      <c r="Y181" s="87" t="str">
        <f>IF(COUNTIF($A181:$S181,"&lt;&gt;")=0,"",IF($F181="À parts égales entre participants",IF(L181&lt;&gt;"Oui",0,IF(0=0,$D181-SUM($T181:X181),ROUND($D181/COUNTIF($G181:$L181,"Oui"),2))),IF($F181="Montants convenus",IF(L181="Oui",R181,0),"")))</f>
      </c>
      <c r="Z181" s="81" t="str">
        <f>IF(COUNTIF($A181:$S181,"&lt;&gt;")=0,"",IF(OR($D181="",$D181&lt;=0),"Saisissez un montant supérieur à zéro.",IF($E181="","Sélectionnez la personne qui a payé.",IF(COUNTIF($G181:$L181,"Oui")=0,"Sélectionnez au moins une personne participante.",IF($F181="À parts égales entre participants","Vérifié",IF($F181="Montants convenus",IF(OR(AND(G181="Oui",M181=""),AND(H181="Oui",N181=""),AND(I181="Oui",O181=""),AND(J181="Oui",P181=""),AND(K181="Oui",Q181=""),AND(L181="Oui",R181="")),"Saisissez les montants convenus pour que leur somme corresponde à la dépense.",IF(ABS(SUM($M181:$R181))&lt;0.005,"Saisissez les montants convenus pour que leur somme corresponde à la dépense.",IF(SUM($M181:$R181)&lt;$D181-0.005,"Montant restant à répartir : "&amp;ROUND($D181-SUM($M181:$R181),2)&amp;".",IF(SUM($M181:$R181)&gt;$D181+0.005,"Montant réparti en trop : "&amp;ROUND(SUM($M181:$R181)-$D181,2)&amp;".","Vérifié")))),"Saisissez les montants convenus pour que leur somme corresponde à la dépense."))))))</f>
      </c>
    </row>
    <row r="182">
      <c r="A182" s="83"/>
      <c r="B182" s="57"/>
      <c r="C182" s="57"/>
      <c r="D182" s="85"/>
      <c r="E182" s="57"/>
      <c r="F182" s="57"/>
      <c r="G182" s="57"/>
      <c r="H182" s="57"/>
      <c r="I182" s="57"/>
      <c r="J182" s="57"/>
      <c r="K182" s="57"/>
      <c r="L182" s="57"/>
      <c r="M182" s="85"/>
      <c r="N182" s="85"/>
      <c r="O182" s="85"/>
      <c r="P182" s="85"/>
      <c r="Q182" s="85"/>
      <c r="R182" s="85"/>
      <c r="S182" s="57"/>
      <c r="T182" s="87" t="str">
        <f>IF(COUNTIF($A182:$S182,"&lt;&gt;")=0,"",IF($F182="À parts égales entre participants",IF(G182&lt;&gt;"Oui",0,IF(COUNTIF($H182:$L182,"Oui")=0,$D182-0,ROUND($D182/COUNTIF($G182:$L182,"Oui"),2))),IF($F182="Montants convenus",IF(G182="Oui",M182,0),"")))</f>
      </c>
      <c r="U182" s="87" t="str">
        <f>IF(COUNTIF($A182:$S182,"&lt;&gt;")=0,"",IF($F182="À parts égales entre participants",IF(H182&lt;&gt;"Oui",0,IF(COUNTIF($I182:$L182,"Oui")=0,$D182-SUM($T182:T182),ROUND($D182/COUNTIF($G182:$L182,"Oui"),2))),IF($F182="Montants convenus",IF(H182="Oui",N182,0),"")))</f>
      </c>
      <c r="V182" s="87" t="str">
        <f>IF(COUNTIF($A182:$S182,"&lt;&gt;")=0,"",IF($F182="À parts égales entre participants",IF(I182&lt;&gt;"Oui",0,IF(COUNTIF($J182:$L182,"Oui")=0,$D182-SUM($T182:U182),ROUND($D182/COUNTIF($G182:$L182,"Oui"),2))),IF($F182="Montants convenus",IF(I182="Oui",O182,0),"")))</f>
      </c>
      <c r="W182" s="87" t="str">
        <f>IF(COUNTIF($A182:$S182,"&lt;&gt;")=0,"",IF($F182="À parts égales entre participants",IF(J182&lt;&gt;"Oui",0,IF(COUNTIF($K182:$L182,"Oui")=0,$D182-SUM($T182:V182),ROUND($D182/COUNTIF($G182:$L182,"Oui"),2))),IF($F182="Montants convenus",IF(J182="Oui",P182,0),"")))</f>
      </c>
      <c r="X182" s="87" t="str">
        <f>IF(COUNTIF($A182:$S182,"&lt;&gt;")=0,"",IF($F182="À parts égales entre participants",IF(K182&lt;&gt;"Oui",0,IF(COUNTIF($L182:$L182,"Oui")=0,$D182-SUM($T182:W182),ROUND($D182/COUNTIF($G182:$L182,"Oui"),2))),IF($F182="Montants convenus",IF(K182="Oui",Q182,0),"")))</f>
      </c>
      <c r="Y182" s="87" t="str">
        <f>IF(COUNTIF($A182:$S182,"&lt;&gt;")=0,"",IF($F182="À parts égales entre participants",IF(L182&lt;&gt;"Oui",0,IF(0=0,$D182-SUM($T182:X182),ROUND($D182/COUNTIF($G182:$L182,"Oui"),2))),IF($F182="Montants convenus",IF(L182="Oui",R182,0),"")))</f>
      </c>
      <c r="Z182" s="81" t="str">
        <f>IF(COUNTIF($A182:$S182,"&lt;&gt;")=0,"",IF(OR($D182="",$D182&lt;=0),"Saisissez un montant supérieur à zéro.",IF($E182="","Sélectionnez la personne qui a payé.",IF(COUNTIF($G182:$L182,"Oui")=0,"Sélectionnez au moins une personne participante.",IF($F182="À parts égales entre participants","Vérifié",IF($F182="Montants convenus",IF(OR(AND(G182="Oui",M182=""),AND(H182="Oui",N182=""),AND(I182="Oui",O182=""),AND(J182="Oui",P182=""),AND(K182="Oui",Q182=""),AND(L182="Oui",R182="")),"Saisissez les montants convenus pour que leur somme corresponde à la dépense.",IF(ABS(SUM($M182:$R182))&lt;0.005,"Saisissez les montants convenus pour que leur somme corresponde à la dépense.",IF(SUM($M182:$R182)&lt;$D182-0.005,"Montant restant à répartir : "&amp;ROUND($D182-SUM($M182:$R182),2)&amp;".",IF(SUM($M182:$R182)&gt;$D182+0.005,"Montant réparti en trop : "&amp;ROUND(SUM($M182:$R182)-$D182,2)&amp;".","Vérifié")))),"Saisissez les montants convenus pour que leur somme corresponde à la dépense."))))))</f>
      </c>
    </row>
    <row r="183">
      <c r="A183" s="83"/>
      <c r="B183" s="57"/>
      <c r="C183" s="57"/>
      <c r="D183" s="85"/>
      <c r="E183" s="57"/>
      <c r="F183" s="57"/>
      <c r="G183" s="57"/>
      <c r="H183" s="57"/>
      <c r="I183" s="57"/>
      <c r="J183" s="57"/>
      <c r="K183" s="57"/>
      <c r="L183" s="57"/>
      <c r="M183" s="85"/>
      <c r="N183" s="85"/>
      <c r="O183" s="85"/>
      <c r="P183" s="85"/>
      <c r="Q183" s="85"/>
      <c r="R183" s="85"/>
      <c r="S183" s="57"/>
      <c r="T183" s="87" t="str">
        <f>IF(COUNTIF($A183:$S183,"&lt;&gt;")=0,"",IF($F183="À parts égales entre participants",IF(G183&lt;&gt;"Oui",0,IF(COUNTIF($H183:$L183,"Oui")=0,$D183-0,ROUND($D183/COUNTIF($G183:$L183,"Oui"),2))),IF($F183="Montants convenus",IF(G183="Oui",M183,0),"")))</f>
      </c>
      <c r="U183" s="87" t="str">
        <f>IF(COUNTIF($A183:$S183,"&lt;&gt;")=0,"",IF($F183="À parts égales entre participants",IF(H183&lt;&gt;"Oui",0,IF(COUNTIF($I183:$L183,"Oui")=0,$D183-SUM($T183:T183),ROUND($D183/COUNTIF($G183:$L183,"Oui"),2))),IF($F183="Montants convenus",IF(H183="Oui",N183,0),"")))</f>
      </c>
      <c r="V183" s="87" t="str">
        <f>IF(COUNTIF($A183:$S183,"&lt;&gt;")=0,"",IF($F183="À parts égales entre participants",IF(I183&lt;&gt;"Oui",0,IF(COUNTIF($J183:$L183,"Oui")=0,$D183-SUM($T183:U183),ROUND($D183/COUNTIF($G183:$L183,"Oui"),2))),IF($F183="Montants convenus",IF(I183="Oui",O183,0),"")))</f>
      </c>
      <c r="W183" s="87" t="str">
        <f>IF(COUNTIF($A183:$S183,"&lt;&gt;")=0,"",IF($F183="À parts égales entre participants",IF(J183&lt;&gt;"Oui",0,IF(COUNTIF($K183:$L183,"Oui")=0,$D183-SUM($T183:V183),ROUND($D183/COUNTIF($G183:$L183,"Oui"),2))),IF($F183="Montants convenus",IF(J183="Oui",P183,0),"")))</f>
      </c>
      <c r="X183" s="87" t="str">
        <f>IF(COUNTIF($A183:$S183,"&lt;&gt;")=0,"",IF($F183="À parts égales entre participants",IF(K183&lt;&gt;"Oui",0,IF(COUNTIF($L183:$L183,"Oui")=0,$D183-SUM($T183:W183),ROUND($D183/COUNTIF($G183:$L183,"Oui"),2))),IF($F183="Montants convenus",IF(K183="Oui",Q183,0),"")))</f>
      </c>
      <c r="Y183" s="87" t="str">
        <f>IF(COUNTIF($A183:$S183,"&lt;&gt;")=0,"",IF($F183="À parts égales entre participants",IF(L183&lt;&gt;"Oui",0,IF(0=0,$D183-SUM($T183:X183),ROUND($D183/COUNTIF($G183:$L183,"Oui"),2))),IF($F183="Montants convenus",IF(L183="Oui",R183,0),"")))</f>
      </c>
      <c r="Z183" s="81" t="str">
        <f>IF(COUNTIF($A183:$S183,"&lt;&gt;")=0,"",IF(OR($D183="",$D183&lt;=0),"Saisissez un montant supérieur à zéro.",IF($E183="","Sélectionnez la personne qui a payé.",IF(COUNTIF($G183:$L183,"Oui")=0,"Sélectionnez au moins une personne participante.",IF($F183="À parts égales entre participants","Vérifié",IF($F183="Montants convenus",IF(OR(AND(G183="Oui",M183=""),AND(H183="Oui",N183=""),AND(I183="Oui",O183=""),AND(J183="Oui",P183=""),AND(K183="Oui",Q183=""),AND(L183="Oui",R183="")),"Saisissez les montants convenus pour que leur somme corresponde à la dépense.",IF(ABS(SUM($M183:$R183))&lt;0.005,"Saisissez les montants convenus pour que leur somme corresponde à la dépense.",IF(SUM($M183:$R183)&lt;$D183-0.005,"Montant restant à répartir : "&amp;ROUND($D183-SUM($M183:$R183),2)&amp;".",IF(SUM($M183:$R183)&gt;$D183+0.005,"Montant réparti en trop : "&amp;ROUND(SUM($M183:$R183)-$D183,2)&amp;".","Vérifié")))),"Saisissez les montants convenus pour que leur somme corresponde à la dépense."))))))</f>
      </c>
    </row>
    <row r="184">
      <c r="A184" s="83"/>
      <c r="B184" s="57"/>
      <c r="C184" s="57"/>
      <c r="D184" s="85"/>
      <c r="E184" s="57"/>
      <c r="F184" s="57"/>
      <c r="G184" s="57"/>
      <c r="H184" s="57"/>
      <c r="I184" s="57"/>
      <c r="J184" s="57"/>
      <c r="K184" s="57"/>
      <c r="L184" s="57"/>
      <c r="M184" s="85"/>
      <c r="N184" s="85"/>
      <c r="O184" s="85"/>
      <c r="P184" s="85"/>
      <c r="Q184" s="85"/>
      <c r="R184" s="85"/>
      <c r="S184" s="57"/>
      <c r="T184" s="87" t="str">
        <f>IF(COUNTIF($A184:$S184,"&lt;&gt;")=0,"",IF($F184="À parts égales entre participants",IF(G184&lt;&gt;"Oui",0,IF(COUNTIF($H184:$L184,"Oui")=0,$D184-0,ROUND($D184/COUNTIF($G184:$L184,"Oui"),2))),IF($F184="Montants convenus",IF(G184="Oui",M184,0),"")))</f>
      </c>
      <c r="U184" s="87" t="str">
        <f>IF(COUNTIF($A184:$S184,"&lt;&gt;")=0,"",IF($F184="À parts égales entre participants",IF(H184&lt;&gt;"Oui",0,IF(COUNTIF($I184:$L184,"Oui")=0,$D184-SUM($T184:T184),ROUND($D184/COUNTIF($G184:$L184,"Oui"),2))),IF($F184="Montants convenus",IF(H184="Oui",N184,0),"")))</f>
      </c>
      <c r="V184" s="87" t="str">
        <f>IF(COUNTIF($A184:$S184,"&lt;&gt;")=0,"",IF($F184="À parts égales entre participants",IF(I184&lt;&gt;"Oui",0,IF(COUNTIF($J184:$L184,"Oui")=0,$D184-SUM($T184:U184),ROUND($D184/COUNTIF($G184:$L184,"Oui"),2))),IF($F184="Montants convenus",IF(I184="Oui",O184,0),"")))</f>
      </c>
      <c r="W184" s="87" t="str">
        <f>IF(COUNTIF($A184:$S184,"&lt;&gt;")=0,"",IF($F184="À parts égales entre participants",IF(J184&lt;&gt;"Oui",0,IF(COUNTIF($K184:$L184,"Oui")=0,$D184-SUM($T184:V184),ROUND($D184/COUNTIF($G184:$L184,"Oui"),2))),IF($F184="Montants convenus",IF(J184="Oui",P184,0),"")))</f>
      </c>
      <c r="X184" s="87" t="str">
        <f>IF(COUNTIF($A184:$S184,"&lt;&gt;")=0,"",IF($F184="À parts égales entre participants",IF(K184&lt;&gt;"Oui",0,IF(COUNTIF($L184:$L184,"Oui")=0,$D184-SUM($T184:W184),ROUND($D184/COUNTIF($G184:$L184,"Oui"),2))),IF($F184="Montants convenus",IF(K184="Oui",Q184,0),"")))</f>
      </c>
      <c r="Y184" s="87" t="str">
        <f>IF(COUNTIF($A184:$S184,"&lt;&gt;")=0,"",IF($F184="À parts égales entre participants",IF(L184&lt;&gt;"Oui",0,IF(0=0,$D184-SUM($T184:X184),ROUND($D184/COUNTIF($G184:$L184,"Oui"),2))),IF($F184="Montants convenus",IF(L184="Oui",R184,0),"")))</f>
      </c>
      <c r="Z184" s="81" t="str">
        <f>IF(COUNTIF($A184:$S184,"&lt;&gt;")=0,"",IF(OR($D184="",$D184&lt;=0),"Saisissez un montant supérieur à zéro.",IF($E184="","Sélectionnez la personne qui a payé.",IF(COUNTIF($G184:$L184,"Oui")=0,"Sélectionnez au moins une personne participante.",IF($F184="À parts égales entre participants","Vérifié",IF($F184="Montants convenus",IF(OR(AND(G184="Oui",M184=""),AND(H184="Oui",N184=""),AND(I184="Oui",O184=""),AND(J184="Oui",P184=""),AND(K184="Oui",Q184=""),AND(L184="Oui",R184="")),"Saisissez les montants convenus pour que leur somme corresponde à la dépense.",IF(ABS(SUM($M184:$R184))&lt;0.005,"Saisissez les montants convenus pour que leur somme corresponde à la dépense.",IF(SUM($M184:$R184)&lt;$D184-0.005,"Montant restant à répartir : "&amp;ROUND($D184-SUM($M184:$R184),2)&amp;".",IF(SUM($M184:$R184)&gt;$D184+0.005,"Montant réparti en trop : "&amp;ROUND(SUM($M184:$R184)-$D184,2)&amp;".","Vérifié")))),"Saisissez les montants convenus pour que leur somme corresponde à la dépense."))))))</f>
      </c>
    </row>
    <row r="185">
      <c r="A185" s="83"/>
      <c r="B185" s="57"/>
      <c r="C185" s="57"/>
      <c r="D185" s="85"/>
      <c r="E185" s="57"/>
      <c r="F185" s="57"/>
      <c r="G185" s="57"/>
      <c r="H185" s="57"/>
      <c r="I185" s="57"/>
      <c r="J185" s="57"/>
      <c r="K185" s="57"/>
      <c r="L185" s="57"/>
      <c r="M185" s="85"/>
      <c r="N185" s="85"/>
      <c r="O185" s="85"/>
      <c r="P185" s="85"/>
      <c r="Q185" s="85"/>
      <c r="R185" s="85"/>
      <c r="S185" s="57"/>
      <c r="T185" s="87" t="str">
        <f>IF(COUNTIF($A185:$S185,"&lt;&gt;")=0,"",IF($F185="À parts égales entre participants",IF(G185&lt;&gt;"Oui",0,IF(COUNTIF($H185:$L185,"Oui")=0,$D185-0,ROUND($D185/COUNTIF($G185:$L185,"Oui"),2))),IF($F185="Montants convenus",IF(G185="Oui",M185,0),"")))</f>
      </c>
      <c r="U185" s="87" t="str">
        <f>IF(COUNTIF($A185:$S185,"&lt;&gt;")=0,"",IF($F185="À parts égales entre participants",IF(H185&lt;&gt;"Oui",0,IF(COUNTIF($I185:$L185,"Oui")=0,$D185-SUM($T185:T185),ROUND($D185/COUNTIF($G185:$L185,"Oui"),2))),IF($F185="Montants convenus",IF(H185="Oui",N185,0),"")))</f>
      </c>
      <c r="V185" s="87" t="str">
        <f>IF(COUNTIF($A185:$S185,"&lt;&gt;")=0,"",IF($F185="À parts égales entre participants",IF(I185&lt;&gt;"Oui",0,IF(COUNTIF($J185:$L185,"Oui")=0,$D185-SUM($T185:U185),ROUND($D185/COUNTIF($G185:$L185,"Oui"),2))),IF($F185="Montants convenus",IF(I185="Oui",O185,0),"")))</f>
      </c>
      <c r="W185" s="87" t="str">
        <f>IF(COUNTIF($A185:$S185,"&lt;&gt;")=0,"",IF($F185="À parts égales entre participants",IF(J185&lt;&gt;"Oui",0,IF(COUNTIF($K185:$L185,"Oui")=0,$D185-SUM($T185:V185),ROUND($D185/COUNTIF($G185:$L185,"Oui"),2))),IF($F185="Montants convenus",IF(J185="Oui",P185,0),"")))</f>
      </c>
      <c r="X185" s="87" t="str">
        <f>IF(COUNTIF($A185:$S185,"&lt;&gt;")=0,"",IF($F185="À parts égales entre participants",IF(K185&lt;&gt;"Oui",0,IF(COUNTIF($L185:$L185,"Oui")=0,$D185-SUM($T185:W185),ROUND($D185/COUNTIF($G185:$L185,"Oui"),2))),IF($F185="Montants convenus",IF(K185="Oui",Q185,0),"")))</f>
      </c>
      <c r="Y185" s="87" t="str">
        <f>IF(COUNTIF($A185:$S185,"&lt;&gt;")=0,"",IF($F185="À parts égales entre participants",IF(L185&lt;&gt;"Oui",0,IF(0=0,$D185-SUM($T185:X185),ROUND($D185/COUNTIF($G185:$L185,"Oui"),2))),IF($F185="Montants convenus",IF(L185="Oui",R185,0),"")))</f>
      </c>
      <c r="Z185" s="81" t="str">
        <f>IF(COUNTIF($A185:$S185,"&lt;&gt;")=0,"",IF(OR($D185="",$D185&lt;=0),"Saisissez un montant supérieur à zéro.",IF($E185="","Sélectionnez la personne qui a payé.",IF(COUNTIF($G185:$L185,"Oui")=0,"Sélectionnez au moins une personne participante.",IF($F185="À parts égales entre participants","Vérifié",IF($F185="Montants convenus",IF(OR(AND(G185="Oui",M185=""),AND(H185="Oui",N185=""),AND(I185="Oui",O185=""),AND(J185="Oui",P185=""),AND(K185="Oui",Q185=""),AND(L185="Oui",R185="")),"Saisissez les montants convenus pour que leur somme corresponde à la dépense.",IF(ABS(SUM($M185:$R185))&lt;0.005,"Saisissez les montants convenus pour que leur somme corresponde à la dépense.",IF(SUM($M185:$R185)&lt;$D185-0.005,"Montant restant à répartir : "&amp;ROUND($D185-SUM($M185:$R185),2)&amp;".",IF(SUM($M185:$R185)&gt;$D185+0.005,"Montant réparti en trop : "&amp;ROUND(SUM($M185:$R185)-$D185,2)&amp;".","Vérifié")))),"Saisissez les montants convenus pour que leur somme corresponde à la dépense."))))))</f>
      </c>
    </row>
    <row r="186">
      <c r="A186" s="83"/>
      <c r="B186" s="57"/>
      <c r="C186" s="57"/>
      <c r="D186" s="85"/>
      <c r="E186" s="57"/>
      <c r="F186" s="57"/>
      <c r="G186" s="57"/>
      <c r="H186" s="57"/>
      <c r="I186" s="57"/>
      <c r="J186" s="57"/>
      <c r="K186" s="57"/>
      <c r="L186" s="57"/>
      <c r="M186" s="85"/>
      <c r="N186" s="85"/>
      <c r="O186" s="85"/>
      <c r="P186" s="85"/>
      <c r="Q186" s="85"/>
      <c r="R186" s="85"/>
      <c r="S186" s="57"/>
      <c r="T186" s="87" t="str">
        <f>IF(COUNTIF($A186:$S186,"&lt;&gt;")=0,"",IF($F186="À parts égales entre participants",IF(G186&lt;&gt;"Oui",0,IF(COUNTIF($H186:$L186,"Oui")=0,$D186-0,ROUND($D186/COUNTIF($G186:$L186,"Oui"),2))),IF($F186="Montants convenus",IF(G186="Oui",M186,0),"")))</f>
      </c>
      <c r="U186" s="87" t="str">
        <f>IF(COUNTIF($A186:$S186,"&lt;&gt;")=0,"",IF($F186="À parts égales entre participants",IF(H186&lt;&gt;"Oui",0,IF(COUNTIF($I186:$L186,"Oui")=0,$D186-SUM($T186:T186),ROUND($D186/COUNTIF($G186:$L186,"Oui"),2))),IF($F186="Montants convenus",IF(H186="Oui",N186,0),"")))</f>
      </c>
      <c r="V186" s="87" t="str">
        <f>IF(COUNTIF($A186:$S186,"&lt;&gt;")=0,"",IF($F186="À parts égales entre participants",IF(I186&lt;&gt;"Oui",0,IF(COUNTIF($J186:$L186,"Oui")=0,$D186-SUM($T186:U186),ROUND($D186/COUNTIF($G186:$L186,"Oui"),2))),IF($F186="Montants convenus",IF(I186="Oui",O186,0),"")))</f>
      </c>
      <c r="W186" s="87" t="str">
        <f>IF(COUNTIF($A186:$S186,"&lt;&gt;")=0,"",IF($F186="À parts égales entre participants",IF(J186&lt;&gt;"Oui",0,IF(COUNTIF($K186:$L186,"Oui")=0,$D186-SUM($T186:V186),ROUND($D186/COUNTIF($G186:$L186,"Oui"),2))),IF($F186="Montants convenus",IF(J186="Oui",P186,0),"")))</f>
      </c>
      <c r="X186" s="87" t="str">
        <f>IF(COUNTIF($A186:$S186,"&lt;&gt;")=0,"",IF($F186="À parts égales entre participants",IF(K186&lt;&gt;"Oui",0,IF(COUNTIF($L186:$L186,"Oui")=0,$D186-SUM($T186:W186),ROUND($D186/COUNTIF($G186:$L186,"Oui"),2))),IF($F186="Montants convenus",IF(K186="Oui",Q186,0),"")))</f>
      </c>
      <c r="Y186" s="87" t="str">
        <f>IF(COUNTIF($A186:$S186,"&lt;&gt;")=0,"",IF($F186="À parts égales entre participants",IF(L186&lt;&gt;"Oui",0,IF(0=0,$D186-SUM($T186:X186),ROUND($D186/COUNTIF($G186:$L186,"Oui"),2))),IF($F186="Montants convenus",IF(L186="Oui",R186,0),"")))</f>
      </c>
      <c r="Z186" s="81" t="str">
        <f>IF(COUNTIF($A186:$S186,"&lt;&gt;")=0,"",IF(OR($D186="",$D186&lt;=0),"Saisissez un montant supérieur à zéro.",IF($E186="","Sélectionnez la personne qui a payé.",IF(COUNTIF($G186:$L186,"Oui")=0,"Sélectionnez au moins une personne participante.",IF($F186="À parts égales entre participants","Vérifié",IF($F186="Montants convenus",IF(OR(AND(G186="Oui",M186=""),AND(H186="Oui",N186=""),AND(I186="Oui",O186=""),AND(J186="Oui",P186=""),AND(K186="Oui",Q186=""),AND(L186="Oui",R186="")),"Saisissez les montants convenus pour que leur somme corresponde à la dépense.",IF(ABS(SUM($M186:$R186))&lt;0.005,"Saisissez les montants convenus pour que leur somme corresponde à la dépense.",IF(SUM($M186:$R186)&lt;$D186-0.005,"Montant restant à répartir : "&amp;ROUND($D186-SUM($M186:$R186),2)&amp;".",IF(SUM($M186:$R186)&gt;$D186+0.005,"Montant réparti en trop : "&amp;ROUND(SUM($M186:$R186)-$D186,2)&amp;".","Vérifié")))),"Saisissez les montants convenus pour que leur somme corresponde à la dépense."))))))</f>
      </c>
    </row>
    <row r="187">
      <c r="A187" s="83"/>
      <c r="B187" s="57"/>
      <c r="C187" s="57"/>
      <c r="D187" s="85"/>
      <c r="E187" s="57"/>
      <c r="F187" s="57"/>
      <c r="G187" s="57"/>
      <c r="H187" s="57"/>
      <c r="I187" s="57"/>
      <c r="J187" s="57"/>
      <c r="K187" s="57"/>
      <c r="L187" s="57"/>
      <c r="M187" s="85"/>
      <c r="N187" s="85"/>
      <c r="O187" s="85"/>
      <c r="P187" s="85"/>
      <c r="Q187" s="85"/>
      <c r="R187" s="85"/>
      <c r="S187" s="57"/>
      <c r="T187" s="87" t="str">
        <f>IF(COUNTIF($A187:$S187,"&lt;&gt;")=0,"",IF($F187="À parts égales entre participants",IF(G187&lt;&gt;"Oui",0,IF(COUNTIF($H187:$L187,"Oui")=0,$D187-0,ROUND($D187/COUNTIF($G187:$L187,"Oui"),2))),IF($F187="Montants convenus",IF(G187="Oui",M187,0),"")))</f>
      </c>
      <c r="U187" s="87" t="str">
        <f>IF(COUNTIF($A187:$S187,"&lt;&gt;")=0,"",IF($F187="À parts égales entre participants",IF(H187&lt;&gt;"Oui",0,IF(COUNTIF($I187:$L187,"Oui")=0,$D187-SUM($T187:T187),ROUND($D187/COUNTIF($G187:$L187,"Oui"),2))),IF($F187="Montants convenus",IF(H187="Oui",N187,0),"")))</f>
      </c>
      <c r="V187" s="87" t="str">
        <f>IF(COUNTIF($A187:$S187,"&lt;&gt;")=0,"",IF($F187="À parts égales entre participants",IF(I187&lt;&gt;"Oui",0,IF(COUNTIF($J187:$L187,"Oui")=0,$D187-SUM($T187:U187),ROUND($D187/COUNTIF($G187:$L187,"Oui"),2))),IF($F187="Montants convenus",IF(I187="Oui",O187,0),"")))</f>
      </c>
      <c r="W187" s="87" t="str">
        <f>IF(COUNTIF($A187:$S187,"&lt;&gt;")=0,"",IF($F187="À parts égales entre participants",IF(J187&lt;&gt;"Oui",0,IF(COUNTIF($K187:$L187,"Oui")=0,$D187-SUM($T187:V187),ROUND($D187/COUNTIF($G187:$L187,"Oui"),2))),IF($F187="Montants convenus",IF(J187="Oui",P187,0),"")))</f>
      </c>
      <c r="X187" s="87" t="str">
        <f>IF(COUNTIF($A187:$S187,"&lt;&gt;")=0,"",IF($F187="À parts égales entre participants",IF(K187&lt;&gt;"Oui",0,IF(COUNTIF($L187:$L187,"Oui")=0,$D187-SUM($T187:W187),ROUND($D187/COUNTIF($G187:$L187,"Oui"),2))),IF($F187="Montants convenus",IF(K187="Oui",Q187,0),"")))</f>
      </c>
      <c r="Y187" s="87" t="str">
        <f>IF(COUNTIF($A187:$S187,"&lt;&gt;")=0,"",IF($F187="À parts égales entre participants",IF(L187&lt;&gt;"Oui",0,IF(0=0,$D187-SUM($T187:X187),ROUND($D187/COUNTIF($G187:$L187,"Oui"),2))),IF($F187="Montants convenus",IF(L187="Oui",R187,0),"")))</f>
      </c>
      <c r="Z187" s="81" t="str">
        <f>IF(COUNTIF($A187:$S187,"&lt;&gt;")=0,"",IF(OR($D187="",$D187&lt;=0),"Saisissez un montant supérieur à zéro.",IF($E187="","Sélectionnez la personne qui a payé.",IF(COUNTIF($G187:$L187,"Oui")=0,"Sélectionnez au moins une personne participante.",IF($F187="À parts égales entre participants","Vérifié",IF($F187="Montants convenus",IF(OR(AND(G187="Oui",M187=""),AND(H187="Oui",N187=""),AND(I187="Oui",O187=""),AND(J187="Oui",P187=""),AND(K187="Oui",Q187=""),AND(L187="Oui",R187="")),"Saisissez les montants convenus pour que leur somme corresponde à la dépense.",IF(ABS(SUM($M187:$R187))&lt;0.005,"Saisissez les montants convenus pour que leur somme corresponde à la dépense.",IF(SUM($M187:$R187)&lt;$D187-0.005,"Montant restant à répartir : "&amp;ROUND($D187-SUM($M187:$R187),2)&amp;".",IF(SUM($M187:$R187)&gt;$D187+0.005,"Montant réparti en trop : "&amp;ROUND(SUM($M187:$R187)-$D187,2)&amp;".","Vérifié")))),"Saisissez les montants convenus pour que leur somme corresponde à la dépense."))))))</f>
      </c>
    </row>
    <row r="188">
      <c r="A188" s="83"/>
      <c r="B188" s="57"/>
      <c r="C188" s="57"/>
      <c r="D188" s="85"/>
      <c r="E188" s="57"/>
      <c r="F188" s="57"/>
      <c r="G188" s="57"/>
      <c r="H188" s="57"/>
      <c r="I188" s="57"/>
      <c r="J188" s="57"/>
      <c r="K188" s="57"/>
      <c r="L188" s="57"/>
      <c r="M188" s="85"/>
      <c r="N188" s="85"/>
      <c r="O188" s="85"/>
      <c r="P188" s="85"/>
      <c r="Q188" s="85"/>
      <c r="R188" s="85"/>
      <c r="S188" s="57"/>
      <c r="T188" s="87" t="str">
        <f>IF(COUNTIF($A188:$S188,"&lt;&gt;")=0,"",IF($F188="À parts égales entre participants",IF(G188&lt;&gt;"Oui",0,IF(COUNTIF($H188:$L188,"Oui")=0,$D188-0,ROUND($D188/COUNTIF($G188:$L188,"Oui"),2))),IF($F188="Montants convenus",IF(G188="Oui",M188,0),"")))</f>
      </c>
      <c r="U188" s="87" t="str">
        <f>IF(COUNTIF($A188:$S188,"&lt;&gt;")=0,"",IF($F188="À parts égales entre participants",IF(H188&lt;&gt;"Oui",0,IF(COUNTIF($I188:$L188,"Oui")=0,$D188-SUM($T188:T188),ROUND($D188/COUNTIF($G188:$L188,"Oui"),2))),IF($F188="Montants convenus",IF(H188="Oui",N188,0),"")))</f>
      </c>
      <c r="V188" s="87" t="str">
        <f>IF(COUNTIF($A188:$S188,"&lt;&gt;")=0,"",IF($F188="À parts égales entre participants",IF(I188&lt;&gt;"Oui",0,IF(COUNTIF($J188:$L188,"Oui")=0,$D188-SUM($T188:U188),ROUND($D188/COUNTIF($G188:$L188,"Oui"),2))),IF($F188="Montants convenus",IF(I188="Oui",O188,0),"")))</f>
      </c>
      <c r="W188" s="87" t="str">
        <f>IF(COUNTIF($A188:$S188,"&lt;&gt;")=0,"",IF($F188="À parts égales entre participants",IF(J188&lt;&gt;"Oui",0,IF(COUNTIF($K188:$L188,"Oui")=0,$D188-SUM($T188:V188),ROUND($D188/COUNTIF($G188:$L188,"Oui"),2))),IF($F188="Montants convenus",IF(J188="Oui",P188,0),"")))</f>
      </c>
      <c r="X188" s="87" t="str">
        <f>IF(COUNTIF($A188:$S188,"&lt;&gt;")=0,"",IF($F188="À parts égales entre participants",IF(K188&lt;&gt;"Oui",0,IF(COUNTIF($L188:$L188,"Oui")=0,$D188-SUM($T188:W188),ROUND($D188/COUNTIF($G188:$L188,"Oui"),2))),IF($F188="Montants convenus",IF(K188="Oui",Q188,0),"")))</f>
      </c>
      <c r="Y188" s="87" t="str">
        <f>IF(COUNTIF($A188:$S188,"&lt;&gt;")=0,"",IF($F188="À parts égales entre participants",IF(L188&lt;&gt;"Oui",0,IF(0=0,$D188-SUM($T188:X188),ROUND($D188/COUNTIF($G188:$L188,"Oui"),2))),IF($F188="Montants convenus",IF(L188="Oui",R188,0),"")))</f>
      </c>
      <c r="Z188" s="81" t="str">
        <f>IF(COUNTIF($A188:$S188,"&lt;&gt;")=0,"",IF(OR($D188="",$D188&lt;=0),"Saisissez un montant supérieur à zéro.",IF($E188="","Sélectionnez la personne qui a payé.",IF(COUNTIF($G188:$L188,"Oui")=0,"Sélectionnez au moins une personne participante.",IF($F188="À parts égales entre participants","Vérifié",IF($F188="Montants convenus",IF(OR(AND(G188="Oui",M188=""),AND(H188="Oui",N188=""),AND(I188="Oui",O188=""),AND(J188="Oui",P188=""),AND(K188="Oui",Q188=""),AND(L188="Oui",R188="")),"Saisissez les montants convenus pour que leur somme corresponde à la dépense.",IF(ABS(SUM($M188:$R188))&lt;0.005,"Saisissez les montants convenus pour que leur somme corresponde à la dépense.",IF(SUM($M188:$R188)&lt;$D188-0.005,"Montant restant à répartir : "&amp;ROUND($D188-SUM($M188:$R188),2)&amp;".",IF(SUM($M188:$R188)&gt;$D188+0.005,"Montant réparti en trop : "&amp;ROUND(SUM($M188:$R188)-$D188,2)&amp;".","Vérifié")))),"Saisissez les montants convenus pour que leur somme corresponde à la dépense."))))))</f>
      </c>
    </row>
    <row r="189">
      <c r="A189" s="83"/>
      <c r="B189" s="57"/>
      <c r="C189" s="57"/>
      <c r="D189" s="85"/>
      <c r="E189" s="57"/>
      <c r="F189" s="57"/>
      <c r="G189" s="57"/>
      <c r="H189" s="57"/>
      <c r="I189" s="57"/>
      <c r="J189" s="57"/>
      <c r="K189" s="57"/>
      <c r="L189" s="57"/>
      <c r="M189" s="85"/>
      <c r="N189" s="85"/>
      <c r="O189" s="85"/>
      <c r="P189" s="85"/>
      <c r="Q189" s="85"/>
      <c r="R189" s="85"/>
      <c r="S189" s="57"/>
      <c r="T189" s="87" t="str">
        <f>IF(COUNTIF($A189:$S189,"&lt;&gt;")=0,"",IF($F189="À parts égales entre participants",IF(G189&lt;&gt;"Oui",0,IF(COUNTIF($H189:$L189,"Oui")=0,$D189-0,ROUND($D189/COUNTIF($G189:$L189,"Oui"),2))),IF($F189="Montants convenus",IF(G189="Oui",M189,0),"")))</f>
      </c>
      <c r="U189" s="87" t="str">
        <f>IF(COUNTIF($A189:$S189,"&lt;&gt;")=0,"",IF($F189="À parts égales entre participants",IF(H189&lt;&gt;"Oui",0,IF(COUNTIF($I189:$L189,"Oui")=0,$D189-SUM($T189:T189),ROUND($D189/COUNTIF($G189:$L189,"Oui"),2))),IF($F189="Montants convenus",IF(H189="Oui",N189,0),"")))</f>
      </c>
      <c r="V189" s="87" t="str">
        <f>IF(COUNTIF($A189:$S189,"&lt;&gt;")=0,"",IF($F189="À parts égales entre participants",IF(I189&lt;&gt;"Oui",0,IF(COUNTIF($J189:$L189,"Oui")=0,$D189-SUM($T189:U189),ROUND($D189/COUNTIF($G189:$L189,"Oui"),2))),IF($F189="Montants convenus",IF(I189="Oui",O189,0),"")))</f>
      </c>
      <c r="W189" s="87" t="str">
        <f>IF(COUNTIF($A189:$S189,"&lt;&gt;")=0,"",IF($F189="À parts égales entre participants",IF(J189&lt;&gt;"Oui",0,IF(COUNTIF($K189:$L189,"Oui")=0,$D189-SUM($T189:V189),ROUND($D189/COUNTIF($G189:$L189,"Oui"),2))),IF($F189="Montants convenus",IF(J189="Oui",P189,0),"")))</f>
      </c>
      <c r="X189" s="87" t="str">
        <f>IF(COUNTIF($A189:$S189,"&lt;&gt;")=0,"",IF($F189="À parts égales entre participants",IF(K189&lt;&gt;"Oui",0,IF(COUNTIF($L189:$L189,"Oui")=0,$D189-SUM($T189:W189),ROUND($D189/COUNTIF($G189:$L189,"Oui"),2))),IF($F189="Montants convenus",IF(K189="Oui",Q189,0),"")))</f>
      </c>
      <c r="Y189" s="87" t="str">
        <f>IF(COUNTIF($A189:$S189,"&lt;&gt;")=0,"",IF($F189="À parts égales entre participants",IF(L189&lt;&gt;"Oui",0,IF(0=0,$D189-SUM($T189:X189),ROUND($D189/COUNTIF($G189:$L189,"Oui"),2))),IF($F189="Montants convenus",IF(L189="Oui",R189,0),"")))</f>
      </c>
      <c r="Z189" s="81" t="str">
        <f>IF(COUNTIF($A189:$S189,"&lt;&gt;")=0,"",IF(OR($D189="",$D189&lt;=0),"Saisissez un montant supérieur à zéro.",IF($E189="","Sélectionnez la personne qui a payé.",IF(COUNTIF($G189:$L189,"Oui")=0,"Sélectionnez au moins une personne participante.",IF($F189="À parts égales entre participants","Vérifié",IF($F189="Montants convenus",IF(OR(AND(G189="Oui",M189=""),AND(H189="Oui",N189=""),AND(I189="Oui",O189=""),AND(J189="Oui",P189=""),AND(K189="Oui",Q189=""),AND(L189="Oui",R189="")),"Saisissez les montants convenus pour que leur somme corresponde à la dépense.",IF(ABS(SUM($M189:$R189))&lt;0.005,"Saisissez les montants convenus pour que leur somme corresponde à la dépense.",IF(SUM($M189:$R189)&lt;$D189-0.005,"Montant restant à répartir : "&amp;ROUND($D189-SUM($M189:$R189),2)&amp;".",IF(SUM($M189:$R189)&gt;$D189+0.005,"Montant réparti en trop : "&amp;ROUND(SUM($M189:$R189)-$D189,2)&amp;".","Vérifié")))),"Saisissez les montants convenus pour que leur somme corresponde à la dépense."))))))</f>
      </c>
    </row>
    <row r="190">
      <c r="A190" s="83"/>
      <c r="B190" s="57"/>
      <c r="C190" s="57"/>
      <c r="D190" s="85"/>
      <c r="E190" s="57"/>
      <c r="F190" s="57"/>
      <c r="G190" s="57"/>
      <c r="H190" s="57"/>
      <c r="I190" s="57"/>
      <c r="J190" s="57"/>
      <c r="K190" s="57"/>
      <c r="L190" s="57"/>
      <c r="M190" s="85"/>
      <c r="N190" s="85"/>
      <c r="O190" s="85"/>
      <c r="P190" s="85"/>
      <c r="Q190" s="85"/>
      <c r="R190" s="85"/>
      <c r="S190" s="57"/>
      <c r="T190" s="87" t="str">
        <f>IF(COUNTIF($A190:$S190,"&lt;&gt;")=0,"",IF($F190="À parts égales entre participants",IF(G190&lt;&gt;"Oui",0,IF(COUNTIF($H190:$L190,"Oui")=0,$D190-0,ROUND($D190/COUNTIF($G190:$L190,"Oui"),2))),IF($F190="Montants convenus",IF(G190="Oui",M190,0),"")))</f>
      </c>
      <c r="U190" s="87" t="str">
        <f>IF(COUNTIF($A190:$S190,"&lt;&gt;")=0,"",IF($F190="À parts égales entre participants",IF(H190&lt;&gt;"Oui",0,IF(COUNTIF($I190:$L190,"Oui")=0,$D190-SUM($T190:T190),ROUND($D190/COUNTIF($G190:$L190,"Oui"),2))),IF($F190="Montants convenus",IF(H190="Oui",N190,0),"")))</f>
      </c>
      <c r="V190" s="87" t="str">
        <f>IF(COUNTIF($A190:$S190,"&lt;&gt;")=0,"",IF($F190="À parts égales entre participants",IF(I190&lt;&gt;"Oui",0,IF(COUNTIF($J190:$L190,"Oui")=0,$D190-SUM($T190:U190),ROUND($D190/COUNTIF($G190:$L190,"Oui"),2))),IF($F190="Montants convenus",IF(I190="Oui",O190,0),"")))</f>
      </c>
      <c r="W190" s="87" t="str">
        <f>IF(COUNTIF($A190:$S190,"&lt;&gt;")=0,"",IF($F190="À parts égales entre participants",IF(J190&lt;&gt;"Oui",0,IF(COUNTIF($K190:$L190,"Oui")=0,$D190-SUM($T190:V190),ROUND($D190/COUNTIF($G190:$L190,"Oui"),2))),IF($F190="Montants convenus",IF(J190="Oui",P190,0),"")))</f>
      </c>
      <c r="X190" s="87" t="str">
        <f>IF(COUNTIF($A190:$S190,"&lt;&gt;")=0,"",IF($F190="À parts égales entre participants",IF(K190&lt;&gt;"Oui",0,IF(COUNTIF($L190:$L190,"Oui")=0,$D190-SUM($T190:W190),ROUND($D190/COUNTIF($G190:$L190,"Oui"),2))),IF($F190="Montants convenus",IF(K190="Oui",Q190,0),"")))</f>
      </c>
      <c r="Y190" s="87" t="str">
        <f>IF(COUNTIF($A190:$S190,"&lt;&gt;")=0,"",IF($F190="À parts égales entre participants",IF(L190&lt;&gt;"Oui",0,IF(0=0,$D190-SUM($T190:X190),ROUND($D190/COUNTIF($G190:$L190,"Oui"),2))),IF($F190="Montants convenus",IF(L190="Oui",R190,0),"")))</f>
      </c>
      <c r="Z190" s="81" t="str">
        <f>IF(COUNTIF($A190:$S190,"&lt;&gt;")=0,"",IF(OR($D190="",$D190&lt;=0),"Saisissez un montant supérieur à zéro.",IF($E190="","Sélectionnez la personne qui a payé.",IF(COUNTIF($G190:$L190,"Oui")=0,"Sélectionnez au moins une personne participante.",IF($F190="À parts égales entre participants","Vérifié",IF($F190="Montants convenus",IF(OR(AND(G190="Oui",M190=""),AND(H190="Oui",N190=""),AND(I190="Oui",O190=""),AND(J190="Oui",P190=""),AND(K190="Oui",Q190=""),AND(L190="Oui",R190="")),"Saisissez les montants convenus pour que leur somme corresponde à la dépense.",IF(ABS(SUM($M190:$R190))&lt;0.005,"Saisissez les montants convenus pour que leur somme corresponde à la dépense.",IF(SUM($M190:$R190)&lt;$D190-0.005,"Montant restant à répartir : "&amp;ROUND($D190-SUM($M190:$R190),2)&amp;".",IF(SUM($M190:$R190)&gt;$D190+0.005,"Montant réparti en trop : "&amp;ROUND(SUM($M190:$R190)-$D190,2)&amp;".","Vérifié")))),"Saisissez les montants convenus pour que leur somme corresponde à la dépense."))))))</f>
      </c>
    </row>
    <row r="191">
      <c r="A191" s="83"/>
      <c r="B191" s="57"/>
      <c r="C191" s="57"/>
      <c r="D191" s="85"/>
      <c r="E191" s="57"/>
      <c r="F191" s="57"/>
      <c r="G191" s="57"/>
      <c r="H191" s="57"/>
      <c r="I191" s="57"/>
      <c r="J191" s="57"/>
      <c r="K191" s="57"/>
      <c r="L191" s="57"/>
      <c r="M191" s="85"/>
      <c r="N191" s="85"/>
      <c r="O191" s="85"/>
      <c r="P191" s="85"/>
      <c r="Q191" s="85"/>
      <c r="R191" s="85"/>
      <c r="S191" s="57"/>
      <c r="T191" s="87" t="str">
        <f>IF(COUNTIF($A191:$S191,"&lt;&gt;")=0,"",IF($F191="À parts égales entre participants",IF(G191&lt;&gt;"Oui",0,IF(COUNTIF($H191:$L191,"Oui")=0,$D191-0,ROUND($D191/COUNTIF($G191:$L191,"Oui"),2))),IF($F191="Montants convenus",IF(G191="Oui",M191,0),"")))</f>
      </c>
      <c r="U191" s="87" t="str">
        <f>IF(COUNTIF($A191:$S191,"&lt;&gt;")=0,"",IF($F191="À parts égales entre participants",IF(H191&lt;&gt;"Oui",0,IF(COUNTIF($I191:$L191,"Oui")=0,$D191-SUM($T191:T191),ROUND($D191/COUNTIF($G191:$L191,"Oui"),2))),IF($F191="Montants convenus",IF(H191="Oui",N191,0),"")))</f>
      </c>
      <c r="V191" s="87" t="str">
        <f>IF(COUNTIF($A191:$S191,"&lt;&gt;")=0,"",IF($F191="À parts égales entre participants",IF(I191&lt;&gt;"Oui",0,IF(COUNTIF($J191:$L191,"Oui")=0,$D191-SUM($T191:U191),ROUND($D191/COUNTIF($G191:$L191,"Oui"),2))),IF($F191="Montants convenus",IF(I191="Oui",O191,0),"")))</f>
      </c>
      <c r="W191" s="87" t="str">
        <f>IF(COUNTIF($A191:$S191,"&lt;&gt;")=0,"",IF($F191="À parts égales entre participants",IF(J191&lt;&gt;"Oui",0,IF(COUNTIF($K191:$L191,"Oui")=0,$D191-SUM($T191:V191),ROUND($D191/COUNTIF($G191:$L191,"Oui"),2))),IF($F191="Montants convenus",IF(J191="Oui",P191,0),"")))</f>
      </c>
      <c r="X191" s="87" t="str">
        <f>IF(COUNTIF($A191:$S191,"&lt;&gt;")=0,"",IF($F191="À parts égales entre participants",IF(K191&lt;&gt;"Oui",0,IF(COUNTIF($L191:$L191,"Oui")=0,$D191-SUM($T191:W191),ROUND($D191/COUNTIF($G191:$L191,"Oui"),2))),IF($F191="Montants convenus",IF(K191="Oui",Q191,0),"")))</f>
      </c>
      <c r="Y191" s="87" t="str">
        <f>IF(COUNTIF($A191:$S191,"&lt;&gt;")=0,"",IF($F191="À parts égales entre participants",IF(L191&lt;&gt;"Oui",0,IF(0=0,$D191-SUM($T191:X191),ROUND($D191/COUNTIF($G191:$L191,"Oui"),2))),IF($F191="Montants convenus",IF(L191="Oui",R191,0),"")))</f>
      </c>
      <c r="Z191" s="81" t="str">
        <f>IF(COUNTIF($A191:$S191,"&lt;&gt;")=0,"",IF(OR($D191="",$D191&lt;=0),"Saisissez un montant supérieur à zéro.",IF($E191="","Sélectionnez la personne qui a payé.",IF(COUNTIF($G191:$L191,"Oui")=0,"Sélectionnez au moins une personne participante.",IF($F191="À parts égales entre participants","Vérifié",IF($F191="Montants convenus",IF(OR(AND(G191="Oui",M191=""),AND(H191="Oui",N191=""),AND(I191="Oui",O191=""),AND(J191="Oui",P191=""),AND(K191="Oui",Q191=""),AND(L191="Oui",R191="")),"Saisissez les montants convenus pour que leur somme corresponde à la dépense.",IF(ABS(SUM($M191:$R191))&lt;0.005,"Saisissez les montants convenus pour que leur somme corresponde à la dépense.",IF(SUM($M191:$R191)&lt;$D191-0.005,"Montant restant à répartir : "&amp;ROUND($D191-SUM($M191:$R191),2)&amp;".",IF(SUM($M191:$R191)&gt;$D191+0.005,"Montant réparti en trop : "&amp;ROUND(SUM($M191:$R191)-$D191,2)&amp;".","Vérifié")))),"Saisissez les montants convenus pour que leur somme corresponde à la dépense."))))))</f>
      </c>
    </row>
    <row r="192">
      <c r="A192" s="83"/>
      <c r="B192" s="57"/>
      <c r="C192" s="57"/>
      <c r="D192" s="85"/>
      <c r="E192" s="57"/>
      <c r="F192" s="57"/>
      <c r="G192" s="57"/>
      <c r="H192" s="57"/>
      <c r="I192" s="57"/>
      <c r="J192" s="57"/>
      <c r="K192" s="57"/>
      <c r="L192" s="57"/>
      <c r="M192" s="85"/>
      <c r="N192" s="85"/>
      <c r="O192" s="85"/>
      <c r="P192" s="85"/>
      <c r="Q192" s="85"/>
      <c r="R192" s="85"/>
      <c r="S192" s="57"/>
      <c r="T192" s="87" t="str">
        <f>IF(COUNTIF($A192:$S192,"&lt;&gt;")=0,"",IF($F192="À parts égales entre participants",IF(G192&lt;&gt;"Oui",0,IF(COUNTIF($H192:$L192,"Oui")=0,$D192-0,ROUND($D192/COUNTIF($G192:$L192,"Oui"),2))),IF($F192="Montants convenus",IF(G192="Oui",M192,0),"")))</f>
      </c>
      <c r="U192" s="87" t="str">
        <f>IF(COUNTIF($A192:$S192,"&lt;&gt;")=0,"",IF($F192="À parts égales entre participants",IF(H192&lt;&gt;"Oui",0,IF(COUNTIF($I192:$L192,"Oui")=0,$D192-SUM($T192:T192),ROUND($D192/COUNTIF($G192:$L192,"Oui"),2))),IF($F192="Montants convenus",IF(H192="Oui",N192,0),"")))</f>
      </c>
      <c r="V192" s="87" t="str">
        <f>IF(COUNTIF($A192:$S192,"&lt;&gt;")=0,"",IF($F192="À parts égales entre participants",IF(I192&lt;&gt;"Oui",0,IF(COUNTIF($J192:$L192,"Oui")=0,$D192-SUM($T192:U192),ROUND($D192/COUNTIF($G192:$L192,"Oui"),2))),IF($F192="Montants convenus",IF(I192="Oui",O192,0),"")))</f>
      </c>
      <c r="W192" s="87" t="str">
        <f>IF(COUNTIF($A192:$S192,"&lt;&gt;")=0,"",IF($F192="À parts égales entre participants",IF(J192&lt;&gt;"Oui",0,IF(COUNTIF($K192:$L192,"Oui")=0,$D192-SUM($T192:V192),ROUND($D192/COUNTIF($G192:$L192,"Oui"),2))),IF($F192="Montants convenus",IF(J192="Oui",P192,0),"")))</f>
      </c>
      <c r="X192" s="87" t="str">
        <f>IF(COUNTIF($A192:$S192,"&lt;&gt;")=0,"",IF($F192="À parts égales entre participants",IF(K192&lt;&gt;"Oui",0,IF(COUNTIF($L192:$L192,"Oui")=0,$D192-SUM($T192:W192),ROUND($D192/COUNTIF($G192:$L192,"Oui"),2))),IF($F192="Montants convenus",IF(K192="Oui",Q192,0),"")))</f>
      </c>
      <c r="Y192" s="87" t="str">
        <f>IF(COUNTIF($A192:$S192,"&lt;&gt;")=0,"",IF($F192="À parts égales entre participants",IF(L192&lt;&gt;"Oui",0,IF(0=0,$D192-SUM($T192:X192),ROUND($D192/COUNTIF($G192:$L192,"Oui"),2))),IF($F192="Montants convenus",IF(L192="Oui",R192,0),"")))</f>
      </c>
      <c r="Z192" s="81" t="str">
        <f>IF(COUNTIF($A192:$S192,"&lt;&gt;")=0,"",IF(OR($D192="",$D192&lt;=0),"Saisissez un montant supérieur à zéro.",IF($E192="","Sélectionnez la personne qui a payé.",IF(COUNTIF($G192:$L192,"Oui")=0,"Sélectionnez au moins une personne participante.",IF($F192="À parts égales entre participants","Vérifié",IF($F192="Montants convenus",IF(OR(AND(G192="Oui",M192=""),AND(H192="Oui",N192=""),AND(I192="Oui",O192=""),AND(J192="Oui",P192=""),AND(K192="Oui",Q192=""),AND(L192="Oui",R192="")),"Saisissez les montants convenus pour que leur somme corresponde à la dépense.",IF(ABS(SUM($M192:$R192))&lt;0.005,"Saisissez les montants convenus pour que leur somme corresponde à la dépense.",IF(SUM($M192:$R192)&lt;$D192-0.005,"Montant restant à répartir : "&amp;ROUND($D192-SUM($M192:$R192),2)&amp;".",IF(SUM($M192:$R192)&gt;$D192+0.005,"Montant réparti en trop : "&amp;ROUND(SUM($M192:$R192)-$D192,2)&amp;".","Vérifié")))),"Saisissez les montants convenus pour que leur somme corresponde à la dépense."))))))</f>
      </c>
    </row>
    <row r="193">
      <c r="A193" s="83"/>
      <c r="B193" s="57"/>
      <c r="C193" s="57"/>
      <c r="D193" s="85"/>
      <c r="E193" s="57"/>
      <c r="F193" s="57"/>
      <c r="G193" s="57"/>
      <c r="H193" s="57"/>
      <c r="I193" s="57"/>
      <c r="J193" s="57"/>
      <c r="K193" s="57"/>
      <c r="L193" s="57"/>
      <c r="M193" s="85"/>
      <c r="N193" s="85"/>
      <c r="O193" s="85"/>
      <c r="P193" s="85"/>
      <c r="Q193" s="85"/>
      <c r="R193" s="85"/>
      <c r="S193" s="57"/>
      <c r="T193" s="87" t="str">
        <f>IF(COUNTIF($A193:$S193,"&lt;&gt;")=0,"",IF($F193="À parts égales entre participants",IF(G193&lt;&gt;"Oui",0,IF(COUNTIF($H193:$L193,"Oui")=0,$D193-0,ROUND($D193/COUNTIF($G193:$L193,"Oui"),2))),IF($F193="Montants convenus",IF(G193="Oui",M193,0),"")))</f>
      </c>
      <c r="U193" s="87" t="str">
        <f>IF(COUNTIF($A193:$S193,"&lt;&gt;")=0,"",IF($F193="À parts égales entre participants",IF(H193&lt;&gt;"Oui",0,IF(COUNTIF($I193:$L193,"Oui")=0,$D193-SUM($T193:T193),ROUND($D193/COUNTIF($G193:$L193,"Oui"),2))),IF($F193="Montants convenus",IF(H193="Oui",N193,0),"")))</f>
      </c>
      <c r="V193" s="87" t="str">
        <f>IF(COUNTIF($A193:$S193,"&lt;&gt;")=0,"",IF($F193="À parts égales entre participants",IF(I193&lt;&gt;"Oui",0,IF(COUNTIF($J193:$L193,"Oui")=0,$D193-SUM($T193:U193),ROUND($D193/COUNTIF($G193:$L193,"Oui"),2))),IF($F193="Montants convenus",IF(I193="Oui",O193,0),"")))</f>
      </c>
      <c r="W193" s="87" t="str">
        <f>IF(COUNTIF($A193:$S193,"&lt;&gt;")=0,"",IF($F193="À parts égales entre participants",IF(J193&lt;&gt;"Oui",0,IF(COUNTIF($K193:$L193,"Oui")=0,$D193-SUM($T193:V193),ROUND($D193/COUNTIF($G193:$L193,"Oui"),2))),IF($F193="Montants convenus",IF(J193="Oui",P193,0),"")))</f>
      </c>
      <c r="X193" s="87" t="str">
        <f>IF(COUNTIF($A193:$S193,"&lt;&gt;")=0,"",IF($F193="À parts égales entre participants",IF(K193&lt;&gt;"Oui",0,IF(COUNTIF($L193:$L193,"Oui")=0,$D193-SUM($T193:W193),ROUND($D193/COUNTIF($G193:$L193,"Oui"),2))),IF($F193="Montants convenus",IF(K193="Oui",Q193,0),"")))</f>
      </c>
      <c r="Y193" s="87" t="str">
        <f>IF(COUNTIF($A193:$S193,"&lt;&gt;")=0,"",IF($F193="À parts égales entre participants",IF(L193&lt;&gt;"Oui",0,IF(0=0,$D193-SUM($T193:X193),ROUND($D193/COUNTIF($G193:$L193,"Oui"),2))),IF($F193="Montants convenus",IF(L193="Oui",R193,0),"")))</f>
      </c>
      <c r="Z193" s="81" t="str">
        <f>IF(COUNTIF($A193:$S193,"&lt;&gt;")=0,"",IF(OR($D193="",$D193&lt;=0),"Saisissez un montant supérieur à zéro.",IF($E193="","Sélectionnez la personne qui a payé.",IF(COUNTIF($G193:$L193,"Oui")=0,"Sélectionnez au moins une personne participante.",IF($F193="À parts égales entre participants","Vérifié",IF($F193="Montants convenus",IF(OR(AND(G193="Oui",M193=""),AND(H193="Oui",N193=""),AND(I193="Oui",O193=""),AND(J193="Oui",P193=""),AND(K193="Oui",Q193=""),AND(L193="Oui",R193="")),"Saisissez les montants convenus pour que leur somme corresponde à la dépense.",IF(ABS(SUM($M193:$R193))&lt;0.005,"Saisissez les montants convenus pour que leur somme corresponde à la dépense.",IF(SUM($M193:$R193)&lt;$D193-0.005,"Montant restant à répartir : "&amp;ROUND($D193-SUM($M193:$R193),2)&amp;".",IF(SUM($M193:$R193)&gt;$D193+0.005,"Montant réparti en trop : "&amp;ROUND(SUM($M193:$R193)-$D193,2)&amp;".","Vérifié")))),"Saisissez les montants convenus pour que leur somme corresponde à la dépense."))))))</f>
      </c>
    </row>
    <row r="194">
      <c r="A194" s="83"/>
      <c r="B194" s="57"/>
      <c r="C194" s="57"/>
      <c r="D194" s="85"/>
      <c r="E194" s="57"/>
      <c r="F194" s="57"/>
      <c r="G194" s="57"/>
      <c r="H194" s="57"/>
      <c r="I194" s="57"/>
      <c r="J194" s="57"/>
      <c r="K194" s="57"/>
      <c r="L194" s="57"/>
      <c r="M194" s="85"/>
      <c r="N194" s="85"/>
      <c r="O194" s="85"/>
      <c r="P194" s="85"/>
      <c r="Q194" s="85"/>
      <c r="R194" s="85"/>
      <c r="S194" s="57"/>
      <c r="T194" s="87" t="str">
        <f>IF(COUNTIF($A194:$S194,"&lt;&gt;")=0,"",IF($F194="À parts égales entre participants",IF(G194&lt;&gt;"Oui",0,IF(COUNTIF($H194:$L194,"Oui")=0,$D194-0,ROUND($D194/COUNTIF($G194:$L194,"Oui"),2))),IF($F194="Montants convenus",IF(G194="Oui",M194,0),"")))</f>
      </c>
      <c r="U194" s="87" t="str">
        <f>IF(COUNTIF($A194:$S194,"&lt;&gt;")=0,"",IF($F194="À parts égales entre participants",IF(H194&lt;&gt;"Oui",0,IF(COUNTIF($I194:$L194,"Oui")=0,$D194-SUM($T194:T194),ROUND($D194/COUNTIF($G194:$L194,"Oui"),2))),IF($F194="Montants convenus",IF(H194="Oui",N194,0),"")))</f>
      </c>
      <c r="V194" s="87" t="str">
        <f>IF(COUNTIF($A194:$S194,"&lt;&gt;")=0,"",IF($F194="À parts égales entre participants",IF(I194&lt;&gt;"Oui",0,IF(COUNTIF($J194:$L194,"Oui")=0,$D194-SUM($T194:U194),ROUND($D194/COUNTIF($G194:$L194,"Oui"),2))),IF($F194="Montants convenus",IF(I194="Oui",O194,0),"")))</f>
      </c>
      <c r="W194" s="87" t="str">
        <f>IF(COUNTIF($A194:$S194,"&lt;&gt;")=0,"",IF($F194="À parts égales entre participants",IF(J194&lt;&gt;"Oui",0,IF(COUNTIF($K194:$L194,"Oui")=0,$D194-SUM($T194:V194),ROUND($D194/COUNTIF($G194:$L194,"Oui"),2))),IF($F194="Montants convenus",IF(J194="Oui",P194,0),"")))</f>
      </c>
      <c r="X194" s="87" t="str">
        <f>IF(COUNTIF($A194:$S194,"&lt;&gt;")=0,"",IF($F194="À parts égales entre participants",IF(K194&lt;&gt;"Oui",0,IF(COUNTIF($L194:$L194,"Oui")=0,$D194-SUM($T194:W194),ROUND($D194/COUNTIF($G194:$L194,"Oui"),2))),IF($F194="Montants convenus",IF(K194="Oui",Q194,0),"")))</f>
      </c>
      <c r="Y194" s="87" t="str">
        <f>IF(COUNTIF($A194:$S194,"&lt;&gt;")=0,"",IF($F194="À parts égales entre participants",IF(L194&lt;&gt;"Oui",0,IF(0=0,$D194-SUM($T194:X194),ROUND($D194/COUNTIF($G194:$L194,"Oui"),2))),IF($F194="Montants convenus",IF(L194="Oui",R194,0),"")))</f>
      </c>
      <c r="Z194" s="81" t="str">
        <f>IF(COUNTIF($A194:$S194,"&lt;&gt;")=0,"",IF(OR($D194="",$D194&lt;=0),"Saisissez un montant supérieur à zéro.",IF($E194="","Sélectionnez la personne qui a payé.",IF(COUNTIF($G194:$L194,"Oui")=0,"Sélectionnez au moins une personne participante.",IF($F194="À parts égales entre participants","Vérifié",IF($F194="Montants convenus",IF(OR(AND(G194="Oui",M194=""),AND(H194="Oui",N194=""),AND(I194="Oui",O194=""),AND(J194="Oui",P194=""),AND(K194="Oui",Q194=""),AND(L194="Oui",R194="")),"Saisissez les montants convenus pour que leur somme corresponde à la dépense.",IF(ABS(SUM($M194:$R194))&lt;0.005,"Saisissez les montants convenus pour que leur somme corresponde à la dépense.",IF(SUM($M194:$R194)&lt;$D194-0.005,"Montant restant à répartir : "&amp;ROUND($D194-SUM($M194:$R194),2)&amp;".",IF(SUM($M194:$R194)&gt;$D194+0.005,"Montant réparti en trop : "&amp;ROUND(SUM($M194:$R194)-$D194,2)&amp;".","Vérifié")))),"Saisissez les montants convenus pour que leur somme corresponde à la dépense."))))))</f>
      </c>
    </row>
    <row r="195">
      <c r="A195" s="83"/>
      <c r="B195" s="57"/>
      <c r="C195" s="57"/>
      <c r="D195" s="85"/>
      <c r="E195" s="57"/>
      <c r="F195" s="57"/>
      <c r="G195" s="57"/>
      <c r="H195" s="57"/>
      <c r="I195" s="57"/>
      <c r="J195" s="57"/>
      <c r="K195" s="57"/>
      <c r="L195" s="57"/>
      <c r="M195" s="85"/>
      <c r="N195" s="85"/>
      <c r="O195" s="85"/>
      <c r="P195" s="85"/>
      <c r="Q195" s="85"/>
      <c r="R195" s="85"/>
      <c r="S195" s="57"/>
      <c r="T195" s="87" t="str">
        <f>IF(COUNTIF($A195:$S195,"&lt;&gt;")=0,"",IF($F195="À parts égales entre participants",IF(G195&lt;&gt;"Oui",0,IF(COUNTIF($H195:$L195,"Oui")=0,$D195-0,ROUND($D195/COUNTIF($G195:$L195,"Oui"),2))),IF($F195="Montants convenus",IF(G195="Oui",M195,0),"")))</f>
      </c>
      <c r="U195" s="87" t="str">
        <f>IF(COUNTIF($A195:$S195,"&lt;&gt;")=0,"",IF($F195="À parts égales entre participants",IF(H195&lt;&gt;"Oui",0,IF(COUNTIF($I195:$L195,"Oui")=0,$D195-SUM($T195:T195),ROUND($D195/COUNTIF($G195:$L195,"Oui"),2))),IF($F195="Montants convenus",IF(H195="Oui",N195,0),"")))</f>
      </c>
      <c r="V195" s="87" t="str">
        <f>IF(COUNTIF($A195:$S195,"&lt;&gt;")=0,"",IF($F195="À parts égales entre participants",IF(I195&lt;&gt;"Oui",0,IF(COUNTIF($J195:$L195,"Oui")=0,$D195-SUM($T195:U195),ROUND($D195/COUNTIF($G195:$L195,"Oui"),2))),IF($F195="Montants convenus",IF(I195="Oui",O195,0),"")))</f>
      </c>
      <c r="W195" s="87" t="str">
        <f>IF(COUNTIF($A195:$S195,"&lt;&gt;")=0,"",IF($F195="À parts égales entre participants",IF(J195&lt;&gt;"Oui",0,IF(COUNTIF($K195:$L195,"Oui")=0,$D195-SUM($T195:V195),ROUND($D195/COUNTIF($G195:$L195,"Oui"),2))),IF($F195="Montants convenus",IF(J195="Oui",P195,0),"")))</f>
      </c>
      <c r="X195" s="87" t="str">
        <f>IF(COUNTIF($A195:$S195,"&lt;&gt;")=0,"",IF($F195="À parts égales entre participants",IF(K195&lt;&gt;"Oui",0,IF(COUNTIF($L195:$L195,"Oui")=0,$D195-SUM($T195:W195),ROUND($D195/COUNTIF($G195:$L195,"Oui"),2))),IF($F195="Montants convenus",IF(K195="Oui",Q195,0),"")))</f>
      </c>
      <c r="Y195" s="87" t="str">
        <f>IF(COUNTIF($A195:$S195,"&lt;&gt;")=0,"",IF($F195="À parts égales entre participants",IF(L195&lt;&gt;"Oui",0,IF(0=0,$D195-SUM($T195:X195),ROUND($D195/COUNTIF($G195:$L195,"Oui"),2))),IF($F195="Montants convenus",IF(L195="Oui",R195,0),"")))</f>
      </c>
      <c r="Z195" s="81" t="str">
        <f>IF(COUNTIF($A195:$S195,"&lt;&gt;")=0,"",IF(OR($D195="",$D195&lt;=0),"Saisissez un montant supérieur à zéro.",IF($E195="","Sélectionnez la personne qui a payé.",IF(COUNTIF($G195:$L195,"Oui")=0,"Sélectionnez au moins une personne participante.",IF($F195="À parts égales entre participants","Vérifié",IF($F195="Montants convenus",IF(OR(AND(G195="Oui",M195=""),AND(H195="Oui",N195=""),AND(I195="Oui",O195=""),AND(J195="Oui",P195=""),AND(K195="Oui",Q195=""),AND(L195="Oui",R195="")),"Saisissez les montants convenus pour que leur somme corresponde à la dépense.",IF(ABS(SUM($M195:$R195))&lt;0.005,"Saisissez les montants convenus pour que leur somme corresponde à la dépense.",IF(SUM($M195:$R195)&lt;$D195-0.005,"Montant restant à répartir : "&amp;ROUND($D195-SUM($M195:$R195),2)&amp;".",IF(SUM($M195:$R195)&gt;$D195+0.005,"Montant réparti en trop : "&amp;ROUND(SUM($M195:$R195)-$D195,2)&amp;".","Vérifié")))),"Saisissez les montants convenus pour que leur somme corresponde à la dépense."))))))</f>
      </c>
    </row>
    <row r="196">
      <c r="A196" s="83"/>
      <c r="B196" s="57"/>
      <c r="C196" s="57"/>
      <c r="D196" s="85"/>
      <c r="E196" s="57"/>
      <c r="F196" s="57"/>
      <c r="G196" s="57"/>
      <c r="H196" s="57"/>
      <c r="I196" s="57"/>
      <c r="J196" s="57"/>
      <c r="K196" s="57"/>
      <c r="L196" s="57"/>
      <c r="M196" s="85"/>
      <c r="N196" s="85"/>
      <c r="O196" s="85"/>
      <c r="P196" s="85"/>
      <c r="Q196" s="85"/>
      <c r="R196" s="85"/>
      <c r="S196" s="57"/>
      <c r="T196" s="87" t="str">
        <f>IF(COUNTIF($A196:$S196,"&lt;&gt;")=0,"",IF($F196="À parts égales entre participants",IF(G196&lt;&gt;"Oui",0,IF(COUNTIF($H196:$L196,"Oui")=0,$D196-0,ROUND($D196/COUNTIF($G196:$L196,"Oui"),2))),IF($F196="Montants convenus",IF(G196="Oui",M196,0),"")))</f>
      </c>
      <c r="U196" s="87" t="str">
        <f>IF(COUNTIF($A196:$S196,"&lt;&gt;")=0,"",IF($F196="À parts égales entre participants",IF(H196&lt;&gt;"Oui",0,IF(COUNTIF($I196:$L196,"Oui")=0,$D196-SUM($T196:T196),ROUND($D196/COUNTIF($G196:$L196,"Oui"),2))),IF($F196="Montants convenus",IF(H196="Oui",N196,0),"")))</f>
      </c>
      <c r="V196" s="87" t="str">
        <f>IF(COUNTIF($A196:$S196,"&lt;&gt;")=0,"",IF($F196="À parts égales entre participants",IF(I196&lt;&gt;"Oui",0,IF(COUNTIF($J196:$L196,"Oui")=0,$D196-SUM($T196:U196),ROUND($D196/COUNTIF($G196:$L196,"Oui"),2))),IF($F196="Montants convenus",IF(I196="Oui",O196,0),"")))</f>
      </c>
      <c r="W196" s="87" t="str">
        <f>IF(COUNTIF($A196:$S196,"&lt;&gt;")=0,"",IF($F196="À parts égales entre participants",IF(J196&lt;&gt;"Oui",0,IF(COUNTIF($K196:$L196,"Oui")=0,$D196-SUM($T196:V196),ROUND($D196/COUNTIF($G196:$L196,"Oui"),2))),IF($F196="Montants convenus",IF(J196="Oui",P196,0),"")))</f>
      </c>
      <c r="X196" s="87" t="str">
        <f>IF(COUNTIF($A196:$S196,"&lt;&gt;")=0,"",IF($F196="À parts égales entre participants",IF(K196&lt;&gt;"Oui",0,IF(COUNTIF($L196:$L196,"Oui")=0,$D196-SUM($T196:W196),ROUND($D196/COUNTIF($G196:$L196,"Oui"),2))),IF($F196="Montants convenus",IF(K196="Oui",Q196,0),"")))</f>
      </c>
      <c r="Y196" s="87" t="str">
        <f>IF(COUNTIF($A196:$S196,"&lt;&gt;")=0,"",IF($F196="À parts égales entre participants",IF(L196&lt;&gt;"Oui",0,IF(0=0,$D196-SUM($T196:X196),ROUND($D196/COUNTIF($G196:$L196,"Oui"),2))),IF($F196="Montants convenus",IF(L196="Oui",R196,0),"")))</f>
      </c>
      <c r="Z196" s="81" t="str">
        <f>IF(COUNTIF($A196:$S196,"&lt;&gt;")=0,"",IF(OR($D196="",$D196&lt;=0),"Saisissez un montant supérieur à zéro.",IF($E196="","Sélectionnez la personne qui a payé.",IF(COUNTIF($G196:$L196,"Oui")=0,"Sélectionnez au moins une personne participante.",IF($F196="À parts égales entre participants","Vérifié",IF($F196="Montants convenus",IF(OR(AND(G196="Oui",M196=""),AND(H196="Oui",N196=""),AND(I196="Oui",O196=""),AND(J196="Oui",P196=""),AND(K196="Oui",Q196=""),AND(L196="Oui",R196="")),"Saisissez les montants convenus pour que leur somme corresponde à la dépense.",IF(ABS(SUM($M196:$R196))&lt;0.005,"Saisissez les montants convenus pour que leur somme corresponde à la dépense.",IF(SUM($M196:$R196)&lt;$D196-0.005,"Montant restant à répartir : "&amp;ROUND($D196-SUM($M196:$R196),2)&amp;".",IF(SUM($M196:$R196)&gt;$D196+0.005,"Montant réparti en trop : "&amp;ROUND(SUM($M196:$R196)-$D196,2)&amp;".","Vérifié")))),"Saisissez les montants convenus pour que leur somme corresponde à la dépense."))))))</f>
      </c>
    </row>
    <row r="197">
      <c r="A197" s="83"/>
      <c r="B197" s="57"/>
      <c r="C197" s="57"/>
      <c r="D197" s="85"/>
      <c r="E197" s="57"/>
      <c r="F197" s="57"/>
      <c r="G197" s="57"/>
      <c r="H197" s="57"/>
      <c r="I197" s="57"/>
      <c r="J197" s="57"/>
      <c r="K197" s="57"/>
      <c r="L197" s="57"/>
      <c r="M197" s="85"/>
      <c r="N197" s="85"/>
      <c r="O197" s="85"/>
      <c r="P197" s="85"/>
      <c r="Q197" s="85"/>
      <c r="R197" s="85"/>
      <c r="S197" s="57"/>
      <c r="T197" s="87" t="str">
        <f>IF(COUNTIF($A197:$S197,"&lt;&gt;")=0,"",IF($F197="À parts égales entre participants",IF(G197&lt;&gt;"Oui",0,IF(COUNTIF($H197:$L197,"Oui")=0,$D197-0,ROUND($D197/COUNTIF($G197:$L197,"Oui"),2))),IF($F197="Montants convenus",IF(G197="Oui",M197,0),"")))</f>
      </c>
      <c r="U197" s="87" t="str">
        <f>IF(COUNTIF($A197:$S197,"&lt;&gt;")=0,"",IF($F197="À parts égales entre participants",IF(H197&lt;&gt;"Oui",0,IF(COUNTIF($I197:$L197,"Oui")=0,$D197-SUM($T197:T197),ROUND($D197/COUNTIF($G197:$L197,"Oui"),2))),IF($F197="Montants convenus",IF(H197="Oui",N197,0),"")))</f>
      </c>
      <c r="V197" s="87" t="str">
        <f>IF(COUNTIF($A197:$S197,"&lt;&gt;")=0,"",IF($F197="À parts égales entre participants",IF(I197&lt;&gt;"Oui",0,IF(COUNTIF($J197:$L197,"Oui")=0,$D197-SUM($T197:U197),ROUND($D197/COUNTIF($G197:$L197,"Oui"),2))),IF($F197="Montants convenus",IF(I197="Oui",O197,0),"")))</f>
      </c>
      <c r="W197" s="87" t="str">
        <f>IF(COUNTIF($A197:$S197,"&lt;&gt;")=0,"",IF($F197="À parts égales entre participants",IF(J197&lt;&gt;"Oui",0,IF(COUNTIF($K197:$L197,"Oui")=0,$D197-SUM($T197:V197),ROUND($D197/COUNTIF($G197:$L197,"Oui"),2))),IF($F197="Montants convenus",IF(J197="Oui",P197,0),"")))</f>
      </c>
      <c r="X197" s="87" t="str">
        <f>IF(COUNTIF($A197:$S197,"&lt;&gt;")=0,"",IF($F197="À parts égales entre participants",IF(K197&lt;&gt;"Oui",0,IF(COUNTIF($L197:$L197,"Oui")=0,$D197-SUM($T197:W197),ROUND($D197/COUNTIF($G197:$L197,"Oui"),2))),IF($F197="Montants convenus",IF(K197="Oui",Q197,0),"")))</f>
      </c>
      <c r="Y197" s="87" t="str">
        <f>IF(COUNTIF($A197:$S197,"&lt;&gt;")=0,"",IF($F197="À parts égales entre participants",IF(L197&lt;&gt;"Oui",0,IF(0=0,$D197-SUM($T197:X197),ROUND($D197/COUNTIF($G197:$L197,"Oui"),2))),IF($F197="Montants convenus",IF(L197="Oui",R197,0),"")))</f>
      </c>
      <c r="Z197" s="81" t="str">
        <f>IF(COUNTIF($A197:$S197,"&lt;&gt;")=0,"",IF(OR($D197="",$D197&lt;=0),"Saisissez un montant supérieur à zéro.",IF($E197="","Sélectionnez la personne qui a payé.",IF(COUNTIF($G197:$L197,"Oui")=0,"Sélectionnez au moins une personne participante.",IF($F197="À parts égales entre participants","Vérifié",IF($F197="Montants convenus",IF(OR(AND(G197="Oui",M197=""),AND(H197="Oui",N197=""),AND(I197="Oui",O197=""),AND(J197="Oui",P197=""),AND(K197="Oui",Q197=""),AND(L197="Oui",R197="")),"Saisissez les montants convenus pour que leur somme corresponde à la dépense.",IF(ABS(SUM($M197:$R197))&lt;0.005,"Saisissez les montants convenus pour que leur somme corresponde à la dépense.",IF(SUM($M197:$R197)&lt;$D197-0.005,"Montant restant à répartir : "&amp;ROUND($D197-SUM($M197:$R197),2)&amp;".",IF(SUM($M197:$R197)&gt;$D197+0.005,"Montant réparti en trop : "&amp;ROUND(SUM($M197:$R197)-$D197,2)&amp;".","Vérifié")))),"Saisissez les montants convenus pour que leur somme corresponde à la dépense."))))))</f>
      </c>
    </row>
    <row r="198">
      <c r="A198" s="83"/>
      <c r="B198" s="57"/>
      <c r="C198" s="57"/>
      <c r="D198" s="85"/>
      <c r="E198" s="57"/>
      <c r="F198" s="57"/>
      <c r="G198" s="57"/>
      <c r="H198" s="57"/>
      <c r="I198" s="57"/>
      <c r="J198" s="57"/>
      <c r="K198" s="57"/>
      <c r="L198" s="57"/>
      <c r="M198" s="85"/>
      <c r="N198" s="85"/>
      <c r="O198" s="85"/>
      <c r="P198" s="85"/>
      <c r="Q198" s="85"/>
      <c r="R198" s="85"/>
      <c r="S198" s="57"/>
      <c r="T198" s="87" t="str">
        <f>IF(COUNTIF($A198:$S198,"&lt;&gt;")=0,"",IF($F198="À parts égales entre participants",IF(G198&lt;&gt;"Oui",0,IF(COUNTIF($H198:$L198,"Oui")=0,$D198-0,ROUND($D198/COUNTIF($G198:$L198,"Oui"),2))),IF($F198="Montants convenus",IF(G198="Oui",M198,0),"")))</f>
      </c>
      <c r="U198" s="87" t="str">
        <f>IF(COUNTIF($A198:$S198,"&lt;&gt;")=0,"",IF($F198="À parts égales entre participants",IF(H198&lt;&gt;"Oui",0,IF(COUNTIF($I198:$L198,"Oui")=0,$D198-SUM($T198:T198),ROUND($D198/COUNTIF($G198:$L198,"Oui"),2))),IF($F198="Montants convenus",IF(H198="Oui",N198,0),"")))</f>
      </c>
      <c r="V198" s="87" t="str">
        <f>IF(COUNTIF($A198:$S198,"&lt;&gt;")=0,"",IF($F198="À parts égales entre participants",IF(I198&lt;&gt;"Oui",0,IF(COUNTIF($J198:$L198,"Oui")=0,$D198-SUM($T198:U198),ROUND($D198/COUNTIF($G198:$L198,"Oui"),2))),IF($F198="Montants convenus",IF(I198="Oui",O198,0),"")))</f>
      </c>
      <c r="W198" s="87" t="str">
        <f>IF(COUNTIF($A198:$S198,"&lt;&gt;")=0,"",IF($F198="À parts égales entre participants",IF(J198&lt;&gt;"Oui",0,IF(COUNTIF($K198:$L198,"Oui")=0,$D198-SUM($T198:V198),ROUND($D198/COUNTIF($G198:$L198,"Oui"),2))),IF($F198="Montants convenus",IF(J198="Oui",P198,0),"")))</f>
      </c>
      <c r="X198" s="87" t="str">
        <f>IF(COUNTIF($A198:$S198,"&lt;&gt;")=0,"",IF($F198="À parts égales entre participants",IF(K198&lt;&gt;"Oui",0,IF(COUNTIF($L198:$L198,"Oui")=0,$D198-SUM($T198:W198),ROUND($D198/COUNTIF($G198:$L198,"Oui"),2))),IF($F198="Montants convenus",IF(K198="Oui",Q198,0),"")))</f>
      </c>
      <c r="Y198" s="87" t="str">
        <f>IF(COUNTIF($A198:$S198,"&lt;&gt;")=0,"",IF($F198="À parts égales entre participants",IF(L198&lt;&gt;"Oui",0,IF(0=0,$D198-SUM($T198:X198),ROUND($D198/COUNTIF($G198:$L198,"Oui"),2))),IF($F198="Montants convenus",IF(L198="Oui",R198,0),"")))</f>
      </c>
      <c r="Z198" s="81" t="str">
        <f>IF(COUNTIF($A198:$S198,"&lt;&gt;")=0,"",IF(OR($D198="",$D198&lt;=0),"Saisissez un montant supérieur à zéro.",IF($E198="","Sélectionnez la personne qui a payé.",IF(COUNTIF($G198:$L198,"Oui")=0,"Sélectionnez au moins une personne participante.",IF($F198="À parts égales entre participants","Vérifié",IF($F198="Montants convenus",IF(OR(AND(G198="Oui",M198=""),AND(H198="Oui",N198=""),AND(I198="Oui",O198=""),AND(J198="Oui",P198=""),AND(K198="Oui",Q198=""),AND(L198="Oui",R198="")),"Saisissez les montants convenus pour que leur somme corresponde à la dépense.",IF(ABS(SUM($M198:$R198))&lt;0.005,"Saisissez les montants convenus pour que leur somme corresponde à la dépense.",IF(SUM($M198:$R198)&lt;$D198-0.005,"Montant restant à répartir : "&amp;ROUND($D198-SUM($M198:$R198),2)&amp;".",IF(SUM($M198:$R198)&gt;$D198+0.005,"Montant réparti en trop : "&amp;ROUND(SUM($M198:$R198)-$D198,2)&amp;".","Vérifié")))),"Saisissez les montants convenus pour que leur somme corresponde à la dépense."))))))</f>
      </c>
    </row>
    <row r="199">
      <c r="A199" s="83"/>
      <c r="B199" s="57"/>
      <c r="C199" s="57"/>
      <c r="D199" s="85"/>
      <c r="E199" s="57"/>
      <c r="F199" s="57"/>
      <c r="G199" s="57"/>
      <c r="H199" s="57"/>
      <c r="I199" s="57"/>
      <c r="J199" s="57"/>
      <c r="K199" s="57"/>
      <c r="L199" s="57"/>
      <c r="M199" s="85"/>
      <c r="N199" s="85"/>
      <c r="O199" s="85"/>
      <c r="P199" s="85"/>
      <c r="Q199" s="85"/>
      <c r="R199" s="85"/>
      <c r="S199" s="57"/>
      <c r="T199" s="87" t="str">
        <f>IF(COUNTIF($A199:$S199,"&lt;&gt;")=0,"",IF($F199="À parts égales entre participants",IF(G199&lt;&gt;"Oui",0,IF(COUNTIF($H199:$L199,"Oui")=0,$D199-0,ROUND($D199/COUNTIF($G199:$L199,"Oui"),2))),IF($F199="Montants convenus",IF(G199="Oui",M199,0),"")))</f>
      </c>
      <c r="U199" s="87" t="str">
        <f>IF(COUNTIF($A199:$S199,"&lt;&gt;")=0,"",IF($F199="À parts égales entre participants",IF(H199&lt;&gt;"Oui",0,IF(COUNTIF($I199:$L199,"Oui")=0,$D199-SUM($T199:T199),ROUND($D199/COUNTIF($G199:$L199,"Oui"),2))),IF($F199="Montants convenus",IF(H199="Oui",N199,0),"")))</f>
      </c>
      <c r="V199" s="87" t="str">
        <f>IF(COUNTIF($A199:$S199,"&lt;&gt;")=0,"",IF($F199="À parts égales entre participants",IF(I199&lt;&gt;"Oui",0,IF(COUNTIF($J199:$L199,"Oui")=0,$D199-SUM($T199:U199),ROUND($D199/COUNTIF($G199:$L199,"Oui"),2))),IF($F199="Montants convenus",IF(I199="Oui",O199,0),"")))</f>
      </c>
      <c r="W199" s="87" t="str">
        <f>IF(COUNTIF($A199:$S199,"&lt;&gt;")=0,"",IF($F199="À parts égales entre participants",IF(J199&lt;&gt;"Oui",0,IF(COUNTIF($K199:$L199,"Oui")=0,$D199-SUM($T199:V199),ROUND($D199/COUNTIF($G199:$L199,"Oui"),2))),IF($F199="Montants convenus",IF(J199="Oui",P199,0),"")))</f>
      </c>
      <c r="X199" s="87" t="str">
        <f>IF(COUNTIF($A199:$S199,"&lt;&gt;")=0,"",IF($F199="À parts égales entre participants",IF(K199&lt;&gt;"Oui",0,IF(COUNTIF($L199:$L199,"Oui")=0,$D199-SUM($T199:W199),ROUND($D199/COUNTIF($G199:$L199,"Oui"),2))),IF($F199="Montants convenus",IF(K199="Oui",Q199,0),"")))</f>
      </c>
      <c r="Y199" s="87" t="str">
        <f>IF(COUNTIF($A199:$S199,"&lt;&gt;")=0,"",IF($F199="À parts égales entre participants",IF(L199&lt;&gt;"Oui",0,IF(0=0,$D199-SUM($T199:X199),ROUND($D199/COUNTIF($G199:$L199,"Oui"),2))),IF($F199="Montants convenus",IF(L199="Oui",R199,0),"")))</f>
      </c>
      <c r="Z199" s="81" t="str">
        <f>IF(COUNTIF($A199:$S199,"&lt;&gt;")=0,"",IF(OR($D199="",$D199&lt;=0),"Saisissez un montant supérieur à zéro.",IF($E199="","Sélectionnez la personne qui a payé.",IF(COUNTIF($G199:$L199,"Oui")=0,"Sélectionnez au moins une personne participante.",IF($F199="À parts égales entre participants","Vérifié",IF($F199="Montants convenus",IF(OR(AND(G199="Oui",M199=""),AND(H199="Oui",N199=""),AND(I199="Oui",O199=""),AND(J199="Oui",P199=""),AND(K199="Oui",Q199=""),AND(L199="Oui",R199="")),"Saisissez les montants convenus pour que leur somme corresponde à la dépense.",IF(ABS(SUM($M199:$R199))&lt;0.005,"Saisissez les montants convenus pour que leur somme corresponde à la dépense.",IF(SUM($M199:$R199)&lt;$D199-0.005,"Montant restant à répartir : "&amp;ROUND($D199-SUM($M199:$R199),2)&amp;".",IF(SUM($M199:$R199)&gt;$D199+0.005,"Montant réparti en trop : "&amp;ROUND(SUM($M199:$R199)-$D199,2)&amp;".","Vérifié")))),"Saisissez les montants convenus pour que leur somme corresponde à la dépense."))))))</f>
      </c>
    </row>
    <row r="200">
      <c r="A200" s="83"/>
      <c r="B200" s="57"/>
      <c r="C200" s="57"/>
      <c r="D200" s="85"/>
      <c r="E200" s="57"/>
      <c r="F200" s="57"/>
      <c r="G200" s="57"/>
      <c r="H200" s="57"/>
      <c r="I200" s="57"/>
      <c r="J200" s="57"/>
      <c r="K200" s="57"/>
      <c r="L200" s="57"/>
      <c r="M200" s="85"/>
      <c r="N200" s="85"/>
      <c r="O200" s="85"/>
      <c r="P200" s="85"/>
      <c r="Q200" s="85"/>
      <c r="R200" s="85"/>
      <c r="S200" s="57"/>
      <c r="T200" s="87" t="str">
        <f>IF(COUNTIF($A200:$S200,"&lt;&gt;")=0,"",IF($F200="À parts égales entre participants",IF(G200&lt;&gt;"Oui",0,IF(COUNTIF($H200:$L200,"Oui")=0,$D200-0,ROUND($D200/COUNTIF($G200:$L200,"Oui"),2))),IF($F200="Montants convenus",IF(G200="Oui",M200,0),"")))</f>
      </c>
      <c r="U200" s="87" t="str">
        <f>IF(COUNTIF($A200:$S200,"&lt;&gt;")=0,"",IF($F200="À parts égales entre participants",IF(H200&lt;&gt;"Oui",0,IF(COUNTIF($I200:$L200,"Oui")=0,$D200-SUM($T200:T200),ROUND($D200/COUNTIF($G200:$L200,"Oui"),2))),IF($F200="Montants convenus",IF(H200="Oui",N200,0),"")))</f>
      </c>
      <c r="V200" s="87" t="str">
        <f>IF(COUNTIF($A200:$S200,"&lt;&gt;")=0,"",IF($F200="À parts égales entre participants",IF(I200&lt;&gt;"Oui",0,IF(COUNTIF($J200:$L200,"Oui")=0,$D200-SUM($T200:U200),ROUND($D200/COUNTIF($G200:$L200,"Oui"),2))),IF($F200="Montants convenus",IF(I200="Oui",O200,0),"")))</f>
      </c>
      <c r="W200" s="87" t="str">
        <f>IF(COUNTIF($A200:$S200,"&lt;&gt;")=0,"",IF($F200="À parts égales entre participants",IF(J200&lt;&gt;"Oui",0,IF(COUNTIF($K200:$L200,"Oui")=0,$D200-SUM($T200:V200),ROUND($D200/COUNTIF($G200:$L200,"Oui"),2))),IF($F200="Montants convenus",IF(J200="Oui",P200,0),"")))</f>
      </c>
      <c r="X200" s="87" t="str">
        <f>IF(COUNTIF($A200:$S200,"&lt;&gt;")=0,"",IF($F200="À parts égales entre participants",IF(K200&lt;&gt;"Oui",0,IF(COUNTIF($L200:$L200,"Oui")=0,$D200-SUM($T200:W200),ROUND($D200/COUNTIF($G200:$L200,"Oui"),2))),IF($F200="Montants convenus",IF(K200="Oui",Q200,0),"")))</f>
      </c>
      <c r="Y200" s="87" t="str">
        <f>IF(COUNTIF($A200:$S200,"&lt;&gt;")=0,"",IF($F200="À parts égales entre participants",IF(L200&lt;&gt;"Oui",0,IF(0=0,$D200-SUM($T200:X200),ROUND($D200/COUNTIF($G200:$L200,"Oui"),2))),IF($F200="Montants convenus",IF(L200="Oui",R200,0),"")))</f>
      </c>
      <c r="Z200" s="81" t="str">
        <f>IF(COUNTIF($A200:$S200,"&lt;&gt;")=0,"",IF(OR($D200="",$D200&lt;=0),"Saisissez un montant supérieur à zéro.",IF($E200="","Sélectionnez la personne qui a payé.",IF(COUNTIF($G200:$L200,"Oui")=0,"Sélectionnez au moins une personne participante.",IF($F200="À parts égales entre participants","Vérifié",IF($F200="Montants convenus",IF(OR(AND(G200="Oui",M200=""),AND(H200="Oui",N200=""),AND(I200="Oui",O200=""),AND(J200="Oui",P200=""),AND(K200="Oui",Q200=""),AND(L200="Oui",R200="")),"Saisissez les montants convenus pour que leur somme corresponde à la dépense.",IF(ABS(SUM($M200:$R200))&lt;0.005,"Saisissez les montants convenus pour que leur somme corresponde à la dépense.",IF(SUM($M200:$R200)&lt;$D200-0.005,"Montant restant à répartir : "&amp;ROUND($D200-SUM($M200:$R200),2)&amp;".",IF(SUM($M200:$R200)&gt;$D200+0.005,"Montant réparti en trop : "&amp;ROUND(SUM($M200:$R200)-$D200,2)&amp;".","Vérifié")))),"Saisissez les montants convenus pour que leur somme corresponde à la dépense."))))))</f>
      </c>
    </row>
    <row r="201">
      <c r="A201" s="83"/>
      <c r="B201" s="57"/>
      <c r="C201" s="57"/>
      <c r="D201" s="85"/>
      <c r="E201" s="57"/>
      <c r="F201" s="57"/>
      <c r="G201" s="57"/>
      <c r="H201" s="57"/>
      <c r="I201" s="57"/>
      <c r="J201" s="57"/>
      <c r="K201" s="57"/>
      <c r="L201" s="57"/>
      <c r="M201" s="85"/>
      <c r="N201" s="85"/>
      <c r="O201" s="85"/>
      <c r="P201" s="85"/>
      <c r="Q201" s="85"/>
      <c r="R201" s="85"/>
      <c r="S201" s="57"/>
      <c r="T201" s="87" t="str">
        <f>IF(COUNTIF($A201:$S201,"&lt;&gt;")=0,"",IF($F201="À parts égales entre participants",IF(G201&lt;&gt;"Oui",0,IF(COUNTIF($H201:$L201,"Oui")=0,$D201-0,ROUND($D201/COUNTIF($G201:$L201,"Oui"),2))),IF($F201="Montants convenus",IF(G201="Oui",M201,0),"")))</f>
      </c>
      <c r="U201" s="87" t="str">
        <f>IF(COUNTIF($A201:$S201,"&lt;&gt;")=0,"",IF($F201="À parts égales entre participants",IF(H201&lt;&gt;"Oui",0,IF(COUNTIF($I201:$L201,"Oui")=0,$D201-SUM($T201:T201),ROUND($D201/COUNTIF($G201:$L201,"Oui"),2))),IF($F201="Montants convenus",IF(H201="Oui",N201,0),"")))</f>
      </c>
      <c r="V201" s="87" t="str">
        <f>IF(COUNTIF($A201:$S201,"&lt;&gt;")=0,"",IF($F201="À parts égales entre participants",IF(I201&lt;&gt;"Oui",0,IF(COUNTIF($J201:$L201,"Oui")=0,$D201-SUM($T201:U201),ROUND($D201/COUNTIF($G201:$L201,"Oui"),2))),IF($F201="Montants convenus",IF(I201="Oui",O201,0),"")))</f>
      </c>
      <c r="W201" s="87" t="str">
        <f>IF(COUNTIF($A201:$S201,"&lt;&gt;")=0,"",IF($F201="À parts égales entre participants",IF(J201&lt;&gt;"Oui",0,IF(COUNTIF($K201:$L201,"Oui")=0,$D201-SUM($T201:V201),ROUND($D201/COUNTIF($G201:$L201,"Oui"),2))),IF($F201="Montants convenus",IF(J201="Oui",P201,0),"")))</f>
      </c>
      <c r="X201" s="87" t="str">
        <f>IF(COUNTIF($A201:$S201,"&lt;&gt;")=0,"",IF($F201="À parts égales entre participants",IF(K201&lt;&gt;"Oui",0,IF(COUNTIF($L201:$L201,"Oui")=0,$D201-SUM($T201:W201),ROUND($D201/COUNTIF($G201:$L201,"Oui"),2))),IF($F201="Montants convenus",IF(K201="Oui",Q201,0),"")))</f>
      </c>
      <c r="Y201" s="87" t="str">
        <f>IF(COUNTIF($A201:$S201,"&lt;&gt;")=0,"",IF($F201="À parts égales entre participants",IF(L201&lt;&gt;"Oui",0,IF(0=0,$D201-SUM($T201:X201),ROUND($D201/COUNTIF($G201:$L201,"Oui"),2))),IF($F201="Montants convenus",IF(L201="Oui",R201,0),"")))</f>
      </c>
      <c r="Z201" s="81" t="str">
        <f>IF(COUNTIF($A201:$S201,"&lt;&gt;")=0,"",IF(OR($D201="",$D201&lt;=0),"Saisissez un montant supérieur à zéro.",IF($E201="","Sélectionnez la personne qui a payé.",IF(COUNTIF($G201:$L201,"Oui")=0,"Sélectionnez au moins une personne participante.",IF($F201="À parts égales entre participants","Vérifié",IF($F201="Montants convenus",IF(OR(AND(G201="Oui",M201=""),AND(H201="Oui",N201=""),AND(I201="Oui",O201=""),AND(J201="Oui",P201=""),AND(K201="Oui",Q201=""),AND(L201="Oui",R201="")),"Saisissez les montants convenus pour que leur somme corresponde à la dépense.",IF(ABS(SUM($M201:$R201))&lt;0.005,"Saisissez les montants convenus pour que leur somme corresponde à la dépense.",IF(SUM($M201:$R201)&lt;$D201-0.005,"Montant restant à répartir : "&amp;ROUND($D201-SUM($M201:$R201),2)&amp;".",IF(SUM($M201:$R201)&gt;$D201+0.005,"Montant réparti en trop : "&amp;ROUND(SUM($M201:$R201)-$D201,2)&amp;".","Vérifié")))),"Saisissez les montants convenus pour que leur somme corresponde à la dépense."))))))</f>
      </c>
    </row>
    <row r="202">
      <c r="A202" s="83"/>
      <c r="B202" s="57"/>
      <c r="C202" s="57"/>
      <c r="D202" s="85"/>
      <c r="E202" s="57"/>
      <c r="F202" s="57"/>
      <c r="G202" s="57"/>
      <c r="H202" s="57"/>
      <c r="I202" s="57"/>
      <c r="J202" s="57"/>
      <c r="K202" s="57"/>
      <c r="L202" s="57"/>
      <c r="M202" s="85"/>
      <c r="N202" s="85"/>
      <c r="O202" s="85"/>
      <c r="P202" s="85"/>
      <c r="Q202" s="85"/>
      <c r="R202" s="85"/>
      <c r="S202" s="57"/>
      <c r="T202" s="87" t="str">
        <f>IF(COUNTIF($A202:$S202,"&lt;&gt;")=0,"",IF($F202="À parts égales entre participants",IF(G202&lt;&gt;"Oui",0,IF(COUNTIF($H202:$L202,"Oui")=0,$D202-0,ROUND($D202/COUNTIF($G202:$L202,"Oui"),2))),IF($F202="Montants convenus",IF(G202="Oui",M202,0),"")))</f>
      </c>
      <c r="U202" s="87" t="str">
        <f>IF(COUNTIF($A202:$S202,"&lt;&gt;")=0,"",IF($F202="À parts égales entre participants",IF(H202&lt;&gt;"Oui",0,IF(COUNTIF($I202:$L202,"Oui")=0,$D202-SUM($T202:T202),ROUND($D202/COUNTIF($G202:$L202,"Oui"),2))),IF($F202="Montants convenus",IF(H202="Oui",N202,0),"")))</f>
      </c>
      <c r="V202" s="87" t="str">
        <f>IF(COUNTIF($A202:$S202,"&lt;&gt;")=0,"",IF($F202="À parts égales entre participants",IF(I202&lt;&gt;"Oui",0,IF(COUNTIF($J202:$L202,"Oui")=0,$D202-SUM($T202:U202),ROUND($D202/COUNTIF($G202:$L202,"Oui"),2))),IF($F202="Montants convenus",IF(I202="Oui",O202,0),"")))</f>
      </c>
      <c r="W202" s="87" t="str">
        <f>IF(COUNTIF($A202:$S202,"&lt;&gt;")=0,"",IF($F202="À parts égales entre participants",IF(J202&lt;&gt;"Oui",0,IF(COUNTIF($K202:$L202,"Oui")=0,$D202-SUM($T202:V202),ROUND($D202/COUNTIF($G202:$L202,"Oui"),2))),IF($F202="Montants convenus",IF(J202="Oui",P202,0),"")))</f>
      </c>
      <c r="X202" s="87" t="str">
        <f>IF(COUNTIF($A202:$S202,"&lt;&gt;")=0,"",IF($F202="À parts égales entre participants",IF(K202&lt;&gt;"Oui",0,IF(COUNTIF($L202:$L202,"Oui")=0,$D202-SUM($T202:W202),ROUND($D202/COUNTIF($G202:$L202,"Oui"),2))),IF($F202="Montants convenus",IF(K202="Oui",Q202,0),"")))</f>
      </c>
      <c r="Y202" s="87" t="str">
        <f>IF(COUNTIF($A202:$S202,"&lt;&gt;")=0,"",IF($F202="À parts égales entre participants",IF(L202&lt;&gt;"Oui",0,IF(0=0,$D202-SUM($T202:X202),ROUND($D202/COUNTIF($G202:$L202,"Oui"),2))),IF($F202="Montants convenus",IF(L202="Oui",R202,0),"")))</f>
      </c>
      <c r="Z202" s="81" t="str">
        <f>IF(COUNTIF($A202:$S202,"&lt;&gt;")=0,"",IF(OR($D202="",$D202&lt;=0),"Saisissez un montant supérieur à zéro.",IF($E202="","Sélectionnez la personne qui a payé.",IF(COUNTIF($G202:$L202,"Oui")=0,"Sélectionnez au moins une personne participante.",IF($F202="À parts égales entre participants","Vérifié",IF($F202="Montants convenus",IF(OR(AND(G202="Oui",M202=""),AND(H202="Oui",N202=""),AND(I202="Oui",O202=""),AND(J202="Oui",P202=""),AND(K202="Oui",Q202=""),AND(L202="Oui",R202="")),"Saisissez les montants convenus pour que leur somme corresponde à la dépense.",IF(ABS(SUM($M202:$R202))&lt;0.005,"Saisissez les montants convenus pour que leur somme corresponde à la dépense.",IF(SUM($M202:$R202)&lt;$D202-0.005,"Montant restant à répartir : "&amp;ROUND($D202-SUM($M202:$R202),2)&amp;".",IF(SUM($M202:$R202)&gt;$D202+0.005,"Montant réparti en trop : "&amp;ROUND(SUM($M202:$R202)-$D202,2)&amp;".","Vérifié")))),"Saisissez les montants convenus pour que leur somme corresponde à la dépense."))))))</f>
      </c>
    </row>
    <row r="203">
      <c r="A203" s="83"/>
      <c r="B203" s="57"/>
      <c r="C203" s="57"/>
      <c r="D203" s="85"/>
      <c r="E203" s="57"/>
      <c r="F203" s="57"/>
      <c r="G203" s="57"/>
      <c r="H203" s="57"/>
      <c r="I203" s="57"/>
      <c r="J203" s="57"/>
      <c r="K203" s="57"/>
      <c r="L203" s="57"/>
      <c r="M203" s="85"/>
      <c r="N203" s="85"/>
      <c r="O203" s="85"/>
      <c r="P203" s="85"/>
      <c r="Q203" s="85"/>
      <c r="R203" s="85"/>
      <c r="S203" s="57"/>
      <c r="T203" s="87" t="str">
        <f>IF(COUNTIF($A203:$S203,"&lt;&gt;")=0,"",IF($F203="À parts égales entre participants",IF(G203&lt;&gt;"Oui",0,IF(COUNTIF($H203:$L203,"Oui")=0,$D203-0,ROUND($D203/COUNTIF($G203:$L203,"Oui"),2))),IF($F203="Montants convenus",IF(G203="Oui",M203,0),"")))</f>
      </c>
      <c r="U203" s="87" t="str">
        <f>IF(COUNTIF($A203:$S203,"&lt;&gt;")=0,"",IF($F203="À parts égales entre participants",IF(H203&lt;&gt;"Oui",0,IF(COUNTIF($I203:$L203,"Oui")=0,$D203-SUM($T203:T203),ROUND($D203/COUNTIF($G203:$L203,"Oui"),2))),IF($F203="Montants convenus",IF(H203="Oui",N203,0),"")))</f>
      </c>
      <c r="V203" s="87" t="str">
        <f>IF(COUNTIF($A203:$S203,"&lt;&gt;")=0,"",IF($F203="À parts égales entre participants",IF(I203&lt;&gt;"Oui",0,IF(COUNTIF($J203:$L203,"Oui")=0,$D203-SUM($T203:U203),ROUND($D203/COUNTIF($G203:$L203,"Oui"),2))),IF($F203="Montants convenus",IF(I203="Oui",O203,0),"")))</f>
      </c>
      <c r="W203" s="87" t="str">
        <f>IF(COUNTIF($A203:$S203,"&lt;&gt;")=0,"",IF($F203="À parts égales entre participants",IF(J203&lt;&gt;"Oui",0,IF(COUNTIF($K203:$L203,"Oui")=0,$D203-SUM($T203:V203),ROUND($D203/COUNTIF($G203:$L203,"Oui"),2))),IF($F203="Montants convenus",IF(J203="Oui",P203,0),"")))</f>
      </c>
      <c r="X203" s="87" t="str">
        <f>IF(COUNTIF($A203:$S203,"&lt;&gt;")=0,"",IF($F203="À parts égales entre participants",IF(K203&lt;&gt;"Oui",0,IF(COUNTIF($L203:$L203,"Oui")=0,$D203-SUM($T203:W203),ROUND($D203/COUNTIF($G203:$L203,"Oui"),2))),IF($F203="Montants convenus",IF(K203="Oui",Q203,0),"")))</f>
      </c>
      <c r="Y203" s="87" t="str">
        <f>IF(COUNTIF($A203:$S203,"&lt;&gt;")=0,"",IF($F203="À parts égales entre participants",IF(L203&lt;&gt;"Oui",0,IF(0=0,$D203-SUM($T203:X203),ROUND($D203/COUNTIF($G203:$L203,"Oui"),2))),IF($F203="Montants convenus",IF(L203="Oui",R203,0),"")))</f>
      </c>
      <c r="Z203" s="81" t="str">
        <f>IF(COUNTIF($A203:$S203,"&lt;&gt;")=0,"",IF(OR($D203="",$D203&lt;=0),"Saisissez un montant supérieur à zéro.",IF($E203="","Sélectionnez la personne qui a payé.",IF(COUNTIF($G203:$L203,"Oui")=0,"Sélectionnez au moins une personne participante.",IF($F203="À parts égales entre participants","Vérifié",IF($F203="Montants convenus",IF(OR(AND(G203="Oui",M203=""),AND(H203="Oui",N203=""),AND(I203="Oui",O203=""),AND(J203="Oui",P203=""),AND(K203="Oui",Q203=""),AND(L203="Oui",R203="")),"Saisissez les montants convenus pour que leur somme corresponde à la dépense.",IF(ABS(SUM($M203:$R203))&lt;0.005,"Saisissez les montants convenus pour que leur somme corresponde à la dépense.",IF(SUM($M203:$R203)&lt;$D203-0.005,"Montant restant à répartir : "&amp;ROUND($D203-SUM($M203:$R203),2)&amp;".",IF(SUM($M203:$R203)&gt;$D203+0.005,"Montant réparti en trop : "&amp;ROUND(SUM($M203:$R203)-$D203,2)&amp;".","Vérifié")))),"Saisissez les montants convenus pour que leur somme corresponde à la dépense."))))))</f>
      </c>
    </row>
    <row r="204">
      <c r="A204" s="83"/>
      <c r="B204" s="57"/>
      <c r="C204" s="57"/>
      <c r="D204" s="85"/>
      <c r="E204" s="57"/>
      <c r="F204" s="57"/>
      <c r="G204" s="57"/>
      <c r="H204" s="57"/>
      <c r="I204" s="57"/>
      <c r="J204" s="57"/>
      <c r="K204" s="57"/>
      <c r="L204" s="57"/>
      <c r="M204" s="85"/>
      <c r="N204" s="85"/>
      <c r="O204" s="85"/>
      <c r="P204" s="85"/>
      <c r="Q204" s="85"/>
      <c r="R204" s="85"/>
      <c r="S204" s="57"/>
      <c r="T204" s="87" t="str">
        <f>IF(COUNTIF($A204:$S204,"&lt;&gt;")=0,"",IF($F204="À parts égales entre participants",IF(G204&lt;&gt;"Oui",0,IF(COUNTIF($H204:$L204,"Oui")=0,$D204-0,ROUND($D204/COUNTIF($G204:$L204,"Oui"),2))),IF($F204="Montants convenus",IF(G204="Oui",M204,0),"")))</f>
      </c>
      <c r="U204" s="87" t="str">
        <f>IF(COUNTIF($A204:$S204,"&lt;&gt;")=0,"",IF($F204="À parts égales entre participants",IF(H204&lt;&gt;"Oui",0,IF(COUNTIF($I204:$L204,"Oui")=0,$D204-SUM($T204:T204),ROUND($D204/COUNTIF($G204:$L204,"Oui"),2))),IF($F204="Montants convenus",IF(H204="Oui",N204,0),"")))</f>
      </c>
      <c r="V204" s="87" t="str">
        <f>IF(COUNTIF($A204:$S204,"&lt;&gt;")=0,"",IF($F204="À parts égales entre participants",IF(I204&lt;&gt;"Oui",0,IF(COUNTIF($J204:$L204,"Oui")=0,$D204-SUM($T204:U204),ROUND($D204/COUNTIF($G204:$L204,"Oui"),2))),IF($F204="Montants convenus",IF(I204="Oui",O204,0),"")))</f>
      </c>
      <c r="W204" s="87" t="str">
        <f>IF(COUNTIF($A204:$S204,"&lt;&gt;")=0,"",IF($F204="À parts égales entre participants",IF(J204&lt;&gt;"Oui",0,IF(COUNTIF($K204:$L204,"Oui")=0,$D204-SUM($T204:V204),ROUND($D204/COUNTIF($G204:$L204,"Oui"),2))),IF($F204="Montants convenus",IF(J204="Oui",P204,0),"")))</f>
      </c>
      <c r="X204" s="87" t="str">
        <f>IF(COUNTIF($A204:$S204,"&lt;&gt;")=0,"",IF($F204="À parts égales entre participants",IF(K204&lt;&gt;"Oui",0,IF(COUNTIF($L204:$L204,"Oui")=0,$D204-SUM($T204:W204),ROUND($D204/COUNTIF($G204:$L204,"Oui"),2))),IF($F204="Montants convenus",IF(K204="Oui",Q204,0),"")))</f>
      </c>
      <c r="Y204" s="87" t="str">
        <f>IF(COUNTIF($A204:$S204,"&lt;&gt;")=0,"",IF($F204="À parts égales entre participants",IF(L204&lt;&gt;"Oui",0,IF(0=0,$D204-SUM($T204:X204),ROUND($D204/COUNTIF($G204:$L204,"Oui"),2))),IF($F204="Montants convenus",IF(L204="Oui",R204,0),"")))</f>
      </c>
      <c r="Z204" s="81" t="str">
        <f>IF(COUNTIF($A204:$S204,"&lt;&gt;")=0,"",IF(OR($D204="",$D204&lt;=0),"Saisissez un montant supérieur à zéro.",IF($E204="","Sélectionnez la personne qui a payé.",IF(COUNTIF($G204:$L204,"Oui")=0,"Sélectionnez au moins une personne participante.",IF($F204="À parts égales entre participants","Vérifié",IF($F204="Montants convenus",IF(OR(AND(G204="Oui",M204=""),AND(H204="Oui",N204=""),AND(I204="Oui",O204=""),AND(J204="Oui",P204=""),AND(K204="Oui",Q204=""),AND(L204="Oui",R204="")),"Saisissez les montants convenus pour que leur somme corresponde à la dépense.",IF(ABS(SUM($M204:$R204))&lt;0.005,"Saisissez les montants convenus pour que leur somme corresponde à la dépense.",IF(SUM($M204:$R204)&lt;$D204-0.005,"Montant restant à répartir : "&amp;ROUND($D204-SUM($M204:$R204),2)&amp;".",IF(SUM($M204:$R204)&gt;$D204+0.005,"Montant réparti en trop : "&amp;ROUND(SUM($M204:$R204)-$D204,2)&amp;".","Vérifié")))),"Saisissez les montants convenus pour que leur somme corresponde à la dépense."))))))</f>
      </c>
    </row>
  </sheetData>
  <autoFilter ref="A4:Z204"/>
  <mergeCells>
    <mergeCell ref="A1:Z1"/>
    <mergeCell ref="A2:Z2"/>
    <mergeCell ref="A3:F3"/>
    <mergeCell ref="G3:L3"/>
    <mergeCell ref="M3:R3"/>
    <mergeCell ref="T3:Y3"/>
  </mergeCells>
  <conditionalFormatting sqref="Z5:Z204">
    <cfRule type="containsText" dxfId="2" priority="1" operator="containsText" text="Vérifié"/>
    <cfRule type="notContainsText" dxfId="3" priority="2" text="Vérifié"/>
  </conditionalFormatting>
  <dataValidations count="6">
    <dataValidation type="list" sqref="C5:C204">
      <formula1>CategoriesList</formula1>
    </dataValidation>
    <dataValidation type="decimal" operator="greaterThan" sqref="D5:D204">
      <formula1>0</formula1>
    </dataValidation>
    <dataValidation type="list" sqref="E5:E204">
      <formula1>RoommateNames</formula1>
    </dataValidation>
    <dataValidation type="list" sqref="F5:F204">
      <formula1>SplitMethodsList</formula1>
    </dataValidation>
    <dataValidation type="list" sqref="G5:L204">
      <formula1>YesNoList</formula1>
    </dataValidation>
    <dataValidation type="decimal" operator="greaterThanOrEqual" sqref="M5:R204">
      <formula1>0</formula1>
    </dataValidation>
  </dataValidations>
  <pageMargins left="0.7" right="0.7" top="0.75" bottom="0.75" header="0.3" footer="0.3"/>
</worksheet>
</file>

<file path=xl/worksheets/sheet4.xml><?xml version="1.0" encoding="utf-8"?>
<worksheet xmlns="http://schemas.openxmlformats.org/spreadsheetml/2006/main" xmlns:ns1="http://schemas.openxmlformats.org/officeDocument/2006/relationships">
  <sheetViews>
    <sheetView showGridLines="0" workbookViewId="0">
      <pane ySplit="4" topLeftCell="A5" activePane="bottomLeft" state="frozen"/>
    </sheetView>
  </sheetViews>
  <sheetFormatPr defaultRowHeight="15"/>
  <cols>
    <col min="1" max="1" width="14" hidden="0" customWidth="1"/>
    <col min="2" max="2" width="22" hidden="0" customWidth="1"/>
    <col min="3" max="3" width="22" hidden="0" customWidth="1"/>
    <col min="4" max="4" width="16" hidden="0" customWidth="1"/>
    <col min="5" max="5" width="42" hidden="0" customWidth="1"/>
    <col min="6" max="6" width="48" hidden="0" customWidth="1"/>
  </cols>
  <sheetData>
    <row r="1" ht="34" customHeight="1">
      <c r="A1" s="4" t="str">
        <v>Remboursements entre colocataires</v>
      </c>
      <c r="B1" s="4" t="str">
        <v>Remboursements entre colocataires</v>
      </c>
      <c r="C1" s="4" t="str">
        <v>Remboursements entre colocataires</v>
      </c>
      <c r="D1" s="4" t="str">
        <v>Remboursements entre colocataires</v>
      </c>
      <c r="E1" s="4" t="str">
        <v>Remboursements entre colocataires</v>
      </c>
      <c r="F1" s="4" t="str">
        <v>Remboursements entre colocataires</v>
      </c>
    </row>
    <row r="2" ht="30" customHeight="1">
      <c r="A2" s="8" t="str">
        <v>Saisissez chaque remboursement une seule fois, de la personne qui a versé l’argent à celle qui l’a reçu. Ne réduisez pas et ne supprimez pas la dépense d’origine.</v>
      </c>
      <c r="B2" s="8" t="str">
        <v>Saisissez chaque remboursement une seule fois, de la personne qui a versé l’argent à celle qui l’a reçu. Ne réduisez pas et ne supprimez pas la dépense d’origine.</v>
      </c>
      <c r="C2" s="8" t="str">
        <v>Saisissez chaque remboursement une seule fois, de la personne qui a versé l’argent à celle qui l’a reçu. Ne réduisez pas et ne supprimez pas la dépense d’origine.</v>
      </c>
      <c r="D2" s="8" t="str">
        <v>Saisissez chaque remboursement une seule fois, de la personne qui a versé l’argent à celle qui l’a reçu. Ne réduisez pas et ne supprimez pas la dépense d’origine.</v>
      </c>
      <c r="E2" s="8" t="str">
        <v>Saisissez chaque remboursement une seule fois, de la personne qui a versé l’argent à celle qui l’a reçu. Ne réduisez pas et ne supprimez pas la dépense d’origine.</v>
      </c>
      <c r="F2" s="8" t="str">
        <v>Saisissez chaque remboursement une seule fois, de la personne qui a versé l’argent à celle qui l’a reçu. Ne réduisez pas et ne supprimez pas la dépense d’origine.</v>
      </c>
    </row>
    <row r="4" ht="34" customHeight="1">
      <c r="A4" s="51" t="str">
        <v>Date</v>
      </c>
      <c r="B4" s="51" t="str">
        <v>De</v>
      </c>
      <c r="C4" s="51" t="str">
        <v>À</v>
      </c>
      <c r="D4" s="51" t="str">
        <v>Montant</v>
      </c>
      <c r="E4" s="51" t="str">
        <v>Note</v>
      </c>
      <c r="F4" s="51" t="str">
        <v>Vérification</v>
      </c>
    </row>
    <row r="5">
      <c r="A5" s="82"/>
      <c r="B5" s="56"/>
      <c r="C5" s="56"/>
      <c r="D5" s="84"/>
      <c r="E5" s="56"/>
      <c r="F5" s="80" t="str">
        <f>IF(COUNTIF($A5:$E5,"&lt;&gt;")=0,"",IF(OR($B5="",$C5=""),"Sélectionnez la personne qui a versé l’argent et celle qui l’a reçu.",IF($B5=$C5,"Sélectionnez deux personnes différentes.",IF(OR($D5="",$D5&lt;=0),"Saisissez un montant supérieur à zéro.","Vérifié"))))</f>
      </c>
    </row>
    <row r="6">
      <c r="A6" s="83"/>
      <c r="B6" s="57"/>
      <c r="C6" s="57"/>
      <c r="D6" s="85"/>
      <c r="E6" s="57"/>
      <c r="F6" s="81" t="str">
        <f>IF(COUNTIF($A6:$E6,"&lt;&gt;")=0,"",IF(OR($B6="",$C6=""),"Sélectionnez la personne qui a versé l’argent et celle qui l’a reçu.",IF($B6=$C6,"Sélectionnez deux personnes différentes.",IF(OR($D6="",$D6&lt;=0),"Saisissez un montant supérieur à zéro.","Vérifié"))))</f>
      </c>
    </row>
    <row r="7">
      <c r="A7" s="83"/>
      <c r="B7" s="57"/>
      <c r="C7" s="57"/>
      <c r="D7" s="85"/>
      <c r="E7" s="57"/>
      <c r="F7" s="81" t="str">
        <f>IF(COUNTIF($A7:$E7,"&lt;&gt;")=0,"",IF(OR($B7="",$C7=""),"Sélectionnez la personne qui a versé l’argent et celle qui l’a reçu.",IF($B7=$C7,"Sélectionnez deux personnes différentes.",IF(OR($D7="",$D7&lt;=0),"Saisissez un montant supérieur à zéro.","Vérifié"))))</f>
      </c>
    </row>
    <row r="8">
      <c r="A8" s="83"/>
      <c r="B8" s="57"/>
      <c r="C8" s="57"/>
      <c r="D8" s="85"/>
      <c r="E8" s="57"/>
      <c r="F8" s="81" t="str">
        <f>IF(COUNTIF($A8:$E8,"&lt;&gt;")=0,"",IF(OR($B8="",$C8=""),"Sélectionnez la personne qui a versé l’argent et celle qui l’a reçu.",IF($B8=$C8,"Sélectionnez deux personnes différentes.",IF(OR($D8="",$D8&lt;=0),"Saisissez un montant supérieur à zéro.","Vérifié"))))</f>
      </c>
    </row>
    <row r="9">
      <c r="A9" s="83"/>
      <c r="B9" s="57"/>
      <c r="C9" s="57"/>
      <c r="D9" s="85"/>
      <c r="E9" s="57"/>
      <c r="F9" s="81" t="str">
        <f>IF(COUNTIF($A9:$E9,"&lt;&gt;")=0,"",IF(OR($B9="",$C9=""),"Sélectionnez la personne qui a versé l’argent et celle qui l’a reçu.",IF($B9=$C9,"Sélectionnez deux personnes différentes.",IF(OR($D9="",$D9&lt;=0),"Saisissez un montant supérieur à zéro.","Vérifié"))))</f>
      </c>
    </row>
    <row r="10">
      <c r="A10" s="83"/>
      <c r="B10" s="57"/>
      <c r="C10" s="57"/>
      <c r="D10" s="85"/>
      <c r="E10" s="57"/>
      <c r="F10" s="81" t="str">
        <f>IF(COUNTIF($A10:$E10,"&lt;&gt;")=0,"",IF(OR($B10="",$C10=""),"Sélectionnez la personne qui a versé l’argent et celle qui l’a reçu.",IF($B10=$C10,"Sélectionnez deux personnes différentes.",IF(OR($D10="",$D10&lt;=0),"Saisissez un montant supérieur à zéro.","Vérifié"))))</f>
      </c>
    </row>
    <row r="11">
      <c r="A11" s="83"/>
      <c r="B11" s="57"/>
      <c r="C11" s="57"/>
      <c r="D11" s="85"/>
      <c r="E11" s="57"/>
      <c r="F11" s="81" t="str">
        <f>IF(COUNTIF($A11:$E11,"&lt;&gt;")=0,"",IF(OR($B11="",$C11=""),"Sélectionnez la personne qui a versé l’argent et celle qui l’a reçu.",IF($B11=$C11,"Sélectionnez deux personnes différentes.",IF(OR($D11="",$D11&lt;=0),"Saisissez un montant supérieur à zéro.","Vérifié"))))</f>
      </c>
    </row>
    <row r="12">
      <c r="A12" s="83"/>
      <c r="B12" s="57"/>
      <c r="C12" s="57"/>
      <c r="D12" s="85"/>
      <c r="E12" s="57"/>
      <c r="F12" s="81" t="str">
        <f>IF(COUNTIF($A12:$E12,"&lt;&gt;")=0,"",IF(OR($B12="",$C12=""),"Sélectionnez la personne qui a versé l’argent et celle qui l’a reçu.",IF($B12=$C12,"Sélectionnez deux personnes différentes.",IF(OR($D12="",$D12&lt;=0),"Saisissez un montant supérieur à zéro.","Vérifié"))))</f>
      </c>
    </row>
    <row r="13">
      <c r="A13" s="83"/>
      <c r="B13" s="57"/>
      <c r="C13" s="57"/>
      <c r="D13" s="85"/>
      <c r="E13" s="57"/>
      <c r="F13" s="81" t="str">
        <f>IF(COUNTIF($A13:$E13,"&lt;&gt;")=0,"",IF(OR($B13="",$C13=""),"Sélectionnez la personne qui a versé l’argent et celle qui l’a reçu.",IF($B13=$C13,"Sélectionnez deux personnes différentes.",IF(OR($D13="",$D13&lt;=0),"Saisissez un montant supérieur à zéro.","Vérifié"))))</f>
      </c>
    </row>
    <row r="14">
      <c r="A14" s="83"/>
      <c r="B14" s="57"/>
      <c r="C14" s="57"/>
      <c r="D14" s="85"/>
      <c r="E14" s="57"/>
      <c r="F14" s="81" t="str">
        <f>IF(COUNTIF($A14:$E14,"&lt;&gt;")=0,"",IF(OR($B14="",$C14=""),"Sélectionnez la personne qui a versé l’argent et celle qui l’a reçu.",IF($B14=$C14,"Sélectionnez deux personnes différentes.",IF(OR($D14="",$D14&lt;=0),"Saisissez un montant supérieur à zéro.","Vérifié"))))</f>
      </c>
    </row>
    <row r="15">
      <c r="A15" s="83"/>
      <c r="B15" s="57"/>
      <c r="C15" s="57"/>
      <c r="D15" s="85"/>
      <c r="E15" s="57"/>
      <c r="F15" s="81" t="str">
        <f>IF(COUNTIF($A15:$E15,"&lt;&gt;")=0,"",IF(OR($B15="",$C15=""),"Sélectionnez la personne qui a versé l’argent et celle qui l’a reçu.",IF($B15=$C15,"Sélectionnez deux personnes différentes.",IF(OR($D15="",$D15&lt;=0),"Saisissez un montant supérieur à zéro.","Vérifié"))))</f>
      </c>
    </row>
    <row r="16">
      <c r="A16" s="83"/>
      <c r="B16" s="57"/>
      <c r="C16" s="57"/>
      <c r="D16" s="85"/>
      <c r="E16" s="57"/>
      <c r="F16" s="81" t="str">
        <f>IF(COUNTIF($A16:$E16,"&lt;&gt;")=0,"",IF(OR($B16="",$C16=""),"Sélectionnez la personne qui a versé l’argent et celle qui l’a reçu.",IF($B16=$C16,"Sélectionnez deux personnes différentes.",IF(OR($D16="",$D16&lt;=0),"Saisissez un montant supérieur à zéro.","Vérifié"))))</f>
      </c>
    </row>
    <row r="17">
      <c r="A17" s="83"/>
      <c r="B17" s="57"/>
      <c r="C17" s="57"/>
      <c r="D17" s="85"/>
      <c r="E17" s="57"/>
      <c r="F17" s="81" t="str">
        <f>IF(COUNTIF($A17:$E17,"&lt;&gt;")=0,"",IF(OR($B17="",$C17=""),"Sélectionnez la personne qui a versé l’argent et celle qui l’a reçu.",IF($B17=$C17,"Sélectionnez deux personnes différentes.",IF(OR($D17="",$D17&lt;=0),"Saisissez un montant supérieur à zéro.","Vérifié"))))</f>
      </c>
    </row>
    <row r="18">
      <c r="A18" s="83"/>
      <c r="B18" s="57"/>
      <c r="C18" s="57"/>
      <c r="D18" s="85"/>
      <c r="E18" s="57"/>
      <c r="F18" s="81" t="str">
        <f>IF(COUNTIF($A18:$E18,"&lt;&gt;")=0,"",IF(OR($B18="",$C18=""),"Sélectionnez la personne qui a versé l’argent et celle qui l’a reçu.",IF($B18=$C18,"Sélectionnez deux personnes différentes.",IF(OR($D18="",$D18&lt;=0),"Saisissez un montant supérieur à zéro.","Vérifié"))))</f>
      </c>
    </row>
    <row r="19">
      <c r="A19" s="83"/>
      <c r="B19" s="57"/>
      <c r="C19" s="57"/>
      <c r="D19" s="85"/>
      <c r="E19" s="57"/>
      <c r="F19" s="81" t="str">
        <f>IF(COUNTIF($A19:$E19,"&lt;&gt;")=0,"",IF(OR($B19="",$C19=""),"Sélectionnez la personne qui a versé l’argent et celle qui l’a reçu.",IF($B19=$C19,"Sélectionnez deux personnes différentes.",IF(OR($D19="",$D19&lt;=0),"Saisissez un montant supérieur à zéro.","Vérifié"))))</f>
      </c>
    </row>
    <row r="20">
      <c r="A20" s="83"/>
      <c r="B20" s="57"/>
      <c r="C20" s="57"/>
      <c r="D20" s="85"/>
      <c r="E20" s="57"/>
      <c r="F20" s="81" t="str">
        <f>IF(COUNTIF($A20:$E20,"&lt;&gt;")=0,"",IF(OR($B20="",$C20=""),"Sélectionnez la personne qui a versé l’argent et celle qui l’a reçu.",IF($B20=$C20,"Sélectionnez deux personnes différentes.",IF(OR($D20="",$D20&lt;=0),"Saisissez un montant supérieur à zéro.","Vérifié"))))</f>
      </c>
    </row>
    <row r="21">
      <c r="A21" s="83"/>
      <c r="B21" s="57"/>
      <c r="C21" s="57"/>
      <c r="D21" s="85"/>
      <c r="E21" s="57"/>
      <c r="F21" s="81" t="str">
        <f>IF(COUNTIF($A21:$E21,"&lt;&gt;")=0,"",IF(OR($B21="",$C21=""),"Sélectionnez la personne qui a versé l’argent et celle qui l’a reçu.",IF($B21=$C21,"Sélectionnez deux personnes différentes.",IF(OR($D21="",$D21&lt;=0),"Saisissez un montant supérieur à zéro.","Vérifié"))))</f>
      </c>
    </row>
    <row r="22">
      <c r="A22" s="83"/>
      <c r="B22" s="57"/>
      <c r="C22" s="57"/>
      <c r="D22" s="85"/>
      <c r="E22" s="57"/>
      <c r="F22" s="81" t="str">
        <f>IF(COUNTIF($A22:$E22,"&lt;&gt;")=0,"",IF(OR($B22="",$C22=""),"Sélectionnez la personne qui a versé l’argent et celle qui l’a reçu.",IF($B22=$C22,"Sélectionnez deux personnes différentes.",IF(OR($D22="",$D22&lt;=0),"Saisissez un montant supérieur à zéro.","Vérifié"))))</f>
      </c>
    </row>
    <row r="23">
      <c r="A23" s="83"/>
      <c r="B23" s="57"/>
      <c r="C23" s="57"/>
      <c r="D23" s="85"/>
      <c r="E23" s="57"/>
      <c r="F23" s="81" t="str">
        <f>IF(COUNTIF($A23:$E23,"&lt;&gt;")=0,"",IF(OR($B23="",$C23=""),"Sélectionnez la personne qui a versé l’argent et celle qui l’a reçu.",IF($B23=$C23,"Sélectionnez deux personnes différentes.",IF(OR($D23="",$D23&lt;=0),"Saisissez un montant supérieur à zéro.","Vérifié"))))</f>
      </c>
    </row>
    <row r="24">
      <c r="A24" s="83"/>
      <c r="B24" s="57"/>
      <c r="C24" s="57"/>
      <c r="D24" s="85"/>
      <c r="E24" s="57"/>
      <c r="F24" s="81" t="str">
        <f>IF(COUNTIF($A24:$E24,"&lt;&gt;")=0,"",IF(OR($B24="",$C24=""),"Sélectionnez la personne qui a versé l’argent et celle qui l’a reçu.",IF($B24=$C24,"Sélectionnez deux personnes différentes.",IF(OR($D24="",$D24&lt;=0),"Saisissez un montant supérieur à zéro.","Vérifié"))))</f>
      </c>
    </row>
    <row r="25">
      <c r="A25" s="83"/>
      <c r="B25" s="57"/>
      <c r="C25" s="57"/>
      <c r="D25" s="85"/>
      <c r="E25" s="57"/>
      <c r="F25" s="81" t="str">
        <f>IF(COUNTIF($A25:$E25,"&lt;&gt;")=0,"",IF(OR($B25="",$C25=""),"Sélectionnez la personne qui a versé l’argent et celle qui l’a reçu.",IF($B25=$C25,"Sélectionnez deux personnes différentes.",IF(OR($D25="",$D25&lt;=0),"Saisissez un montant supérieur à zéro.","Vérifié"))))</f>
      </c>
    </row>
    <row r="26">
      <c r="A26" s="83"/>
      <c r="B26" s="57"/>
      <c r="C26" s="57"/>
      <c r="D26" s="85"/>
      <c r="E26" s="57"/>
      <c r="F26" s="81" t="str">
        <f>IF(COUNTIF($A26:$E26,"&lt;&gt;")=0,"",IF(OR($B26="",$C26=""),"Sélectionnez la personne qui a versé l’argent et celle qui l’a reçu.",IF($B26=$C26,"Sélectionnez deux personnes différentes.",IF(OR($D26="",$D26&lt;=0),"Saisissez un montant supérieur à zéro.","Vérifié"))))</f>
      </c>
    </row>
    <row r="27">
      <c r="A27" s="83"/>
      <c r="B27" s="57"/>
      <c r="C27" s="57"/>
      <c r="D27" s="85"/>
      <c r="E27" s="57"/>
      <c r="F27" s="81" t="str">
        <f>IF(COUNTIF($A27:$E27,"&lt;&gt;")=0,"",IF(OR($B27="",$C27=""),"Sélectionnez la personne qui a versé l’argent et celle qui l’a reçu.",IF($B27=$C27,"Sélectionnez deux personnes différentes.",IF(OR($D27="",$D27&lt;=0),"Saisissez un montant supérieur à zéro.","Vérifié"))))</f>
      </c>
    </row>
    <row r="28">
      <c r="A28" s="83"/>
      <c r="B28" s="57"/>
      <c r="C28" s="57"/>
      <c r="D28" s="85"/>
      <c r="E28" s="57"/>
      <c r="F28" s="81" t="str">
        <f>IF(COUNTIF($A28:$E28,"&lt;&gt;")=0,"",IF(OR($B28="",$C28=""),"Sélectionnez la personne qui a versé l’argent et celle qui l’a reçu.",IF($B28=$C28,"Sélectionnez deux personnes différentes.",IF(OR($D28="",$D28&lt;=0),"Saisissez un montant supérieur à zéro.","Vérifié"))))</f>
      </c>
    </row>
    <row r="29">
      <c r="A29" s="83"/>
      <c r="B29" s="57"/>
      <c r="C29" s="57"/>
      <c r="D29" s="85"/>
      <c r="E29" s="57"/>
      <c r="F29" s="81" t="str">
        <f>IF(COUNTIF($A29:$E29,"&lt;&gt;")=0,"",IF(OR($B29="",$C29=""),"Sélectionnez la personne qui a versé l’argent et celle qui l’a reçu.",IF($B29=$C29,"Sélectionnez deux personnes différentes.",IF(OR($D29="",$D29&lt;=0),"Saisissez un montant supérieur à zéro.","Vérifié"))))</f>
      </c>
    </row>
    <row r="30">
      <c r="A30" s="83"/>
      <c r="B30" s="57"/>
      <c r="C30" s="57"/>
      <c r="D30" s="85"/>
      <c r="E30" s="57"/>
      <c r="F30" s="81" t="str">
        <f>IF(COUNTIF($A30:$E30,"&lt;&gt;")=0,"",IF(OR($B30="",$C30=""),"Sélectionnez la personne qui a versé l’argent et celle qui l’a reçu.",IF($B30=$C30,"Sélectionnez deux personnes différentes.",IF(OR($D30="",$D30&lt;=0),"Saisissez un montant supérieur à zéro.","Vérifié"))))</f>
      </c>
    </row>
    <row r="31">
      <c r="A31" s="83"/>
      <c r="B31" s="57"/>
      <c r="C31" s="57"/>
      <c r="D31" s="85"/>
      <c r="E31" s="57"/>
      <c r="F31" s="81" t="str">
        <f>IF(COUNTIF($A31:$E31,"&lt;&gt;")=0,"",IF(OR($B31="",$C31=""),"Sélectionnez la personne qui a versé l’argent et celle qui l’a reçu.",IF($B31=$C31,"Sélectionnez deux personnes différentes.",IF(OR($D31="",$D31&lt;=0),"Saisissez un montant supérieur à zéro.","Vérifié"))))</f>
      </c>
    </row>
    <row r="32">
      <c r="A32" s="83"/>
      <c r="B32" s="57"/>
      <c r="C32" s="57"/>
      <c r="D32" s="85"/>
      <c r="E32" s="57"/>
      <c r="F32" s="81" t="str">
        <f>IF(COUNTIF($A32:$E32,"&lt;&gt;")=0,"",IF(OR($B32="",$C32=""),"Sélectionnez la personne qui a versé l’argent et celle qui l’a reçu.",IF($B32=$C32,"Sélectionnez deux personnes différentes.",IF(OR($D32="",$D32&lt;=0),"Saisissez un montant supérieur à zéro.","Vérifié"))))</f>
      </c>
    </row>
    <row r="33">
      <c r="A33" s="83"/>
      <c r="B33" s="57"/>
      <c r="C33" s="57"/>
      <c r="D33" s="85"/>
      <c r="E33" s="57"/>
      <c r="F33" s="81" t="str">
        <f>IF(COUNTIF($A33:$E33,"&lt;&gt;")=0,"",IF(OR($B33="",$C33=""),"Sélectionnez la personne qui a versé l’argent et celle qui l’a reçu.",IF($B33=$C33,"Sélectionnez deux personnes différentes.",IF(OR($D33="",$D33&lt;=0),"Saisissez un montant supérieur à zéro.","Vérifié"))))</f>
      </c>
    </row>
    <row r="34">
      <c r="A34" s="83"/>
      <c r="B34" s="57"/>
      <c r="C34" s="57"/>
      <c r="D34" s="85"/>
      <c r="E34" s="57"/>
      <c r="F34" s="81" t="str">
        <f>IF(COUNTIF($A34:$E34,"&lt;&gt;")=0,"",IF(OR($B34="",$C34=""),"Sélectionnez la personne qui a versé l’argent et celle qui l’a reçu.",IF($B34=$C34,"Sélectionnez deux personnes différentes.",IF(OR($D34="",$D34&lt;=0),"Saisissez un montant supérieur à zéro.","Vérifié"))))</f>
      </c>
    </row>
    <row r="35">
      <c r="A35" s="83"/>
      <c r="B35" s="57"/>
      <c r="C35" s="57"/>
      <c r="D35" s="85"/>
      <c r="E35" s="57"/>
      <c r="F35" s="81" t="str">
        <f>IF(COUNTIF($A35:$E35,"&lt;&gt;")=0,"",IF(OR($B35="",$C35=""),"Sélectionnez la personne qui a versé l’argent et celle qui l’a reçu.",IF($B35=$C35,"Sélectionnez deux personnes différentes.",IF(OR($D35="",$D35&lt;=0),"Saisissez un montant supérieur à zéro.","Vérifié"))))</f>
      </c>
    </row>
    <row r="36">
      <c r="A36" s="83"/>
      <c r="B36" s="57"/>
      <c r="C36" s="57"/>
      <c r="D36" s="85"/>
      <c r="E36" s="57"/>
      <c r="F36" s="81" t="str">
        <f>IF(COUNTIF($A36:$E36,"&lt;&gt;")=0,"",IF(OR($B36="",$C36=""),"Sélectionnez la personne qui a versé l’argent et celle qui l’a reçu.",IF($B36=$C36,"Sélectionnez deux personnes différentes.",IF(OR($D36="",$D36&lt;=0),"Saisissez un montant supérieur à zéro.","Vérifié"))))</f>
      </c>
    </row>
    <row r="37">
      <c r="A37" s="83"/>
      <c r="B37" s="57"/>
      <c r="C37" s="57"/>
      <c r="D37" s="85"/>
      <c r="E37" s="57"/>
      <c r="F37" s="81" t="str">
        <f>IF(COUNTIF($A37:$E37,"&lt;&gt;")=0,"",IF(OR($B37="",$C37=""),"Sélectionnez la personne qui a versé l’argent et celle qui l’a reçu.",IF($B37=$C37,"Sélectionnez deux personnes différentes.",IF(OR($D37="",$D37&lt;=0),"Saisissez un montant supérieur à zéro.","Vérifié"))))</f>
      </c>
    </row>
    <row r="38">
      <c r="A38" s="83"/>
      <c r="B38" s="57"/>
      <c r="C38" s="57"/>
      <c r="D38" s="85"/>
      <c r="E38" s="57"/>
      <c r="F38" s="81" t="str">
        <f>IF(COUNTIF($A38:$E38,"&lt;&gt;")=0,"",IF(OR($B38="",$C38=""),"Sélectionnez la personne qui a versé l’argent et celle qui l’a reçu.",IF($B38=$C38,"Sélectionnez deux personnes différentes.",IF(OR($D38="",$D38&lt;=0),"Saisissez un montant supérieur à zéro.","Vérifié"))))</f>
      </c>
    </row>
    <row r="39">
      <c r="A39" s="83"/>
      <c r="B39" s="57"/>
      <c r="C39" s="57"/>
      <c r="D39" s="85"/>
      <c r="E39" s="57"/>
      <c r="F39" s="81" t="str">
        <f>IF(COUNTIF($A39:$E39,"&lt;&gt;")=0,"",IF(OR($B39="",$C39=""),"Sélectionnez la personne qui a versé l’argent et celle qui l’a reçu.",IF($B39=$C39,"Sélectionnez deux personnes différentes.",IF(OR($D39="",$D39&lt;=0),"Saisissez un montant supérieur à zéro.","Vérifié"))))</f>
      </c>
    </row>
    <row r="40">
      <c r="A40" s="83"/>
      <c r="B40" s="57"/>
      <c r="C40" s="57"/>
      <c r="D40" s="85"/>
      <c r="E40" s="57"/>
      <c r="F40" s="81" t="str">
        <f>IF(COUNTIF($A40:$E40,"&lt;&gt;")=0,"",IF(OR($B40="",$C40=""),"Sélectionnez la personne qui a versé l’argent et celle qui l’a reçu.",IF($B40=$C40,"Sélectionnez deux personnes différentes.",IF(OR($D40="",$D40&lt;=0),"Saisissez un montant supérieur à zéro.","Vérifié"))))</f>
      </c>
    </row>
    <row r="41">
      <c r="A41" s="83"/>
      <c r="B41" s="57"/>
      <c r="C41" s="57"/>
      <c r="D41" s="85"/>
      <c r="E41" s="57"/>
      <c r="F41" s="81" t="str">
        <f>IF(COUNTIF($A41:$E41,"&lt;&gt;")=0,"",IF(OR($B41="",$C41=""),"Sélectionnez la personne qui a versé l’argent et celle qui l’a reçu.",IF($B41=$C41,"Sélectionnez deux personnes différentes.",IF(OR($D41="",$D41&lt;=0),"Saisissez un montant supérieur à zéro.","Vérifié"))))</f>
      </c>
    </row>
    <row r="42">
      <c r="A42" s="83"/>
      <c r="B42" s="57"/>
      <c r="C42" s="57"/>
      <c r="D42" s="85"/>
      <c r="E42" s="57"/>
      <c r="F42" s="81" t="str">
        <f>IF(COUNTIF($A42:$E42,"&lt;&gt;")=0,"",IF(OR($B42="",$C42=""),"Sélectionnez la personne qui a versé l’argent et celle qui l’a reçu.",IF($B42=$C42,"Sélectionnez deux personnes différentes.",IF(OR($D42="",$D42&lt;=0),"Saisissez un montant supérieur à zéro.","Vérifié"))))</f>
      </c>
    </row>
    <row r="43">
      <c r="A43" s="83"/>
      <c r="B43" s="57"/>
      <c r="C43" s="57"/>
      <c r="D43" s="85"/>
      <c r="E43" s="57"/>
      <c r="F43" s="81" t="str">
        <f>IF(COUNTIF($A43:$E43,"&lt;&gt;")=0,"",IF(OR($B43="",$C43=""),"Sélectionnez la personne qui a versé l’argent et celle qui l’a reçu.",IF($B43=$C43,"Sélectionnez deux personnes différentes.",IF(OR($D43="",$D43&lt;=0),"Saisissez un montant supérieur à zéro.","Vérifié"))))</f>
      </c>
    </row>
    <row r="44">
      <c r="A44" s="83"/>
      <c r="B44" s="57"/>
      <c r="C44" s="57"/>
      <c r="D44" s="85"/>
      <c r="E44" s="57"/>
      <c r="F44" s="81" t="str">
        <f>IF(COUNTIF($A44:$E44,"&lt;&gt;")=0,"",IF(OR($B44="",$C44=""),"Sélectionnez la personne qui a versé l’argent et celle qui l’a reçu.",IF($B44=$C44,"Sélectionnez deux personnes différentes.",IF(OR($D44="",$D44&lt;=0),"Saisissez un montant supérieur à zéro.","Vérifié"))))</f>
      </c>
    </row>
    <row r="45">
      <c r="A45" s="83"/>
      <c r="B45" s="57"/>
      <c r="C45" s="57"/>
      <c r="D45" s="85"/>
      <c r="E45" s="57"/>
      <c r="F45" s="81" t="str">
        <f>IF(COUNTIF($A45:$E45,"&lt;&gt;")=0,"",IF(OR($B45="",$C45=""),"Sélectionnez la personne qui a versé l’argent et celle qui l’a reçu.",IF($B45=$C45,"Sélectionnez deux personnes différentes.",IF(OR($D45="",$D45&lt;=0),"Saisissez un montant supérieur à zéro.","Vérifié"))))</f>
      </c>
    </row>
    <row r="46">
      <c r="A46" s="83"/>
      <c r="B46" s="57"/>
      <c r="C46" s="57"/>
      <c r="D46" s="85"/>
      <c r="E46" s="57"/>
      <c r="F46" s="81" t="str">
        <f>IF(COUNTIF($A46:$E46,"&lt;&gt;")=0,"",IF(OR($B46="",$C46=""),"Sélectionnez la personne qui a versé l’argent et celle qui l’a reçu.",IF($B46=$C46,"Sélectionnez deux personnes différentes.",IF(OR($D46="",$D46&lt;=0),"Saisissez un montant supérieur à zéro.","Vérifié"))))</f>
      </c>
    </row>
    <row r="47">
      <c r="A47" s="83"/>
      <c r="B47" s="57"/>
      <c r="C47" s="57"/>
      <c r="D47" s="85"/>
      <c r="E47" s="57"/>
      <c r="F47" s="81" t="str">
        <f>IF(COUNTIF($A47:$E47,"&lt;&gt;")=0,"",IF(OR($B47="",$C47=""),"Sélectionnez la personne qui a versé l’argent et celle qui l’a reçu.",IF($B47=$C47,"Sélectionnez deux personnes différentes.",IF(OR($D47="",$D47&lt;=0),"Saisissez un montant supérieur à zéro.","Vérifié"))))</f>
      </c>
    </row>
    <row r="48">
      <c r="A48" s="83"/>
      <c r="B48" s="57"/>
      <c r="C48" s="57"/>
      <c r="D48" s="85"/>
      <c r="E48" s="57"/>
      <c r="F48" s="81" t="str">
        <f>IF(COUNTIF($A48:$E48,"&lt;&gt;")=0,"",IF(OR($B48="",$C48=""),"Sélectionnez la personne qui a versé l’argent et celle qui l’a reçu.",IF($B48=$C48,"Sélectionnez deux personnes différentes.",IF(OR($D48="",$D48&lt;=0),"Saisissez un montant supérieur à zéro.","Vérifié"))))</f>
      </c>
    </row>
    <row r="49">
      <c r="A49" s="83"/>
      <c r="B49" s="57"/>
      <c r="C49" s="57"/>
      <c r="D49" s="85"/>
      <c r="E49" s="57"/>
      <c r="F49" s="81" t="str">
        <f>IF(COUNTIF($A49:$E49,"&lt;&gt;")=0,"",IF(OR($B49="",$C49=""),"Sélectionnez la personne qui a versé l’argent et celle qui l’a reçu.",IF($B49=$C49,"Sélectionnez deux personnes différentes.",IF(OR($D49="",$D49&lt;=0),"Saisissez un montant supérieur à zéro.","Vérifié"))))</f>
      </c>
    </row>
    <row r="50">
      <c r="A50" s="83"/>
      <c r="B50" s="57"/>
      <c r="C50" s="57"/>
      <c r="D50" s="85"/>
      <c r="E50" s="57"/>
      <c r="F50" s="81" t="str">
        <f>IF(COUNTIF($A50:$E50,"&lt;&gt;")=0,"",IF(OR($B50="",$C50=""),"Sélectionnez la personne qui a versé l’argent et celle qui l’a reçu.",IF($B50=$C50,"Sélectionnez deux personnes différentes.",IF(OR($D50="",$D50&lt;=0),"Saisissez un montant supérieur à zéro.","Vérifié"))))</f>
      </c>
    </row>
    <row r="51">
      <c r="A51" s="83"/>
      <c r="B51" s="57"/>
      <c r="C51" s="57"/>
      <c r="D51" s="85"/>
      <c r="E51" s="57"/>
      <c r="F51" s="81" t="str">
        <f>IF(COUNTIF($A51:$E51,"&lt;&gt;")=0,"",IF(OR($B51="",$C51=""),"Sélectionnez la personne qui a versé l’argent et celle qui l’a reçu.",IF($B51=$C51,"Sélectionnez deux personnes différentes.",IF(OR($D51="",$D51&lt;=0),"Saisissez un montant supérieur à zéro.","Vérifié"))))</f>
      </c>
    </row>
    <row r="52">
      <c r="A52" s="83"/>
      <c r="B52" s="57"/>
      <c r="C52" s="57"/>
      <c r="D52" s="85"/>
      <c r="E52" s="57"/>
      <c r="F52" s="81" t="str">
        <f>IF(COUNTIF($A52:$E52,"&lt;&gt;")=0,"",IF(OR($B52="",$C52=""),"Sélectionnez la personne qui a versé l’argent et celle qui l’a reçu.",IF($B52=$C52,"Sélectionnez deux personnes différentes.",IF(OR($D52="",$D52&lt;=0),"Saisissez un montant supérieur à zéro.","Vérifié"))))</f>
      </c>
    </row>
    <row r="53">
      <c r="A53" s="83"/>
      <c r="B53" s="57"/>
      <c r="C53" s="57"/>
      <c r="D53" s="85"/>
      <c r="E53" s="57"/>
      <c r="F53" s="81" t="str">
        <f>IF(COUNTIF($A53:$E53,"&lt;&gt;")=0,"",IF(OR($B53="",$C53=""),"Sélectionnez la personne qui a versé l’argent et celle qui l’a reçu.",IF($B53=$C53,"Sélectionnez deux personnes différentes.",IF(OR($D53="",$D53&lt;=0),"Saisissez un montant supérieur à zéro.","Vérifié"))))</f>
      </c>
    </row>
    <row r="54">
      <c r="A54" s="83"/>
      <c r="B54" s="57"/>
      <c r="C54" s="57"/>
      <c r="D54" s="85"/>
      <c r="E54" s="57"/>
      <c r="F54" s="81" t="str">
        <f>IF(COUNTIF($A54:$E54,"&lt;&gt;")=0,"",IF(OR($B54="",$C54=""),"Sélectionnez la personne qui a versé l’argent et celle qui l’a reçu.",IF($B54=$C54,"Sélectionnez deux personnes différentes.",IF(OR($D54="",$D54&lt;=0),"Saisissez un montant supérieur à zéro.","Vérifié"))))</f>
      </c>
    </row>
    <row r="55">
      <c r="A55" s="83"/>
      <c r="B55" s="57"/>
      <c r="C55" s="57"/>
      <c r="D55" s="85"/>
      <c r="E55" s="57"/>
      <c r="F55" s="81" t="str">
        <f>IF(COUNTIF($A55:$E55,"&lt;&gt;")=0,"",IF(OR($B55="",$C55=""),"Sélectionnez la personne qui a versé l’argent et celle qui l’a reçu.",IF($B55=$C55,"Sélectionnez deux personnes différentes.",IF(OR($D55="",$D55&lt;=0),"Saisissez un montant supérieur à zéro.","Vérifié"))))</f>
      </c>
    </row>
    <row r="56">
      <c r="A56" s="83"/>
      <c r="B56" s="57"/>
      <c r="C56" s="57"/>
      <c r="D56" s="85"/>
      <c r="E56" s="57"/>
      <c r="F56" s="81" t="str">
        <f>IF(COUNTIF($A56:$E56,"&lt;&gt;")=0,"",IF(OR($B56="",$C56=""),"Sélectionnez la personne qui a versé l’argent et celle qui l’a reçu.",IF($B56=$C56,"Sélectionnez deux personnes différentes.",IF(OR($D56="",$D56&lt;=0),"Saisissez un montant supérieur à zéro.","Vérifié"))))</f>
      </c>
    </row>
    <row r="57">
      <c r="A57" s="83"/>
      <c r="B57" s="57"/>
      <c r="C57" s="57"/>
      <c r="D57" s="85"/>
      <c r="E57" s="57"/>
      <c r="F57" s="81" t="str">
        <f>IF(COUNTIF($A57:$E57,"&lt;&gt;")=0,"",IF(OR($B57="",$C57=""),"Sélectionnez la personne qui a versé l’argent et celle qui l’a reçu.",IF($B57=$C57,"Sélectionnez deux personnes différentes.",IF(OR($D57="",$D57&lt;=0),"Saisissez un montant supérieur à zéro.","Vérifié"))))</f>
      </c>
    </row>
    <row r="58">
      <c r="A58" s="83"/>
      <c r="B58" s="57"/>
      <c r="C58" s="57"/>
      <c r="D58" s="85"/>
      <c r="E58" s="57"/>
      <c r="F58" s="81" t="str">
        <f>IF(COUNTIF($A58:$E58,"&lt;&gt;")=0,"",IF(OR($B58="",$C58=""),"Sélectionnez la personne qui a versé l’argent et celle qui l’a reçu.",IF($B58=$C58,"Sélectionnez deux personnes différentes.",IF(OR($D58="",$D58&lt;=0),"Saisissez un montant supérieur à zéro.","Vérifié"))))</f>
      </c>
    </row>
    <row r="59">
      <c r="A59" s="83"/>
      <c r="B59" s="57"/>
      <c r="C59" s="57"/>
      <c r="D59" s="85"/>
      <c r="E59" s="57"/>
      <c r="F59" s="81" t="str">
        <f>IF(COUNTIF($A59:$E59,"&lt;&gt;")=0,"",IF(OR($B59="",$C59=""),"Sélectionnez la personne qui a versé l’argent et celle qui l’a reçu.",IF($B59=$C59,"Sélectionnez deux personnes différentes.",IF(OR($D59="",$D59&lt;=0),"Saisissez un montant supérieur à zéro.","Vérifié"))))</f>
      </c>
    </row>
    <row r="60">
      <c r="A60" s="83"/>
      <c r="B60" s="57"/>
      <c r="C60" s="57"/>
      <c r="D60" s="85"/>
      <c r="E60" s="57"/>
      <c r="F60" s="81" t="str">
        <f>IF(COUNTIF($A60:$E60,"&lt;&gt;")=0,"",IF(OR($B60="",$C60=""),"Sélectionnez la personne qui a versé l’argent et celle qui l’a reçu.",IF($B60=$C60,"Sélectionnez deux personnes différentes.",IF(OR($D60="",$D60&lt;=0),"Saisissez un montant supérieur à zéro.","Vérifié"))))</f>
      </c>
    </row>
    <row r="61">
      <c r="A61" s="83"/>
      <c r="B61" s="57"/>
      <c r="C61" s="57"/>
      <c r="D61" s="85"/>
      <c r="E61" s="57"/>
      <c r="F61" s="81" t="str">
        <f>IF(COUNTIF($A61:$E61,"&lt;&gt;")=0,"",IF(OR($B61="",$C61=""),"Sélectionnez la personne qui a versé l’argent et celle qui l’a reçu.",IF($B61=$C61,"Sélectionnez deux personnes différentes.",IF(OR($D61="",$D61&lt;=0),"Saisissez un montant supérieur à zéro.","Vérifié"))))</f>
      </c>
    </row>
    <row r="62">
      <c r="A62" s="83"/>
      <c r="B62" s="57"/>
      <c r="C62" s="57"/>
      <c r="D62" s="85"/>
      <c r="E62" s="57"/>
      <c r="F62" s="81" t="str">
        <f>IF(COUNTIF($A62:$E62,"&lt;&gt;")=0,"",IF(OR($B62="",$C62=""),"Sélectionnez la personne qui a versé l’argent et celle qui l’a reçu.",IF($B62=$C62,"Sélectionnez deux personnes différentes.",IF(OR($D62="",$D62&lt;=0),"Saisissez un montant supérieur à zéro.","Vérifié"))))</f>
      </c>
    </row>
    <row r="63">
      <c r="A63" s="83"/>
      <c r="B63" s="57"/>
      <c r="C63" s="57"/>
      <c r="D63" s="85"/>
      <c r="E63" s="57"/>
      <c r="F63" s="81" t="str">
        <f>IF(COUNTIF($A63:$E63,"&lt;&gt;")=0,"",IF(OR($B63="",$C63=""),"Sélectionnez la personne qui a versé l’argent et celle qui l’a reçu.",IF($B63=$C63,"Sélectionnez deux personnes différentes.",IF(OR($D63="",$D63&lt;=0),"Saisissez un montant supérieur à zéro.","Vérifié"))))</f>
      </c>
    </row>
    <row r="64">
      <c r="A64" s="83"/>
      <c r="B64" s="57"/>
      <c r="C64" s="57"/>
      <c r="D64" s="85"/>
      <c r="E64" s="57"/>
      <c r="F64" s="81" t="str">
        <f>IF(COUNTIF($A64:$E64,"&lt;&gt;")=0,"",IF(OR($B64="",$C64=""),"Sélectionnez la personne qui a versé l’argent et celle qui l’a reçu.",IF($B64=$C64,"Sélectionnez deux personnes différentes.",IF(OR($D64="",$D64&lt;=0),"Saisissez un montant supérieur à zéro.","Vérifié"))))</f>
      </c>
    </row>
    <row r="65">
      <c r="A65" s="83"/>
      <c r="B65" s="57"/>
      <c r="C65" s="57"/>
      <c r="D65" s="85"/>
      <c r="E65" s="57"/>
      <c r="F65" s="81" t="str">
        <f>IF(COUNTIF($A65:$E65,"&lt;&gt;")=0,"",IF(OR($B65="",$C65=""),"Sélectionnez la personne qui a versé l’argent et celle qui l’a reçu.",IF($B65=$C65,"Sélectionnez deux personnes différentes.",IF(OR($D65="",$D65&lt;=0),"Saisissez un montant supérieur à zéro.","Vérifié"))))</f>
      </c>
    </row>
    <row r="66">
      <c r="A66" s="83"/>
      <c r="B66" s="57"/>
      <c r="C66" s="57"/>
      <c r="D66" s="85"/>
      <c r="E66" s="57"/>
      <c r="F66" s="81" t="str">
        <f>IF(COUNTIF($A66:$E66,"&lt;&gt;")=0,"",IF(OR($B66="",$C66=""),"Sélectionnez la personne qui a versé l’argent et celle qui l’a reçu.",IF($B66=$C66,"Sélectionnez deux personnes différentes.",IF(OR($D66="",$D66&lt;=0),"Saisissez un montant supérieur à zéro.","Vérifié"))))</f>
      </c>
    </row>
    <row r="67">
      <c r="A67" s="83"/>
      <c r="B67" s="57"/>
      <c r="C67" s="57"/>
      <c r="D67" s="85"/>
      <c r="E67" s="57"/>
      <c r="F67" s="81" t="str">
        <f>IF(COUNTIF($A67:$E67,"&lt;&gt;")=0,"",IF(OR($B67="",$C67=""),"Sélectionnez la personne qui a versé l’argent et celle qui l’a reçu.",IF($B67=$C67,"Sélectionnez deux personnes différentes.",IF(OR($D67="",$D67&lt;=0),"Saisissez un montant supérieur à zéro.","Vérifié"))))</f>
      </c>
    </row>
    <row r="68">
      <c r="A68" s="83"/>
      <c r="B68" s="57"/>
      <c r="C68" s="57"/>
      <c r="D68" s="85"/>
      <c r="E68" s="57"/>
      <c r="F68" s="81" t="str">
        <f>IF(COUNTIF($A68:$E68,"&lt;&gt;")=0,"",IF(OR($B68="",$C68=""),"Sélectionnez la personne qui a versé l’argent et celle qui l’a reçu.",IF($B68=$C68,"Sélectionnez deux personnes différentes.",IF(OR($D68="",$D68&lt;=0),"Saisissez un montant supérieur à zéro.","Vérifié"))))</f>
      </c>
    </row>
    <row r="69">
      <c r="A69" s="83"/>
      <c r="B69" s="57"/>
      <c r="C69" s="57"/>
      <c r="D69" s="85"/>
      <c r="E69" s="57"/>
      <c r="F69" s="81" t="str">
        <f>IF(COUNTIF($A69:$E69,"&lt;&gt;")=0,"",IF(OR($B69="",$C69=""),"Sélectionnez la personne qui a versé l’argent et celle qui l’a reçu.",IF($B69=$C69,"Sélectionnez deux personnes différentes.",IF(OR($D69="",$D69&lt;=0),"Saisissez un montant supérieur à zéro.","Vérifié"))))</f>
      </c>
    </row>
    <row r="70">
      <c r="A70" s="83"/>
      <c r="B70" s="57"/>
      <c r="C70" s="57"/>
      <c r="D70" s="85"/>
      <c r="E70" s="57"/>
      <c r="F70" s="81" t="str">
        <f>IF(COUNTIF($A70:$E70,"&lt;&gt;")=0,"",IF(OR($B70="",$C70=""),"Sélectionnez la personne qui a versé l’argent et celle qui l’a reçu.",IF($B70=$C70,"Sélectionnez deux personnes différentes.",IF(OR($D70="",$D70&lt;=0),"Saisissez un montant supérieur à zéro.","Vérifié"))))</f>
      </c>
    </row>
    <row r="71">
      <c r="A71" s="83"/>
      <c r="B71" s="57"/>
      <c r="C71" s="57"/>
      <c r="D71" s="85"/>
      <c r="E71" s="57"/>
      <c r="F71" s="81" t="str">
        <f>IF(COUNTIF($A71:$E71,"&lt;&gt;")=0,"",IF(OR($B71="",$C71=""),"Sélectionnez la personne qui a versé l’argent et celle qui l’a reçu.",IF($B71=$C71,"Sélectionnez deux personnes différentes.",IF(OR($D71="",$D71&lt;=0),"Saisissez un montant supérieur à zéro.","Vérifié"))))</f>
      </c>
    </row>
    <row r="72">
      <c r="A72" s="83"/>
      <c r="B72" s="57"/>
      <c r="C72" s="57"/>
      <c r="D72" s="85"/>
      <c r="E72" s="57"/>
      <c r="F72" s="81" t="str">
        <f>IF(COUNTIF($A72:$E72,"&lt;&gt;")=0,"",IF(OR($B72="",$C72=""),"Sélectionnez la personne qui a versé l’argent et celle qui l’a reçu.",IF($B72=$C72,"Sélectionnez deux personnes différentes.",IF(OR($D72="",$D72&lt;=0),"Saisissez un montant supérieur à zéro.","Vérifié"))))</f>
      </c>
    </row>
    <row r="73">
      <c r="A73" s="83"/>
      <c r="B73" s="57"/>
      <c r="C73" s="57"/>
      <c r="D73" s="85"/>
      <c r="E73" s="57"/>
      <c r="F73" s="81" t="str">
        <f>IF(COUNTIF($A73:$E73,"&lt;&gt;")=0,"",IF(OR($B73="",$C73=""),"Sélectionnez la personne qui a versé l’argent et celle qui l’a reçu.",IF($B73=$C73,"Sélectionnez deux personnes différentes.",IF(OR($D73="",$D73&lt;=0),"Saisissez un montant supérieur à zéro.","Vérifié"))))</f>
      </c>
    </row>
    <row r="74">
      <c r="A74" s="83"/>
      <c r="B74" s="57"/>
      <c r="C74" s="57"/>
      <c r="D74" s="85"/>
      <c r="E74" s="57"/>
      <c r="F74" s="81" t="str">
        <f>IF(COUNTIF($A74:$E74,"&lt;&gt;")=0,"",IF(OR($B74="",$C74=""),"Sélectionnez la personne qui a versé l’argent et celle qui l’a reçu.",IF($B74=$C74,"Sélectionnez deux personnes différentes.",IF(OR($D74="",$D74&lt;=0),"Saisissez un montant supérieur à zéro.","Vérifié"))))</f>
      </c>
    </row>
    <row r="75">
      <c r="A75" s="83"/>
      <c r="B75" s="57"/>
      <c r="C75" s="57"/>
      <c r="D75" s="85"/>
      <c r="E75" s="57"/>
      <c r="F75" s="81" t="str">
        <f>IF(COUNTIF($A75:$E75,"&lt;&gt;")=0,"",IF(OR($B75="",$C75=""),"Sélectionnez la personne qui a versé l’argent et celle qui l’a reçu.",IF($B75=$C75,"Sélectionnez deux personnes différentes.",IF(OR($D75="",$D75&lt;=0),"Saisissez un montant supérieur à zéro.","Vérifié"))))</f>
      </c>
    </row>
    <row r="76">
      <c r="A76" s="83"/>
      <c r="B76" s="57"/>
      <c r="C76" s="57"/>
      <c r="D76" s="85"/>
      <c r="E76" s="57"/>
      <c r="F76" s="81" t="str">
        <f>IF(COUNTIF($A76:$E76,"&lt;&gt;")=0,"",IF(OR($B76="",$C76=""),"Sélectionnez la personne qui a versé l’argent et celle qui l’a reçu.",IF($B76=$C76,"Sélectionnez deux personnes différentes.",IF(OR($D76="",$D76&lt;=0),"Saisissez un montant supérieur à zéro.","Vérifié"))))</f>
      </c>
    </row>
    <row r="77">
      <c r="A77" s="83"/>
      <c r="B77" s="57"/>
      <c r="C77" s="57"/>
      <c r="D77" s="85"/>
      <c r="E77" s="57"/>
      <c r="F77" s="81" t="str">
        <f>IF(COUNTIF($A77:$E77,"&lt;&gt;")=0,"",IF(OR($B77="",$C77=""),"Sélectionnez la personne qui a versé l’argent et celle qui l’a reçu.",IF($B77=$C77,"Sélectionnez deux personnes différentes.",IF(OR($D77="",$D77&lt;=0),"Saisissez un montant supérieur à zéro.","Vérifié"))))</f>
      </c>
    </row>
    <row r="78">
      <c r="A78" s="83"/>
      <c r="B78" s="57"/>
      <c r="C78" s="57"/>
      <c r="D78" s="85"/>
      <c r="E78" s="57"/>
      <c r="F78" s="81" t="str">
        <f>IF(COUNTIF($A78:$E78,"&lt;&gt;")=0,"",IF(OR($B78="",$C78=""),"Sélectionnez la personne qui a versé l’argent et celle qui l’a reçu.",IF($B78=$C78,"Sélectionnez deux personnes différentes.",IF(OR($D78="",$D78&lt;=0),"Saisissez un montant supérieur à zéro.","Vérifié"))))</f>
      </c>
    </row>
    <row r="79">
      <c r="A79" s="83"/>
      <c r="B79" s="57"/>
      <c r="C79" s="57"/>
      <c r="D79" s="85"/>
      <c r="E79" s="57"/>
      <c r="F79" s="81" t="str">
        <f>IF(COUNTIF($A79:$E79,"&lt;&gt;")=0,"",IF(OR($B79="",$C79=""),"Sélectionnez la personne qui a versé l’argent et celle qui l’a reçu.",IF($B79=$C79,"Sélectionnez deux personnes différentes.",IF(OR($D79="",$D79&lt;=0),"Saisissez un montant supérieur à zéro.","Vérifié"))))</f>
      </c>
    </row>
    <row r="80">
      <c r="A80" s="83"/>
      <c r="B80" s="57"/>
      <c r="C80" s="57"/>
      <c r="D80" s="85"/>
      <c r="E80" s="57"/>
      <c r="F80" s="81" t="str">
        <f>IF(COUNTIF($A80:$E80,"&lt;&gt;")=0,"",IF(OR($B80="",$C80=""),"Sélectionnez la personne qui a versé l’argent et celle qui l’a reçu.",IF($B80=$C80,"Sélectionnez deux personnes différentes.",IF(OR($D80="",$D80&lt;=0),"Saisissez un montant supérieur à zéro.","Vérifié"))))</f>
      </c>
    </row>
    <row r="81">
      <c r="A81" s="83"/>
      <c r="B81" s="57"/>
      <c r="C81" s="57"/>
      <c r="D81" s="85"/>
      <c r="E81" s="57"/>
      <c r="F81" s="81" t="str">
        <f>IF(COUNTIF($A81:$E81,"&lt;&gt;")=0,"",IF(OR($B81="",$C81=""),"Sélectionnez la personne qui a versé l’argent et celle qui l’a reçu.",IF($B81=$C81,"Sélectionnez deux personnes différentes.",IF(OR($D81="",$D81&lt;=0),"Saisissez un montant supérieur à zéro.","Vérifié"))))</f>
      </c>
    </row>
    <row r="82">
      <c r="A82" s="83"/>
      <c r="B82" s="57"/>
      <c r="C82" s="57"/>
      <c r="D82" s="85"/>
      <c r="E82" s="57"/>
      <c r="F82" s="81" t="str">
        <f>IF(COUNTIF($A82:$E82,"&lt;&gt;")=0,"",IF(OR($B82="",$C82=""),"Sélectionnez la personne qui a versé l’argent et celle qui l’a reçu.",IF($B82=$C82,"Sélectionnez deux personnes différentes.",IF(OR($D82="",$D82&lt;=0),"Saisissez un montant supérieur à zéro.","Vérifié"))))</f>
      </c>
    </row>
    <row r="83">
      <c r="A83" s="83"/>
      <c r="B83" s="57"/>
      <c r="C83" s="57"/>
      <c r="D83" s="85"/>
      <c r="E83" s="57"/>
      <c r="F83" s="81" t="str">
        <f>IF(COUNTIF($A83:$E83,"&lt;&gt;")=0,"",IF(OR($B83="",$C83=""),"Sélectionnez la personne qui a versé l’argent et celle qui l’a reçu.",IF($B83=$C83,"Sélectionnez deux personnes différentes.",IF(OR($D83="",$D83&lt;=0),"Saisissez un montant supérieur à zéro.","Vérifié"))))</f>
      </c>
    </row>
    <row r="84">
      <c r="A84" s="83"/>
      <c r="B84" s="57"/>
      <c r="C84" s="57"/>
      <c r="D84" s="85"/>
      <c r="E84" s="57"/>
      <c r="F84" s="81" t="str">
        <f>IF(COUNTIF($A84:$E84,"&lt;&gt;")=0,"",IF(OR($B84="",$C84=""),"Sélectionnez la personne qui a versé l’argent et celle qui l’a reçu.",IF($B84=$C84,"Sélectionnez deux personnes différentes.",IF(OR($D84="",$D84&lt;=0),"Saisissez un montant supérieur à zéro.","Vérifié"))))</f>
      </c>
    </row>
    <row r="85">
      <c r="A85" s="83"/>
      <c r="B85" s="57"/>
      <c r="C85" s="57"/>
      <c r="D85" s="85"/>
      <c r="E85" s="57"/>
      <c r="F85" s="81" t="str">
        <f>IF(COUNTIF($A85:$E85,"&lt;&gt;")=0,"",IF(OR($B85="",$C85=""),"Sélectionnez la personne qui a versé l’argent et celle qui l’a reçu.",IF($B85=$C85,"Sélectionnez deux personnes différentes.",IF(OR($D85="",$D85&lt;=0),"Saisissez un montant supérieur à zéro.","Vérifié"))))</f>
      </c>
    </row>
    <row r="86">
      <c r="A86" s="83"/>
      <c r="B86" s="57"/>
      <c r="C86" s="57"/>
      <c r="D86" s="85"/>
      <c r="E86" s="57"/>
      <c r="F86" s="81" t="str">
        <f>IF(COUNTIF($A86:$E86,"&lt;&gt;")=0,"",IF(OR($B86="",$C86=""),"Sélectionnez la personne qui a versé l’argent et celle qui l’a reçu.",IF($B86=$C86,"Sélectionnez deux personnes différentes.",IF(OR($D86="",$D86&lt;=0),"Saisissez un montant supérieur à zéro.","Vérifié"))))</f>
      </c>
    </row>
    <row r="87">
      <c r="A87" s="83"/>
      <c r="B87" s="57"/>
      <c r="C87" s="57"/>
      <c r="D87" s="85"/>
      <c r="E87" s="57"/>
      <c r="F87" s="81" t="str">
        <f>IF(COUNTIF($A87:$E87,"&lt;&gt;")=0,"",IF(OR($B87="",$C87=""),"Sélectionnez la personne qui a versé l’argent et celle qui l’a reçu.",IF($B87=$C87,"Sélectionnez deux personnes différentes.",IF(OR($D87="",$D87&lt;=0),"Saisissez un montant supérieur à zéro.","Vérifié"))))</f>
      </c>
    </row>
    <row r="88">
      <c r="A88" s="83"/>
      <c r="B88" s="57"/>
      <c r="C88" s="57"/>
      <c r="D88" s="85"/>
      <c r="E88" s="57"/>
      <c r="F88" s="81" t="str">
        <f>IF(COUNTIF($A88:$E88,"&lt;&gt;")=0,"",IF(OR($B88="",$C88=""),"Sélectionnez la personne qui a versé l’argent et celle qui l’a reçu.",IF($B88=$C88,"Sélectionnez deux personnes différentes.",IF(OR($D88="",$D88&lt;=0),"Saisissez un montant supérieur à zéro.","Vérifié"))))</f>
      </c>
    </row>
    <row r="89">
      <c r="A89" s="83"/>
      <c r="B89" s="57"/>
      <c r="C89" s="57"/>
      <c r="D89" s="85"/>
      <c r="E89" s="57"/>
      <c r="F89" s="81" t="str">
        <f>IF(COUNTIF($A89:$E89,"&lt;&gt;")=0,"",IF(OR($B89="",$C89=""),"Sélectionnez la personne qui a versé l’argent et celle qui l’a reçu.",IF($B89=$C89,"Sélectionnez deux personnes différentes.",IF(OR($D89="",$D89&lt;=0),"Saisissez un montant supérieur à zéro.","Vérifié"))))</f>
      </c>
    </row>
    <row r="90">
      <c r="A90" s="83"/>
      <c r="B90" s="57"/>
      <c r="C90" s="57"/>
      <c r="D90" s="85"/>
      <c r="E90" s="57"/>
      <c r="F90" s="81" t="str">
        <f>IF(COUNTIF($A90:$E90,"&lt;&gt;")=0,"",IF(OR($B90="",$C90=""),"Sélectionnez la personne qui a versé l’argent et celle qui l’a reçu.",IF($B90=$C90,"Sélectionnez deux personnes différentes.",IF(OR($D90="",$D90&lt;=0),"Saisissez un montant supérieur à zéro.","Vérifié"))))</f>
      </c>
    </row>
    <row r="91">
      <c r="A91" s="83"/>
      <c r="B91" s="57"/>
      <c r="C91" s="57"/>
      <c r="D91" s="85"/>
      <c r="E91" s="57"/>
      <c r="F91" s="81" t="str">
        <f>IF(COUNTIF($A91:$E91,"&lt;&gt;")=0,"",IF(OR($B91="",$C91=""),"Sélectionnez la personne qui a versé l’argent et celle qui l’a reçu.",IF($B91=$C91,"Sélectionnez deux personnes différentes.",IF(OR($D91="",$D91&lt;=0),"Saisissez un montant supérieur à zéro.","Vérifié"))))</f>
      </c>
    </row>
    <row r="92">
      <c r="A92" s="83"/>
      <c r="B92" s="57"/>
      <c r="C92" s="57"/>
      <c r="D92" s="85"/>
      <c r="E92" s="57"/>
      <c r="F92" s="81" t="str">
        <f>IF(COUNTIF($A92:$E92,"&lt;&gt;")=0,"",IF(OR($B92="",$C92=""),"Sélectionnez la personne qui a versé l’argent et celle qui l’a reçu.",IF($B92=$C92,"Sélectionnez deux personnes différentes.",IF(OR($D92="",$D92&lt;=0),"Saisissez un montant supérieur à zéro.","Vérifié"))))</f>
      </c>
    </row>
    <row r="93">
      <c r="A93" s="83"/>
      <c r="B93" s="57"/>
      <c r="C93" s="57"/>
      <c r="D93" s="85"/>
      <c r="E93" s="57"/>
      <c r="F93" s="81" t="str">
        <f>IF(COUNTIF($A93:$E93,"&lt;&gt;")=0,"",IF(OR($B93="",$C93=""),"Sélectionnez la personne qui a versé l’argent et celle qui l’a reçu.",IF($B93=$C93,"Sélectionnez deux personnes différentes.",IF(OR($D93="",$D93&lt;=0),"Saisissez un montant supérieur à zéro.","Vérifié"))))</f>
      </c>
    </row>
    <row r="94">
      <c r="A94" s="83"/>
      <c r="B94" s="57"/>
      <c r="C94" s="57"/>
      <c r="D94" s="85"/>
      <c r="E94" s="57"/>
      <c r="F94" s="81" t="str">
        <f>IF(COUNTIF($A94:$E94,"&lt;&gt;")=0,"",IF(OR($B94="",$C94=""),"Sélectionnez la personne qui a versé l’argent et celle qui l’a reçu.",IF($B94=$C94,"Sélectionnez deux personnes différentes.",IF(OR($D94="",$D94&lt;=0),"Saisissez un montant supérieur à zéro.","Vérifié"))))</f>
      </c>
    </row>
    <row r="95">
      <c r="A95" s="83"/>
      <c r="B95" s="57"/>
      <c r="C95" s="57"/>
      <c r="D95" s="85"/>
      <c r="E95" s="57"/>
      <c r="F95" s="81" t="str">
        <f>IF(COUNTIF($A95:$E95,"&lt;&gt;")=0,"",IF(OR($B95="",$C95=""),"Sélectionnez la personne qui a versé l’argent et celle qui l’a reçu.",IF($B95=$C95,"Sélectionnez deux personnes différentes.",IF(OR($D95="",$D95&lt;=0),"Saisissez un montant supérieur à zéro.","Vérifié"))))</f>
      </c>
    </row>
    <row r="96">
      <c r="A96" s="83"/>
      <c r="B96" s="57"/>
      <c r="C96" s="57"/>
      <c r="D96" s="85"/>
      <c r="E96" s="57"/>
      <c r="F96" s="81" t="str">
        <f>IF(COUNTIF($A96:$E96,"&lt;&gt;")=0,"",IF(OR($B96="",$C96=""),"Sélectionnez la personne qui a versé l’argent et celle qui l’a reçu.",IF($B96=$C96,"Sélectionnez deux personnes différentes.",IF(OR($D96="",$D96&lt;=0),"Saisissez un montant supérieur à zéro.","Vérifié"))))</f>
      </c>
    </row>
    <row r="97">
      <c r="A97" s="83"/>
      <c r="B97" s="57"/>
      <c r="C97" s="57"/>
      <c r="D97" s="85"/>
      <c r="E97" s="57"/>
      <c r="F97" s="81" t="str">
        <f>IF(COUNTIF($A97:$E97,"&lt;&gt;")=0,"",IF(OR($B97="",$C97=""),"Sélectionnez la personne qui a versé l’argent et celle qui l’a reçu.",IF($B97=$C97,"Sélectionnez deux personnes différentes.",IF(OR($D97="",$D97&lt;=0),"Saisissez un montant supérieur à zéro.","Vérifié"))))</f>
      </c>
    </row>
    <row r="98">
      <c r="A98" s="83"/>
      <c r="B98" s="57"/>
      <c r="C98" s="57"/>
      <c r="D98" s="85"/>
      <c r="E98" s="57"/>
      <c r="F98" s="81" t="str">
        <f>IF(COUNTIF($A98:$E98,"&lt;&gt;")=0,"",IF(OR($B98="",$C98=""),"Sélectionnez la personne qui a versé l’argent et celle qui l’a reçu.",IF($B98=$C98,"Sélectionnez deux personnes différentes.",IF(OR($D98="",$D98&lt;=0),"Saisissez un montant supérieur à zéro.","Vérifié"))))</f>
      </c>
    </row>
    <row r="99">
      <c r="A99" s="83"/>
      <c r="B99" s="57"/>
      <c r="C99" s="57"/>
      <c r="D99" s="85"/>
      <c r="E99" s="57"/>
      <c r="F99" s="81" t="str">
        <f>IF(COUNTIF($A99:$E99,"&lt;&gt;")=0,"",IF(OR($B99="",$C99=""),"Sélectionnez la personne qui a versé l’argent et celle qui l’a reçu.",IF($B99=$C99,"Sélectionnez deux personnes différentes.",IF(OR($D99="",$D99&lt;=0),"Saisissez un montant supérieur à zéro.","Vérifié"))))</f>
      </c>
    </row>
    <row r="100">
      <c r="A100" s="83"/>
      <c r="B100" s="57"/>
      <c r="C100" s="57"/>
      <c r="D100" s="85"/>
      <c r="E100" s="57"/>
      <c r="F100" s="81" t="str">
        <f>IF(COUNTIF($A100:$E100,"&lt;&gt;")=0,"",IF(OR($B100="",$C100=""),"Sélectionnez la personne qui a versé l’argent et celle qui l’a reçu.",IF($B100=$C100,"Sélectionnez deux personnes différentes.",IF(OR($D100="",$D100&lt;=0),"Saisissez un montant supérieur à zéro.","Vérifié"))))</f>
      </c>
    </row>
    <row r="101">
      <c r="A101" s="83"/>
      <c r="B101" s="57"/>
      <c r="C101" s="57"/>
      <c r="D101" s="85"/>
      <c r="E101" s="57"/>
      <c r="F101" s="81" t="str">
        <f>IF(COUNTIF($A101:$E101,"&lt;&gt;")=0,"",IF(OR($B101="",$C101=""),"Sélectionnez la personne qui a versé l’argent et celle qui l’a reçu.",IF($B101=$C101,"Sélectionnez deux personnes différentes.",IF(OR($D101="",$D101&lt;=0),"Saisissez un montant supérieur à zéro.","Vérifié"))))</f>
      </c>
    </row>
    <row r="102">
      <c r="A102" s="83"/>
      <c r="B102" s="57"/>
      <c r="C102" s="57"/>
      <c r="D102" s="85"/>
      <c r="E102" s="57"/>
      <c r="F102" s="81" t="str">
        <f>IF(COUNTIF($A102:$E102,"&lt;&gt;")=0,"",IF(OR($B102="",$C102=""),"Sélectionnez la personne qui a versé l’argent et celle qui l’a reçu.",IF($B102=$C102,"Sélectionnez deux personnes différentes.",IF(OR($D102="",$D102&lt;=0),"Saisissez un montant supérieur à zéro.","Vérifié"))))</f>
      </c>
    </row>
    <row r="103">
      <c r="A103" s="83"/>
      <c r="B103" s="57"/>
      <c r="C103" s="57"/>
      <c r="D103" s="85"/>
      <c r="E103" s="57"/>
      <c r="F103" s="81" t="str">
        <f>IF(COUNTIF($A103:$E103,"&lt;&gt;")=0,"",IF(OR($B103="",$C103=""),"Sélectionnez la personne qui a versé l’argent et celle qui l’a reçu.",IF($B103=$C103,"Sélectionnez deux personnes différentes.",IF(OR($D103="",$D103&lt;=0),"Saisissez un montant supérieur à zéro.","Vérifié"))))</f>
      </c>
    </row>
    <row r="104">
      <c r="A104" s="83"/>
      <c r="B104" s="57"/>
      <c r="C104" s="57"/>
      <c r="D104" s="85"/>
      <c r="E104" s="57"/>
      <c r="F104" s="81" t="str">
        <f>IF(COUNTIF($A104:$E104,"&lt;&gt;")=0,"",IF(OR($B104="",$C104=""),"Sélectionnez la personne qui a versé l’argent et celle qui l’a reçu.",IF($B104=$C104,"Sélectionnez deux personnes différentes.",IF(OR($D104="",$D104&lt;=0),"Saisissez un montant supérieur à zéro.","Vérifié"))))</f>
      </c>
    </row>
    <row r="105">
      <c r="A105" s="83"/>
      <c r="B105" s="57"/>
      <c r="C105" s="57"/>
      <c r="D105" s="85"/>
      <c r="E105" s="57"/>
      <c r="F105" s="81" t="str">
        <f>IF(COUNTIF($A105:$E105,"&lt;&gt;")=0,"",IF(OR($B105="",$C105=""),"Sélectionnez la personne qui a versé l’argent et celle qui l’a reçu.",IF($B105=$C105,"Sélectionnez deux personnes différentes.",IF(OR($D105="",$D105&lt;=0),"Saisissez un montant supérieur à zéro.","Vérifié"))))</f>
      </c>
    </row>
    <row r="106">
      <c r="A106" s="83"/>
      <c r="B106" s="57"/>
      <c r="C106" s="57"/>
      <c r="D106" s="85"/>
      <c r="E106" s="57"/>
      <c r="F106" s="81" t="str">
        <f>IF(COUNTIF($A106:$E106,"&lt;&gt;")=0,"",IF(OR($B106="",$C106=""),"Sélectionnez la personne qui a versé l’argent et celle qui l’a reçu.",IF($B106=$C106,"Sélectionnez deux personnes différentes.",IF(OR($D106="",$D106&lt;=0),"Saisissez un montant supérieur à zéro.","Vérifié"))))</f>
      </c>
    </row>
    <row r="107">
      <c r="A107" s="83"/>
      <c r="B107" s="57"/>
      <c r="C107" s="57"/>
      <c r="D107" s="85"/>
      <c r="E107" s="57"/>
      <c r="F107" s="81" t="str">
        <f>IF(COUNTIF($A107:$E107,"&lt;&gt;")=0,"",IF(OR($B107="",$C107=""),"Sélectionnez la personne qui a versé l’argent et celle qui l’a reçu.",IF($B107=$C107,"Sélectionnez deux personnes différentes.",IF(OR($D107="",$D107&lt;=0),"Saisissez un montant supérieur à zéro.","Vérifié"))))</f>
      </c>
    </row>
    <row r="108">
      <c r="A108" s="83"/>
      <c r="B108" s="57"/>
      <c r="C108" s="57"/>
      <c r="D108" s="85"/>
      <c r="E108" s="57"/>
      <c r="F108" s="81" t="str">
        <f>IF(COUNTIF($A108:$E108,"&lt;&gt;")=0,"",IF(OR($B108="",$C108=""),"Sélectionnez la personne qui a versé l’argent et celle qui l’a reçu.",IF($B108=$C108,"Sélectionnez deux personnes différentes.",IF(OR($D108="",$D108&lt;=0),"Saisissez un montant supérieur à zéro.","Vérifié"))))</f>
      </c>
    </row>
    <row r="109">
      <c r="A109" s="83"/>
      <c r="B109" s="57"/>
      <c r="C109" s="57"/>
      <c r="D109" s="85"/>
      <c r="E109" s="57"/>
      <c r="F109" s="81" t="str">
        <f>IF(COUNTIF($A109:$E109,"&lt;&gt;")=0,"",IF(OR($B109="",$C109=""),"Sélectionnez la personne qui a versé l’argent et celle qui l’a reçu.",IF($B109=$C109,"Sélectionnez deux personnes différentes.",IF(OR($D109="",$D109&lt;=0),"Saisissez un montant supérieur à zéro.","Vérifié"))))</f>
      </c>
    </row>
    <row r="110">
      <c r="A110" s="83"/>
      <c r="B110" s="57"/>
      <c r="C110" s="57"/>
      <c r="D110" s="85"/>
      <c r="E110" s="57"/>
      <c r="F110" s="81" t="str">
        <f>IF(COUNTIF($A110:$E110,"&lt;&gt;")=0,"",IF(OR($B110="",$C110=""),"Sélectionnez la personne qui a versé l’argent et celle qui l’a reçu.",IF($B110=$C110,"Sélectionnez deux personnes différentes.",IF(OR($D110="",$D110&lt;=0),"Saisissez un montant supérieur à zéro.","Vérifié"))))</f>
      </c>
    </row>
    <row r="111">
      <c r="A111" s="83"/>
      <c r="B111" s="57"/>
      <c r="C111" s="57"/>
      <c r="D111" s="85"/>
      <c r="E111" s="57"/>
      <c r="F111" s="81" t="str">
        <f>IF(COUNTIF($A111:$E111,"&lt;&gt;")=0,"",IF(OR($B111="",$C111=""),"Sélectionnez la personne qui a versé l’argent et celle qui l’a reçu.",IF($B111=$C111,"Sélectionnez deux personnes différentes.",IF(OR($D111="",$D111&lt;=0),"Saisissez un montant supérieur à zéro.","Vérifié"))))</f>
      </c>
    </row>
    <row r="112">
      <c r="A112" s="83"/>
      <c r="B112" s="57"/>
      <c r="C112" s="57"/>
      <c r="D112" s="85"/>
      <c r="E112" s="57"/>
      <c r="F112" s="81" t="str">
        <f>IF(COUNTIF($A112:$E112,"&lt;&gt;")=0,"",IF(OR($B112="",$C112=""),"Sélectionnez la personne qui a versé l’argent et celle qui l’a reçu.",IF($B112=$C112,"Sélectionnez deux personnes différentes.",IF(OR($D112="",$D112&lt;=0),"Saisissez un montant supérieur à zéro.","Vérifié"))))</f>
      </c>
    </row>
    <row r="113">
      <c r="A113" s="83"/>
      <c r="B113" s="57"/>
      <c r="C113" s="57"/>
      <c r="D113" s="85"/>
      <c r="E113" s="57"/>
      <c r="F113" s="81" t="str">
        <f>IF(COUNTIF($A113:$E113,"&lt;&gt;")=0,"",IF(OR($B113="",$C113=""),"Sélectionnez la personne qui a versé l’argent et celle qui l’a reçu.",IF($B113=$C113,"Sélectionnez deux personnes différentes.",IF(OR($D113="",$D113&lt;=0),"Saisissez un montant supérieur à zéro.","Vérifié"))))</f>
      </c>
    </row>
    <row r="114">
      <c r="A114" s="83"/>
      <c r="B114" s="57"/>
      <c r="C114" s="57"/>
      <c r="D114" s="85"/>
      <c r="E114" s="57"/>
      <c r="F114" s="81" t="str">
        <f>IF(COUNTIF($A114:$E114,"&lt;&gt;")=0,"",IF(OR($B114="",$C114=""),"Sélectionnez la personne qui a versé l’argent et celle qui l’a reçu.",IF($B114=$C114,"Sélectionnez deux personnes différentes.",IF(OR($D114="",$D114&lt;=0),"Saisissez un montant supérieur à zéro.","Vérifié"))))</f>
      </c>
    </row>
    <row r="115">
      <c r="A115" s="83"/>
      <c r="B115" s="57"/>
      <c r="C115" s="57"/>
      <c r="D115" s="85"/>
      <c r="E115" s="57"/>
      <c r="F115" s="81" t="str">
        <f>IF(COUNTIF($A115:$E115,"&lt;&gt;")=0,"",IF(OR($B115="",$C115=""),"Sélectionnez la personne qui a versé l’argent et celle qui l’a reçu.",IF($B115=$C115,"Sélectionnez deux personnes différentes.",IF(OR($D115="",$D115&lt;=0),"Saisissez un montant supérieur à zéro.","Vérifié"))))</f>
      </c>
    </row>
    <row r="116">
      <c r="A116" s="83"/>
      <c r="B116" s="57"/>
      <c r="C116" s="57"/>
      <c r="D116" s="85"/>
      <c r="E116" s="57"/>
      <c r="F116" s="81" t="str">
        <f>IF(COUNTIF($A116:$E116,"&lt;&gt;")=0,"",IF(OR($B116="",$C116=""),"Sélectionnez la personne qui a versé l’argent et celle qui l’a reçu.",IF($B116=$C116,"Sélectionnez deux personnes différentes.",IF(OR($D116="",$D116&lt;=0),"Saisissez un montant supérieur à zéro.","Vérifié"))))</f>
      </c>
    </row>
    <row r="117">
      <c r="A117" s="83"/>
      <c r="B117" s="57"/>
      <c r="C117" s="57"/>
      <c r="D117" s="85"/>
      <c r="E117" s="57"/>
      <c r="F117" s="81" t="str">
        <f>IF(COUNTIF($A117:$E117,"&lt;&gt;")=0,"",IF(OR($B117="",$C117=""),"Sélectionnez la personne qui a versé l’argent et celle qui l’a reçu.",IF($B117=$C117,"Sélectionnez deux personnes différentes.",IF(OR($D117="",$D117&lt;=0),"Saisissez un montant supérieur à zéro.","Vérifié"))))</f>
      </c>
    </row>
    <row r="118">
      <c r="A118" s="83"/>
      <c r="B118" s="57"/>
      <c r="C118" s="57"/>
      <c r="D118" s="85"/>
      <c r="E118" s="57"/>
      <c r="F118" s="81" t="str">
        <f>IF(COUNTIF($A118:$E118,"&lt;&gt;")=0,"",IF(OR($B118="",$C118=""),"Sélectionnez la personne qui a versé l’argent et celle qui l’a reçu.",IF($B118=$C118,"Sélectionnez deux personnes différentes.",IF(OR($D118="",$D118&lt;=0),"Saisissez un montant supérieur à zéro.","Vérifié"))))</f>
      </c>
    </row>
    <row r="119">
      <c r="A119" s="83"/>
      <c r="B119" s="57"/>
      <c r="C119" s="57"/>
      <c r="D119" s="85"/>
      <c r="E119" s="57"/>
      <c r="F119" s="81" t="str">
        <f>IF(COUNTIF($A119:$E119,"&lt;&gt;")=0,"",IF(OR($B119="",$C119=""),"Sélectionnez la personne qui a versé l’argent et celle qui l’a reçu.",IF($B119=$C119,"Sélectionnez deux personnes différentes.",IF(OR($D119="",$D119&lt;=0),"Saisissez un montant supérieur à zéro.","Vérifié"))))</f>
      </c>
    </row>
    <row r="120">
      <c r="A120" s="83"/>
      <c r="B120" s="57"/>
      <c r="C120" s="57"/>
      <c r="D120" s="85"/>
      <c r="E120" s="57"/>
      <c r="F120" s="81" t="str">
        <f>IF(COUNTIF($A120:$E120,"&lt;&gt;")=0,"",IF(OR($B120="",$C120=""),"Sélectionnez la personne qui a versé l’argent et celle qui l’a reçu.",IF($B120=$C120,"Sélectionnez deux personnes différentes.",IF(OR($D120="",$D120&lt;=0),"Saisissez un montant supérieur à zéro.","Vérifié"))))</f>
      </c>
    </row>
    <row r="121">
      <c r="A121" s="83"/>
      <c r="B121" s="57"/>
      <c r="C121" s="57"/>
      <c r="D121" s="85"/>
      <c r="E121" s="57"/>
      <c r="F121" s="81" t="str">
        <f>IF(COUNTIF($A121:$E121,"&lt;&gt;")=0,"",IF(OR($B121="",$C121=""),"Sélectionnez la personne qui a versé l’argent et celle qui l’a reçu.",IF($B121=$C121,"Sélectionnez deux personnes différentes.",IF(OR($D121="",$D121&lt;=0),"Saisissez un montant supérieur à zéro.","Vérifié"))))</f>
      </c>
    </row>
    <row r="122">
      <c r="A122" s="83"/>
      <c r="B122" s="57"/>
      <c r="C122" s="57"/>
      <c r="D122" s="85"/>
      <c r="E122" s="57"/>
      <c r="F122" s="81" t="str">
        <f>IF(COUNTIF($A122:$E122,"&lt;&gt;")=0,"",IF(OR($B122="",$C122=""),"Sélectionnez la personne qui a versé l’argent et celle qui l’a reçu.",IF($B122=$C122,"Sélectionnez deux personnes différentes.",IF(OR($D122="",$D122&lt;=0),"Saisissez un montant supérieur à zéro.","Vérifié"))))</f>
      </c>
    </row>
    <row r="123">
      <c r="A123" s="83"/>
      <c r="B123" s="57"/>
      <c r="C123" s="57"/>
      <c r="D123" s="85"/>
      <c r="E123" s="57"/>
      <c r="F123" s="81" t="str">
        <f>IF(COUNTIF($A123:$E123,"&lt;&gt;")=0,"",IF(OR($B123="",$C123=""),"Sélectionnez la personne qui a versé l’argent et celle qui l’a reçu.",IF($B123=$C123,"Sélectionnez deux personnes différentes.",IF(OR($D123="",$D123&lt;=0),"Saisissez un montant supérieur à zéro.","Vérifié"))))</f>
      </c>
    </row>
    <row r="124">
      <c r="A124" s="83"/>
      <c r="B124" s="57"/>
      <c r="C124" s="57"/>
      <c r="D124" s="85"/>
      <c r="E124" s="57"/>
      <c r="F124" s="81" t="str">
        <f>IF(COUNTIF($A124:$E124,"&lt;&gt;")=0,"",IF(OR($B124="",$C124=""),"Sélectionnez la personne qui a versé l’argent et celle qui l’a reçu.",IF($B124=$C124,"Sélectionnez deux personnes différentes.",IF(OR($D124="",$D124&lt;=0),"Saisissez un montant supérieur à zéro.","Vérifié"))))</f>
      </c>
    </row>
    <row r="125">
      <c r="A125" s="83"/>
      <c r="B125" s="57"/>
      <c r="C125" s="57"/>
      <c r="D125" s="85"/>
      <c r="E125" s="57"/>
      <c r="F125" s="81" t="str">
        <f>IF(COUNTIF($A125:$E125,"&lt;&gt;")=0,"",IF(OR($B125="",$C125=""),"Sélectionnez la personne qui a versé l’argent et celle qui l’a reçu.",IF($B125=$C125,"Sélectionnez deux personnes différentes.",IF(OR($D125="",$D125&lt;=0),"Saisissez un montant supérieur à zéro.","Vérifié"))))</f>
      </c>
    </row>
    <row r="126">
      <c r="A126" s="83"/>
      <c r="B126" s="57"/>
      <c r="C126" s="57"/>
      <c r="D126" s="85"/>
      <c r="E126" s="57"/>
      <c r="F126" s="81" t="str">
        <f>IF(COUNTIF($A126:$E126,"&lt;&gt;")=0,"",IF(OR($B126="",$C126=""),"Sélectionnez la personne qui a versé l’argent et celle qui l’a reçu.",IF($B126=$C126,"Sélectionnez deux personnes différentes.",IF(OR($D126="",$D126&lt;=0),"Saisissez un montant supérieur à zéro.","Vérifié"))))</f>
      </c>
    </row>
    <row r="127">
      <c r="A127" s="83"/>
      <c r="B127" s="57"/>
      <c r="C127" s="57"/>
      <c r="D127" s="85"/>
      <c r="E127" s="57"/>
      <c r="F127" s="81" t="str">
        <f>IF(COUNTIF($A127:$E127,"&lt;&gt;")=0,"",IF(OR($B127="",$C127=""),"Sélectionnez la personne qui a versé l’argent et celle qui l’a reçu.",IF($B127=$C127,"Sélectionnez deux personnes différentes.",IF(OR($D127="",$D127&lt;=0),"Saisissez un montant supérieur à zéro.","Vérifié"))))</f>
      </c>
    </row>
    <row r="128">
      <c r="A128" s="83"/>
      <c r="B128" s="57"/>
      <c r="C128" s="57"/>
      <c r="D128" s="85"/>
      <c r="E128" s="57"/>
      <c r="F128" s="81" t="str">
        <f>IF(COUNTIF($A128:$E128,"&lt;&gt;")=0,"",IF(OR($B128="",$C128=""),"Sélectionnez la personne qui a versé l’argent et celle qui l’a reçu.",IF($B128=$C128,"Sélectionnez deux personnes différentes.",IF(OR($D128="",$D128&lt;=0),"Saisissez un montant supérieur à zéro.","Vérifié"))))</f>
      </c>
    </row>
    <row r="129">
      <c r="A129" s="83"/>
      <c r="B129" s="57"/>
      <c r="C129" s="57"/>
      <c r="D129" s="85"/>
      <c r="E129" s="57"/>
      <c r="F129" s="81" t="str">
        <f>IF(COUNTIF($A129:$E129,"&lt;&gt;")=0,"",IF(OR($B129="",$C129=""),"Sélectionnez la personne qui a versé l’argent et celle qui l’a reçu.",IF($B129=$C129,"Sélectionnez deux personnes différentes.",IF(OR($D129="",$D129&lt;=0),"Saisissez un montant supérieur à zéro.","Vérifié"))))</f>
      </c>
    </row>
    <row r="130">
      <c r="A130" s="83"/>
      <c r="B130" s="57"/>
      <c r="C130" s="57"/>
      <c r="D130" s="85"/>
      <c r="E130" s="57"/>
      <c r="F130" s="81" t="str">
        <f>IF(COUNTIF($A130:$E130,"&lt;&gt;")=0,"",IF(OR($B130="",$C130=""),"Sélectionnez la personne qui a versé l’argent et celle qui l’a reçu.",IF($B130=$C130,"Sélectionnez deux personnes différentes.",IF(OR($D130="",$D130&lt;=0),"Saisissez un montant supérieur à zéro.","Vérifié"))))</f>
      </c>
    </row>
    <row r="131">
      <c r="A131" s="83"/>
      <c r="B131" s="57"/>
      <c r="C131" s="57"/>
      <c r="D131" s="85"/>
      <c r="E131" s="57"/>
      <c r="F131" s="81" t="str">
        <f>IF(COUNTIF($A131:$E131,"&lt;&gt;")=0,"",IF(OR($B131="",$C131=""),"Sélectionnez la personne qui a versé l’argent et celle qui l’a reçu.",IF($B131=$C131,"Sélectionnez deux personnes différentes.",IF(OR($D131="",$D131&lt;=0),"Saisissez un montant supérieur à zéro.","Vérifié"))))</f>
      </c>
    </row>
    <row r="132">
      <c r="A132" s="83"/>
      <c r="B132" s="57"/>
      <c r="C132" s="57"/>
      <c r="D132" s="85"/>
      <c r="E132" s="57"/>
      <c r="F132" s="81" t="str">
        <f>IF(COUNTIF($A132:$E132,"&lt;&gt;")=0,"",IF(OR($B132="",$C132=""),"Sélectionnez la personne qui a versé l’argent et celle qui l’a reçu.",IF($B132=$C132,"Sélectionnez deux personnes différentes.",IF(OR($D132="",$D132&lt;=0),"Saisissez un montant supérieur à zéro.","Vérifié"))))</f>
      </c>
    </row>
    <row r="133">
      <c r="A133" s="83"/>
      <c r="B133" s="57"/>
      <c r="C133" s="57"/>
      <c r="D133" s="85"/>
      <c r="E133" s="57"/>
      <c r="F133" s="81" t="str">
        <f>IF(COUNTIF($A133:$E133,"&lt;&gt;")=0,"",IF(OR($B133="",$C133=""),"Sélectionnez la personne qui a versé l’argent et celle qui l’a reçu.",IF($B133=$C133,"Sélectionnez deux personnes différentes.",IF(OR($D133="",$D133&lt;=0),"Saisissez un montant supérieur à zéro.","Vérifié"))))</f>
      </c>
    </row>
    <row r="134">
      <c r="A134" s="83"/>
      <c r="B134" s="57"/>
      <c r="C134" s="57"/>
      <c r="D134" s="85"/>
      <c r="E134" s="57"/>
      <c r="F134" s="81" t="str">
        <f>IF(COUNTIF($A134:$E134,"&lt;&gt;")=0,"",IF(OR($B134="",$C134=""),"Sélectionnez la personne qui a versé l’argent et celle qui l’a reçu.",IF($B134=$C134,"Sélectionnez deux personnes différentes.",IF(OR($D134="",$D134&lt;=0),"Saisissez un montant supérieur à zéro.","Vérifié"))))</f>
      </c>
    </row>
    <row r="135">
      <c r="A135" s="83"/>
      <c r="B135" s="57"/>
      <c r="C135" s="57"/>
      <c r="D135" s="85"/>
      <c r="E135" s="57"/>
      <c r="F135" s="81" t="str">
        <f>IF(COUNTIF($A135:$E135,"&lt;&gt;")=0,"",IF(OR($B135="",$C135=""),"Sélectionnez la personne qui a versé l’argent et celle qui l’a reçu.",IF($B135=$C135,"Sélectionnez deux personnes différentes.",IF(OR($D135="",$D135&lt;=0),"Saisissez un montant supérieur à zéro.","Vérifié"))))</f>
      </c>
    </row>
    <row r="136">
      <c r="A136" s="83"/>
      <c r="B136" s="57"/>
      <c r="C136" s="57"/>
      <c r="D136" s="85"/>
      <c r="E136" s="57"/>
      <c r="F136" s="81" t="str">
        <f>IF(COUNTIF($A136:$E136,"&lt;&gt;")=0,"",IF(OR($B136="",$C136=""),"Sélectionnez la personne qui a versé l’argent et celle qui l’a reçu.",IF($B136=$C136,"Sélectionnez deux personnes différentes.",IF(OR($D136="",$D136&lt;=0),"Saisissez un montant supérieur à zéro.","Vérifié"))))</f>
      </c>
    </row>
    <row r="137">
      <c r="A137" s="83"/>
      <c r="B137" s="57"/>
      <c r="C137" s="57"/>
      <c r="D137" s="85"/>
      <c r="E137" s="57"/>
      <c r="F137" s="81" t="str">
        <f>IF(COUNTIF($A137:$E137,"&lt;&gt;")=0,"",IF(OR($B137="",$C137=""),"Sélectionnez la personne qui a versé l’argent et celle qui l’a reçu.",IF($B137=$C137,"Sélectionnez deux personnes différentes.",IF(OR($D137="",$D137&lt;=0),"Saisissez un montant supérieur à zéro.","Vérifié"))))</f>
      </c>
    </row>
    <row r="138">
      <c r="A138" s="83"/>
      <c r="B138" s="57"/>
      <c r="C138" s="57"/>
      <c r="D138" s="85"/>
      <c r="E138" s="57"/>
      <c r="F138" s="81" t="str">
        <f>IF(COUNTIF($A138:$E138,"&lt;&gt;")=0,"",IF(OR($B138="",$C138=""),"Sélectionnez la personne qui a versé l’argent et celle qui l’a reçu.",IF($B138=$C138,"Sélectionnez deux personnes différentes.",IF(OR($D138="",$D138&lt;=0),"Saisissez un montant supérieur à zéro.","Vérifié"))))</f>
      </c>
    </row>
    <row r="139">
      <c r="A139" s="83"/>
      <c r="B139" s="57"/>
      <c r="C139" s="57"/>
      <c r="D139" s="85"/>
      <c r="E139" s="57"/>
      <c r="F139" s="81" t="str">
        <f>IF(COUNTIF($A139:$E139,"&lt;&gt;")=0,"",IF(OR($B139="",$C139=""),"Sélectionnez la personne qui a versé l’argent et celle qui l’a reçu.",IF($B139=$C139,"Sélectionnez deux personnes différentes.",IF(OR($D139="",$D139&lt;=0),"Saisissez un montant supérieur à zéro.","Vérifié"))))</f>
      </c>
    </row>
    <row r="140">
      <c r="A140" s="83"/>
      <c r="B140" s="57"/>
      <c r="C140" s="57"/>
      <c r="D140" s="85"/>
      <c r="E140" s="57"/>
      <c r="F140" s="81" t="str">
        <f>IF(COUNTIF($A140:$E140,"&lt;&gt;")=0,"",IF(OR($B140="",$C140=""),"Sélectionnez la personne qui a versé l’argent et celle qui l’a reçu.",IF($B140=$C140,"Sélectionnez deux personnes différentes.",IF(OR($D140="",$D140&lt;=0),"Saisissez un montant supérieur à zéro.","Vérifié"))))</f>
      </c>
    </row>
    <row r="141">
      <c r="A141" s="83"/>
      <c r="B141" s="57"/>
      <c r="C141" s="57"/>
      <c r="D141" s="85"/>
      <c r="E141" s="57"/>
      <c r="F141" s="81" t="str">
        <f>IF(COUNTIF($A141:$E141,"&lt;&gt;")=0,"",IF(OR($B141="",$C141=""),"Sélectionnez la personne qui a versé l’argent et celle qui l’a reçu.",IF($B141=$C141,"Sélectionnez deux personnes différentes.",IF(OR($D141="",$D141&lt;=0),"Saisissez un montant supérieur à zéro.","Vérifié"))))</f>
      </c>
    </row>
    <row r="142">
      <c r="A142" s="83"/>
      <c r="B142" s="57"/>
      <c r="C142" s="57"/>
      <c r="D142" s="85"/>
      <c r="E142" s="57"/>
      <c r="F142" s="81" t="str">
        <f>IF(COUNTIF($A142:$E142,"&lt;&gt;")=0,"",IF(OR($B142="",$C142=""),"Sélectionnez la personne qui a versé l’argent et celle qui l’a reçu.",IF($B142=$C142,"Sélectionnez deux personnes différentes.",IF(OR($D142="",$D142&lt;=0),"Saisissez un montant supérieur à zéro.","Vérifié"))))</f>
      </c>
    </row>
    <row r="143">
      <c r="A143" s="83"/>
      <c r="B143" s="57"/>
      <c r="C143" s="57"/>
      <c r="D143" s="85"/>
      <c r="E143" s="57"/>
      <c r="F143" s="81" t="str">
        <f>IF(COUNTIF($A143:$E143,"&lt;&gt;")=0,"",IF(OR($B143="",$C143=""),"Sélectionnez la personne qui a versé l’argent et celle qui l’a reçu.",IF($B143=$C143,"Sélectionnez deux personnes différentes.",IF(OR($D143="",$D143&lt;=0),"Saisissez un montant supérieur à zéro.","Vérifié"))))</f>
      </c>
    </row>
    <row r="144">
      <c r="A144" s="83"/>
      <c r="B144" s="57"/>
      <c r="C144" s="57"/>
      <c r="D144" s="85"/>
      <c r="E144" s="57"/>
      <c r="F144" s="81" t="str">
        <f>IF(COUNTIF($A144:$E144,"&lt;&gt;")=0,"",IF(OR($B144="",$C144=""),"Sélectionnez la personne qui a versé l’argent et celle qui l’a reçu.",IF($B144=$C144,"Sélectionnez deux personnes différentes.",IF(OR($D144="",$D144&lt;=0),"Saisissez un montant supérieur à zéro.","Vérifié"))))</f>
      </c>
    </row>
    <row r="145">
      <c r="A145" s="83"/>
      <c r="B145" s="57"/>
      <c r="C145" s="57"/>
      <c r="D145" s="85"/>
      <c r="E145" s="57"/>
      <c r="F145" s="81" t="str">
        <f>IF(COUNTIF($A145:$E145,"&lt;&gt;")=0,"",IF(OR($B145="",$C145=""),"Sélectionnez la personne qui a versé l’argent et celle qui l’a reçu.",IF($B145=$C145,"Sélectionnez deux personnes différentes.",IF(OR($D145="",$D145&lt;=0),"Saisissez un montant supérieur à zéro.","Vérifié"))))</f>
      </c>
    </row>
    <row r="146">
      <c r="A146" s="83"/>
      <c r="B146" s="57"/>
      <c r="C146" s="57"/>
      <c r="D146" s="85"/>
      <c r="E146" s="57"/>
      <c r="F146" s="81" t="str">
        <f>IF(COUNTIF($A146:$E146,"&lt;&gt;")=0,"",IF(OR($B146="",$C146=""),"Sélectionnez la personne qui a versé l’argent et celle qui l’a reçu.",IF($B146=$C146,"Sélectionnez deux personnes différentes.",IF(OR($D146="",$D146&lt;=0),"Saisissez un montant supérieur à zéro.","Vérifié"))))</f>
      </c>
    </row>
    <row r="147">
      <c r="A147" s="83"/>
      <c r="B147" s="57"/>
      <c r="C147" s="57"/>
      <c r="D147" s="85"/>
      <c r="E147" s="57"/>
      <c r="F147" s="81" t="str">
        <f>IF(COUNTIF($A147:$E147,"&lt;&gt;")=0,"",IF(OR($B147="",$C147=""),"Sélectionnez la personne qui a versé l’argent et celle qui l’a reçu.",IF($B147=$C147,"Sélectionnez deux personnes différentes.",IF(OR($D147="",$D147&lt;=0),"Saisissez un montant supérieur à zéro.","Vérifié"))))</f>
      </c>
    </row>
    <row r="148">
      <c r="A148" s="83"/>
      <c r="B148" s="57"/>
      <c r="C148" s="57"/>
      <c r="D148" s="85"/>
      <c r="E148" s="57"/>
      <c r="F148" s="81" t="str">
        <f>IF(COUNTIF($A148:$E148,"&lt;&gt;")=0,"",IF(OR($B148="",$C148=""),"Sélectionnez la personne qui a versé l’argent et celle qui l’a reçu.",IF($B148=$C148,"Sélectionnez deux personnes différentes.",IF(OR($D148="",$D148&lt;=0),"Saisissez un montant supérieur à zéro.","Vérifié"))))</f>
      </c>
    </row>
    <row r="149">
      <c r="A149" s="83"/>
      <c r="B149" s="57"/>
      <c r="C149" s="57"/>
      <c r="D149" s="85"/>
      <c r="E149" s="57"/>
      <c r="F149" s="81" t="str">
        <f>IF(COUNTIF($A149:$E149,"&lt;&gt;")=0,"",IF(OR($B149="",$C149=""),"Sélectionnez la personne qui a versé l’argent et celle qui l’a reçu.",IF($B149=$C149,"Sélectionnez deux personnes différentes.",IF(OR($D149="",$D149&lt;=0),"Saisissez un montant supérieur à zéro.","Vérifié"))))</f>
      </c>
    </row>
    <row r="150">
      <c r="A150" s="83"/>
      <c r="B150" s="57"/>
      <c r="C150" s="57"/>
      <c r="D150" s="85"/>
      <c r="E150" s="57"/>
      <c r="F150" s="81" t="str">
        <f>IF(COUNTIF($A150:$E150,"&lt;&gt;")=0,"",IF(OR($B150="",$C150=""),"Sélectionnez la personne qui a versé l’argent et celle qui l’a reçu.",IF($B150=$C150,"Sélectionnez deux personnes différentes.",IF(OR($D150="",$D150&lt;=0),"Saisissez un montant supérieur à zéro.","Vérifié"))))</f>
      </c>
    </row>
    <row r="151">
      <c r="A151" s="83"/>
      <c r="B151" s="57"/>
      <c r="C151" s="57"/>
      <c r="D151" s="85"/>
      <c r="E151" s="57"/>
      <c r="F151" s="81" t="str">
        <f>IF(COUNTIF($A151:$E151,"&lt;&gt;")=0,"",IF(OR($B151="",$C151=""),"Sélectionnez la personne qui a versé l’argent et celle qui l’a reçu.",IF($B151=$C151,"Sélectionnez deux personnes différentes.",IF(OR($D151="",$D151&lt;=0),"Saisissez un montant supérieur à zéro.","Vérifié"))))</f>
      </c>
    </row>
    <row r="152">
      <c r="A152" s="83"/>
      <c r="B152" s="57"/>
      <c r="C152" s="57"/>
      <c r="D152" s="85"/>
      <c r="E152" s="57"/>
      <c r="F152" s="81" t="str">
        <f>IF(COUNTIF($A152:$E152,"&lt;&gt;")=0,"",IF(OR($B152="",$C152=""),"Sélectionnez la personne qui a versé l’argent et celle qui l’a reçu.",IF($B152=$C152,"Sélectionnez deux personnes différentes.",IF(OR($D152="",$D152&lt;=0),"Saisissez un montant supérieur à zéro.","Vérifié"))))</f>
      </c>
    </row>
    <row r="153">
      <c r="A153" s="83"/>
      <c r="B153" s="57"/>
      <c r="C153" s="57"/>
      <c r="D153" s="85"/>
      <c r="E153" s="57"/>
      <c r="F153" s="81" t="str">
        <f>IF(COUNTIF($A153:$E153,"&lt;&gt;")=0,"",IF(OR($B153="",$C153=""),"Sélectionnez la personne qui a versé l’argent et celle qui l’a reçu.",IF($B153=$C153,"Sélectionnez deux personnes différentes.",IF(OR($D153="",$D153&lt;=0),"Saisissez un montant supérieur à zéro.","Vérifié"))))</f>
      </c>
    </row>
    <row r="154">
      <c r="A154" s="83"/>
      <c r="B154" s="57"/>
      <c r="C154" s="57"/>
      <c r="D154" s="85"/>
      <c r="E154" s="57"/>
      <c r="F154" s="81" t="str">
        <f>IF(COUNTIF($A154:$E154,"&lt;&gt;")=0,"",IF(OR($B154="",$C154=""),"Sélectionnez la personne qui a versé l’argent et celle qui l’a reçu.",IF($B154=$C154,"Sélectionnez deux personnes différentes.",IF(OR($D154="",$D154&lt;=0),"Saisissez un montant supérieur à zéro.","Vérifié"))))</f>
      </c>
    </row>
    <row r="155">
      <c r="A155" s="83"/>
      <c r="B155" s="57"/>
      <c r="C155" s="57"/>
      <c r="D155" s="85"/>
      <c r="E155" s="57"/>
      <c r="F155" s="81" t="str">
        <f>IF(COUNTIF($A155:$E155,"&lt;&gt;")=0,"",IF(OR($B155="",$C155=""),"Sélectionnez la personne qui a versé l’argent et celle qui l’a reçu.",IF($B155=$C155,"Sélectionnez deux personnes différentes.",IF(OR($D155="",$D155&lt;=0),"Saisissez un montant supérieur à zéro.","Vérifié"))))</f>
      </c>
    </row>
    <row r="156">
      <c r="A156" s="83"/>
      <c r="B156" s="57"/>
      <c r="C156" s="57"/>
      <c r="D156" s="85"/>
      <c r="E156" s="57"/>
      <c r="F156" s="81" t="str">
        <f>IF(COUNTIF($A156:$E156,"&lt;&gt;")=0,"",IF(OR($B156="",$C156=""),"Sélectionnez la personne qui a versé l’argent et celle qui l’a reçu.",IF($B156=$C156,"Sélectionnez deux personnes différentes.",IF(OR($D156="",$D156&lt;=0),"Saisissez un montant supérieur à zéro.","Vérifié"))))</f>
      </c>
    </row>
    <row r="157">
      <c r="A157" s="83"/>
      <c r="B157" s="57"/>
      <c r="C157" s="57"/>
      <c r="D157" s="85"/>
      <c r="E157" s="57"/>
      <c r="F157" s="81" t="str">
        <f>IF(COUNTIF($A157:$E157,"&lt;&gt;")=0,"",IF(OR($B157="",$C157=""),"Sélectionnez la personne qui a versé l’argent et celle qui l’a reçu.",IF($B157=$C157,"Sélectionnez deux personnes différentes.",IF(OR($D157="",$D157&lt;=0),"Saisissez un montant supérieur à zéro.","Vérifié"))))</f>
      </c>
    </row>
    <row r="158">
      <c r="A158" s="83"/>
      <c r="B158" s="57"/>
      <c r="C158" s="57"/>
      <c r="D158" s="85"/>
      <c r="E158" s="57"/>
      <c r="F158" s="81" t="str">
        <f>IF(COUNTIF($A158:$E158,"&lt;&gt;")=0,"",IF(OR($B158="",$C158=""),"Sélectionnez la personne qui a versé l’argent et celle qui l’a reçu.",IF($B158=$C158,"Sélectionnez deux personnes différentes.",IF(OR($D158="",$D158&lt;=0),"Saisissez un montant supérieur à zéro.","Vérifié"))))</f>
      </c>
    </row>
    <row r="159">
      <c r="A159" s="83"/>
      <c r="B159" s="57"/>
      <c r="C159" s="57"/>
      <c r="D159" s="85"/>
      <c r="E159" s="57"/>
      <c r="F159" s="81" t="str">
        <f>IF(COUNTIF($A159:$E159,"&lt;&gt;")=0,"",IF(OR($B159="",$C159=""),"Sélectionnez la personne qui a versé l’argent et celle qui l’a reçu.",IF($B159=$C159,"Sélectionnez deux personnes différentes.",IF(OR($D159="",$D159&lt;=0),"Saisissez un montant supérieur à zéro.","Vérifié"))))</f>
      </c>
    </row>
    <row r="160">
      <c r="A160" s="83"/>
      <c r="B160" s="57"/>
      <c r="C160" s="57"/>
      <c r="D160" s="85"/>
      <c r="E160" s="57"/>
      <c r="F160" s="81" t="str">
        <f>IF(COUNTIF($A160:$E160,"&lt;&gt;")=0,"",IF(OR($B160="",$C160=""),"Sélectionnez la personne qui a versé l’argent et celle qui l’a reçu.",IF($B160=$C160,"Sélectionnez deux personnes différentes.",IF(OR($D160="",$D160&lt;=0),"Saisissez un montant supérieur à zéro.","Vérifié"))))</f>
      </c>
    </row>
    <row r="161">
      <c r="A161" s="83"/>
      <c r="B161" s="57"/>
      <c r="C161" s="57"/>
      <c r="D161" s="85"/>
      <c r="E161" s="57"/>
      <c r="F161" s="81" t="str">
        <f>IF(COUNTIF($A161:$E161,"&lt;&gt;")=0,"",IF(OR($B161="",$C161=""),"Sélectionnez la personne qui a versé l’argent et celle qui l’a reçu.",IF($B161=$C161,"Sélectionnez deux personnes différentes.",IF(OR($D161="",$D161&lt;=0),"Saisissez un montant supérieur à zéro.","Vérifié"))))</f>
      </c>
    </row>
    <row r="162">
      <c r="A162" s="83"/>
      <c r="B162" s="57"/>
      <c r="C162" s="57"/>
      <c r="D162" s="85"/>
      <c r="E162" s="57"/>
      <c r="F162" s="81" t="str">
        <f>IF(COUNTIF($A162:$E162,"&lt;&gt;")=0,"",IF(OR($B162="",$C162=""),"Sélectionnez la personne qui a versé l’argent et celle qui l’a reçu.",IF($B162=$C162,"Sélectionnez deux personnes différentes.",IF(OR($D162="",$D162&lt;=0),"Saisissez un montant supérieur à zéro.","Vérifié"))))</f>
      </c>
    </row>
    <row r="163">
      <c r="A163" s="83"/>
      <c r="B163" s="57"/>
      <c r="C163" s="57"/>
      <c r="D163" s="85"/>
      <c r="E163" s="57"/>
      <c r="F163" s="81" t="str">
        <f>IF(COUNTIF($A163:$E163,"&lt;&gt;")=0,"",IF(OR($B163="",$C163=""),"Sélectionnez la personne qui a versé l’argent et celle qui l’a reçu.",IF($B163=$C163,"Sélectionnez deux personnes différentes.",IF(OR($D163="",$D163&lt;=0),"Saisissez un montant supérieur à zéro.","Vérifié"))))</f>
      </c>
    </row>
    <row r="164">
      <c r="A164" s="83"/>
      <c r="B164" s="57"/>
      <c r="C164" s="57"/>
      <c r="D164" s="85"/>
      <c r="E164" s="57"/>
      <c r="F164" s="81" t="str">
        <f>IF(COUNTIF($A164:$E164,"&lt;&gt;")=0,"",IF(OR($B164="",$C164=""),"Sélectionnez la personne qui a versé l’argent et celle qui l’a reçu.",IF($B164=$C164,"Sélectionnez deux personnes différentes.",IF(OR($D164="",$D164&lt;=0),"Saisissez un montant supérieur à zéro.","Vérifié"))))</f>
      </c>
    </row>
    <row r="165">
      <c r="A165" s="83"/>
      <c r="B165" s="57"/>
      <c r="C165" s="57"/>
      <c r="D165" s="85"/>
      <c r="E165" s="57"/>
      <c r="F165" s="81" t="str">
        <f>IF(COUNTIF($A165:$E165,"&lt;&gt;")=0,"",IF(OR($B165="",$C165=""),"Sélectionnez la personne qui a versé l’argent et celle qui l’a reçu.",IF($B165=$C165,"Sélectionnez deux personnes différentes.",IF(OR($D165="",$D165&lt;=0),"Saisissez un montant supérieur à zéro.","Vérifié"))))</f>
      </c>
    </row>
    <row r="166">
      <c r="A166" s="83"/>
      <c r="B166" s="57"/>
      <c r="C166" s="57"/>
      <c r="D166" s="85"/>
      <c r="E166" s="57"/>
      <c r="F166" s="81" t="str">
        <f>IF(COUNTIF($A166:$E166,"&lt;&gt;")=0,"",IF(OR($B166="",$C166=""),"Sélectionnez la personne qui a versé l’argent et celle qui l’a reçu.",IF($B166=$C166,"Sélectionnez deux personnes différentes.",IF(OR($D166="",$D166&lt;=0),"Saisissez un montant supérieur à zéro.","Vérifié"))))</f>
      </c>
    </row>
    <row r="167">
      <c r="A167" s="83"/>
      <c r="B167" s="57"/>
      <c r="C167" s="57"/>
      <c r="D167" s="85"/>
      <c r="E167" s="57"/>
      <c r="F167" s="81" t="str">
        <f>IF(COUNTIF($A167:$E167,"&lt;&gt;")=0,"",IF(OR($B167="",$C167=""),"Sélectionnez la personne qui a versé l’argent et celle qui l’a reçu.",IF($B167=$C167,"Sélectionnez deux personnes différentes.",IF(OR($D167="",$D167&lt;=0),"Saisissez un montant supérieur à zéro.","Vérifié"))))</f>
      </c>
    </row>
    <row r="168">
      <c r="A168" s="83"/>
      <c r="B168" s="57"/>
      <c r="C168" s="57"/>
      <c r="D168" s="85"/>
      <c r="E168" s="57"/>
      <c r="F168" s="81" t="str">
        <f>IF(COUNTIF($A168:$E168,"&lt;&gt;")=0,"",IF(OR($B168="",$C168=""),"Sélectionnez la personne qui a versé l’argent et celle qui l’a reçu.",IF($B168=$C168,"Sélectionnez deux personnes différentes.",IF(OR($D168="",$D168&lt;=0),"Saisissez un montant supérieur à zéro.","Vérifié"))))</f>
      </c>
    </row>
    <row r="169">
      <c r="A169" s="83"/>
      <c r="B169" s="57"/>
      <c r="C169" s="57"/>
      <c r="D169" s="85"/>
      <c r="E169" s="57"/>
      <c r="F169" s="81" t="str">
        <f>IF(COUNTIF($A169:$E169,"&lt;&gt;")=0,"",IF(OR($B169="",$C169=""),"Sélectionnez la personne qui a versé l’argent et celle qui l’a reçu.",IF($B169=$C169,"Sélectionnez deux personnes différentes.",IF(OR($D169="",$D169&lt;=0),"Saisissez un montant supérieur à zéro.","Vérifié"))))</f>
      </c>
    </row>
    <row r="170">
      <c r="A170" s="83"/>
      <c r="B170" s="57"/>
      <c r="C170" s="57"/>
      <c r="D170" s="85"/>
      <c r="E170" s="57"/>
      <c r="F170" s="81" t="str">
        <f>IF(COUNTIF($A170:$E170,"&lt;&gt;")=0,"",IF(OR($B170="",$C170=""),"Sélectionnez la personne qui a versé l’argent et celle qui l’a reçu.",IF($B170=$C170,"Sélectionnez deux personnes différentes.",IF(OR($D170="",$D170&lt;=0),"Saisissez un montant supérieur à zéro.","Vérifié"))))</f>
      </c>
    </row>
    <row r="171">
      <c r="A171" s="83"/>
      <c r="B171" s="57"/>
      <c r="C171" s="57"/>
      <c r="D171" s="85"/>
      <c r="E171" s="57"/>
      <c r="F171" s="81" t="str">
        <f>IF(COUNTIF($A171:$E171,"&lt;&gt;")=0,"",IF(OR($B171="",$C171=""),"Sélectionnez la personne qui a versé l’argent et celle qui l’a reçu.",IF($B171=$C171,"Sélectionnez deux personnes différentes.",IF(OR($D171="",$D171&lt;=0),"Saisissez un montant supérieur à zéro.","Vérifié"))))</f>
      </c>
    </row>
    <row r="172">
      <c r="A172" s="83"/>
      <c r="B172" s="57"/>
      <c r="C172" s="57"/>
      <c r="D172" s="85"/>
      <c r="E172" s="57"/>
      <c r="F172" s="81" t="str">
        <f>IF(COUNTIF($A172:$E172,"&lt;&gt;")=0,"",IF(OR($B172="",$C172=""),"Sélectionnez la personne qui a versé l’argent et celle qui l’a reçu.",IF($B172=$C172,"Sélectionnez deux personnes différentes.",IF(OR($D172="",$D172&lt;=0),"Saisissez un montant supérieur à zéro.","Vérifié"))))</f>
      </c>
    </row>
    <row r="173">
      <c r="A173" s="83"/>
      <c r="B173" s="57"/>
      <c r="C173" s="57"/>
      <c r="D173" s="85"/>
      <c r="E173" s="57"/>
      <c r="F173" s="81" t="str">
        <f>IF(COUNTIF($A173:$E173,"&lt;&gt;")=0,"",IF(OR($B173="",$C173=""),"Sélectionnez la personne qui a versé l’argent et celle qui l’a reçu.",IF($B173=$C173,"Sélectionnez deux personnes différentes.",IF(OR($D173="",$D173&lt;=0),"Saisissez un montant supérieur à zéro.","Vérifié"))))</f>
      </c>
    </row>
    <row r="174">
      <c r="A174" s="83"/>
      <c r="B174" s="57"/>
      <c r="C174" s="57"/>
      <c r="D174" s="85"/>
      <c r="E174" s="57"/>
      <c r="F174" s="81" t="str">
        <f>IF(COUNTIF($A174:$E174,"&lt;&gt;")=0,"",IF(OR($B174="",$C174=""),"Sélectionnez la personne qui a versé l’argent et celle qui l’a reçu.",IF($B174=$C174,"Sélectionnez deux personnes différentes.",IF(OR($D174="",$D174&lt;=0),"Saisissez un montant supérieur à zéro.","Vérifié"))))</f>
      </c>
    </row>
    <row r="175">
      <c r="A175" s="83"/>
      <c r="B175" s="57"/>
      <c r="C175" s="57"/>
      <c r="D175" s="85"/>
      <c r="E175" s="57"/>
      <c r="F175" s="81" t="str">
        <f>IF(COUNTIF($A175:$E175,"&lt;&gt;")=0,"",IF(OR($B175="",$C175=""),"Sélectionnez la personne qui a versé l’argent et celle qui l’a reçu.",IF($B175=$C175,"Sélectionnez deux personnes différentes.",IF(OR($D175="",$D175&lt;=0),"Saisissez un montant supérieur à zéro.","Vérifié"))))</f>
      </c>
    </row>
    <row r="176">
      <c r="A176" s="83"/>
      <c r="B176" s="57"/>
      <c r="C176" s="57"/>
      <c r="D176" s="85"/>
      <c r="E176" s="57"/>
      <c r="F176" s="81" t="str">
        <f>IF(COUNTIF($A176:$E176,"&lt;&gt;")=0,"",IF(OR($B176="",$C176=""),"Sélectionnez la personne qui a versé l’argent et celle qui l’a reçu.",IF($B176=$C176,"Sélectionnez deux personnes différentes.",IF(OR($D176="",$D176&lt;=0),"Saisissez un montant supérieur à zéro.","Vérifié"))))</f>
      </c>
    </row>
    <row r="177">
      <c r="A177" s="83"/>
      <c r="B177" s="57"/>
      <c r="C177" s="57"/>
      <c r="D177" s="85"/>
      <c r="E177" s="57"/>
      <c r="F177" s="81" t="str">
        <f>IF(COUNTIF($A177:$E177,"&lt;&gt;")=0,"",IF(OR($B177="",$C177=""),"Sélectionnez la personne qui a versé l’argent et celle qui l’a reçu.",IF($B177=$C177,"Sélectionnez deux personnes différentes.",IF(OR($D177="",$D177&lt;=0),"Saisissez un montant supérieur à zéro.","Vérifié"))))</f>
      </c>
    </row>
    <row r="178">
      <c r="A178" s="83"/>
      <c r="B178" s="57"/>
      <c r="C178" s="57"/>
      <c r="D178" s="85"/>
      <c r="E178" s="57"/>
      <c r="F178" s="81" t="str">
        <f>IF(COUNTIF($A178:$E178,"&lt;&gt;")=0,"",IF(OR($B178="",$C178=""),"Sélectionnez la personne qui a versé l’argent et celle qui l’a reçu.",IF($B178=$C178,"Sélectionnez deux personnes différentes.",IF(OR($D178="",$D178&lt;=0),"Saisissez un montant supérieur à zéro.","Vérifié"))))</f>
      </c>
    </row>
    <row r="179">
      <c r="A179" s="83"/>
      <c r="B179" s="57"/>
      <c r="C179" s="57"/>
      <c r="D179" s="85"/>
      <c r="E179" s="57"/>
      <c r="F179" s="81" t="str">
        <f>IF(COUNTIF($A179:$E179,"&lt;&gt;")=0,"",IF(OR($B179="",$C179=""),"Sélectionnez la personne qui a versé l’argent et celle qui l’a reçu.",IF($B179=$C179,"Sélectionnez deux personnes différentes.",IF(OR($D179="",$D179&lt;=0),"Saisissez un montant supérieur à zéro.","Vérifié"))))</f>
      </c>
    </row>
    <row r="180">
      <c r="A180" s="83"/>
      <c r="B180" s="57"/>
      <c r="C180" s="57"/>
      <c r="D180" s="85"/>
      <c r="E180" s="57"/>
      <c r="F180" s="81" t="str">
        <f>IF(COUNTIF($A180:$E180,"&lt;&gt;")=0,"",IF(OR($B180="",$C180=""),"Sélectionnez la personne qui a versé l’argent et celle qui l’a reçu.",IF($B180=$C180,"Sélectionnez deux personnes différentes.",IF(OR($D180="",$D180&lt;=0),"Saisissez un montant supérieur à zéro.","Vérifié"))))</f>
      </c>
    </row>
    <row r="181">
      <c r="A181" s="83"/>
      <c r="B181" s="57"/>
      <c r="C181" s="57"/>
      <c r="D181" s="85"/>
      <c r="E181" s="57"/>
      <c r="F181" s="81" t="str">
        <f>IF(COUNTIF($A181:$E181,"&lt;&gt;")=0,"",IF(OR($B181="",$C181=""),"Sélectionnez la personne qui a versé l’argent et celle qui l’a reçu.",IF($B181=$C181,"Sélectionnez deux personnes différentes.",IF(OR($D181="",$D181&lt;=0),"Saisissez un montant supérieur à zéro.","Vérifié"))))</f>
      </c>
    </row>
    <row r="182">
      <c r="A182" s="83"/>
      <c r="B182" s="57"/>
      <c r="C182" s="57"/>
      <c r="D182" s="85"/>
      <c r="E182" s="57"/>
      <c r="F182" s="81" t="str">
        <f>IF(COUNTIF($A182:$E182,"&lt;&gt;")=0,"",IF(OR($B182="",$C182=""),"Sélectionnez la personne qui a versé l’argent et celle qui l’a reçu.",IF($B182=$C182,"Sélectionnez deux personnes différentes.",IF(OR($D182="",$D182&lt;=0),"Saisissez un montant supérieur à zéro.","Vérifié"))))</f>
      </c>
    </row>
    <row r="183">
      <c r="A183" s="83"/>
      <c r="B183" s="57"/>
      <c r="C183" s="57"/>
      <c r="D183" s="85"/>
      <c r="E183" s="57"/>
      <c r="F183" s="81" t="str">
        <f>IF(COUNTIF($A183:$E183,"&lt;&gt;")=0,"",IF(OR($B183="",$C183=""),"Sélectionnez la personne qui a versé l’argent et celle qui l’a reçu.",IF($B183=$C183,"Sélectionnez deux personnes différentes.",IF(OR($D183="",$D183&lt;=0),"Saisissez un montant supérieur à zéro.","Vérifié"))))</f>
      </c>
    </row>
    <row r="184">
      <c r="A184" s="83"/>
      <c r="B184" s="57"/>
      <c r="C184" s="57"/>
      <c r="D184" s="85"/>
      <c r="E184" s="57"/>
      <c r="F184" s="81" t="str">
        <f>IF(COUNTIF($A184:$E184,"&lt;&gt;")=0,"",IF(OR($B184="",$C184=""),"Sélectionnez la personne qui a versé l’argent et celle qui l’a reçu.",IF($B184=$C184,"Sélectionnez deux personnes différentes.",IF(OR($D184="",$D184&lt;=0),"Saisissez un montant supérieur à zéro.","Vérifié"))))</f>
      </c>
    </row>
    <row r="185">
      <c r="A185" s="83"/>
      <c r="B185" s="57"/>
      <c r="C185" s="57"/>
      <c r="D185" s="85"/>
      <c r="E185" s="57"/>
      <c r="F185" s="81" t="str">
        <f>IF(COUNTIF($A185:$E185,"&lt;&gt;")=0,"",IF(OR($B185="",$C185=""),"Sélectionnez la personne qui a versé l’argent et celle qui l’a reçu.",IF($B185=$C185,"Sélectionnez deux personnes différentes.",IF(OR($D185="",$D185&lt;=0),"Saisissez un montant supérieur à zéro.","Vérifié"))))</f>
      </c>
    </row>
    <row r="186">
      <c r="A186" s="83"/>
      <c r="B186" s="57"/>
      <c r="C186" s="57"/>
      <c r="D186" s="85"/>
      <c r="E186" s="57"/>
      <c r="F186" s="81" t="str">
        <f>IF(COUNTIF($A186:$E186,"&lt;&gt;")=0,"",IF(OR($B186="",$C186=""),"Sélectionnez la personne qui a versé l’argent et celle qui l’a reçu.",IF($B186=$C186,"Sélectionnez deux personnes différentes.",IF(OR($D186="",$D186&lt;=0),"Saisissez un montant supérieur à zéro.","Vérifié"))))</f>
      </c>
    </row>
    <row r="187">
      <c r="A187" s="83"/>
      <c r="B187" s="57"/>
      <c r="C187" s="57"/>
      <c r="D187" s="85"/>
      <c r="E187" s="57"/>
      <c r="F187" s="81" t="str">
        <f>IF(COUNTIF($A187:$E187,"&lt;&gt;")=0,"",IF(OR($B187="",$C187=""),"Sélectionnez la personne qui a versé l’argent et celle qui l’a reçu.",IF($B187=$C187,"Sélectionnez deux personnes différentes.",IF(OR($D187="",$D187&lt;=0),"Saisissez un montant supérieur à zéro.","Vérifié"))))</f>
      </c>
    </row>
    <row r="188">
      <c r="A188" s="83"/>
      <c r="B188" s="57"/>
      <c r="C188" s="57"/>
      <c r="D188" s="85"/>
      <c r="E188" s="57"/>
      <c r="F188" s="81" t="str">
        <f>IF(COUNTIF($A188:$E188,"&lt;&gt;")=0,"",IF(OR($B188="",$C188=""),"Sélectionnez la personne qui a versé l’argent et celle qui l’a reçu.",IF($B188=$C188,"Sélectionnez deux personnes différentes.",IF(OR($D188="",$D188&lt;=0),"Saisissez un montant supérieur à zéro.","Vérifié"))))</f>
      </c>
    </row>
    <row r="189">
      <c r="A189" s="83"/>
      <c r="B189" s="57"/>
      <c r="C189" s="57"/>
      <c r="D189" s="85"/>
      <c r="E189" s="57"/>
      <c r="F189" s="81" t="str">
        <f>IF(COUNTIF($A189:$E189,"&lt;&gt;")=0,"",IF(OR($B189="",$C189=""),"Sélectionnez la personne qui a versé l’argent et celle qui l’a reçu.",IF($B189=$C189,"Sélectionnez deux personnes différentes.",IF(OR($D189="",$D189&lt;=0),"Saisissez un montant supérieur à zéro.","Vérifié"))))</f>
      </c>
    </row>
    <row r="190">
      <c r="A190" s="83"/>
      <c r="B190" s="57"/>
      <c r="C190" s="57"/>
      <c r="D190" s="85"/>
      <c r="E190" s="57"/>
      <c r="F190" s="81" t="str">
        <f>IF(COUNTIF($A190:$E190,"&lt;&gt;")=0,"",IF(OR($B190="",$C190=""),"Sélectionnez la personne qui a versé l’argent et celle qui l’a reçu.",IF($B190=$C190,"Sélectionnez deux personnes différentes.",IF(OR($D190="",$D190&lt;=0),"Saisissez un montant supérieur à zéro.","Vérifié"))))</f>
      </c>
    </row>
    <row r="191">
      <c r="A191" s="83"/>
      <c r="B191" s="57"/>
      <c r="C191" s="57"/>
      <c r="D191" s="85"/>
      <c r="E191" s="57"/>
      <c r="F191" s="81" t="str">
        <f>IF(COUNTIF($A191:$E191,"&lt;&gt;")=0,"",IF(OR($B191="",$C191=""),"Sélectionnez la personne qui a versé l’argent et celle qui l’a reçu.",IF($B191=$C191,"Sélectionnez deux personnes différentes.",IF(OR($D191="",$D191&lt;=0),"Saisissez un montant supérieur à zéro.","Vérifié"))))</f>
      </c>
    </row>
    <row r="192">
      <c r="A192" s="83"/>
      <c r="B192" s="57"/>
      <c r="C192" s="57"/>
      <c r="D192" s="85"/>
      <c r="E192" s="57"/>
      <c r="F192" s="81" t="str">
        <f>IF(COUNTIF($A192:$E192,"&lt;&gt;")=0,"",IF(OR($B192="",$C192=""),"Sélectionnez la personne qui a versé l’argent et celle qui l’a reçu.",IF($B192=$C192,"Sélectionnez deux personnes différentes.",IF(OR($D192="",$D192&lt;=0),"Saisissez un montant supérieur à zéro.","Vérifié"))))</f>
      </c>
    </row>
    <row r="193">
      <c r="A193" s="83"/>
      <c r="B193" s="57"/>
      <c r="C193" s="57"/>
      <c r="D193" s="85"/>
      <c r="E193" s="57"/>
      <c r="F193" s="81" t="str">
        <f>IF(COUNTIF($A193:$E193,"&lt;&gt;")=0,"",IF(OR($B193="",$C193=""),"Sélectionnez la personne qui a versé l’argent et celle qui l’a reçu.",IF($B193=$C193,"Sélectionnez deux personnes différentes.",IF(OR($D193="",$D193&lt;=0),"Saisissez un montant supérieur à zéro.","Vérifié"))))</f>
      </c>
    </row>
    <row r="194">
      <c r="A194" s="83"/>
      <c r="B194" s="57"/>
      <c r="C194" s="57"/>
      <c r="D194" s="85"/>
      <c r="E194" s="57"/>
      <c r="F194" s="81" t="str">
        <f>IF(COUNTIF($A194:$E194,"&lt;&gt;")=0,"",IF(OR($B194="",$C194=""),"Sélectionnez la personne qui a versé l’argent et celle qui l’a reçu.",IF($B194=$C194,"Sélectionnez deux personnes différentes.",IF(OR($D194="",$D194&lt;=0),"Saisissez un montant supérieur à zéro.","Vérifié"))))</f>
      </c>
    </row>
    <row r="195">
      <c r="A195" s="83"/>
      <c r="B195" s="57"/>
      <c r="C195" s="57"/>
      <c r="D195" s="85"/>
      <c r="E195" s="57"/>
      <c r="F195" s="81" t="str">
        <f>IF(COUNTIF($A195:$E195,"&lt;&gt;")=0,"",IF(OR($B195="",$C195=""),"Sélectionnez la personne qui a versé l’argent et celle qui l’a reçu.",IF($B195=$C195,"Sélectionnez deux personnes différentes.",IF(OR($D195="",$D195&lt;=0),"Saisissez un montant supérieur à zéro.","Vérifié"))))</f>
      </c>
    </row>
    <row r="196">
      <c r="A196" s="83"/>
      <c r="B196" s="57"/>
      <c r="C196" s="57"/>
      <c r="D196" s="85"/>
      <c r="E196" s="57"/>
      <c r="F196" s="81" t="str">
        <f>IF(COUNTIF($A196:$E196,"&lt;&gt;")=0,"",IF(OR($B196="",$C196=""),"Sélectionnez la personne qui a versé l’argent et celle qui l’a reçu.",IF($B196=$C196,"Sélectionnez deux personnes différentes.",IF(OR($D196="",$D196&lt;=0),"Saisissez un montant supérieur à zéro.","Vérifié"))))</f>
      </c>
    </row>
    <row r="197">
      <c r="A197" s="83"/>
      <c r="B197" s="57"/>
      <c r="C197" s="57"/>
      <c r="D197" s="85"/>
      <c r="E197" s="57"/>
      <c r="F197" s="81" t="str">
        <f>IF(COUNTIF($A197:$E197,"&lt;&gt;")=0,"",IF(OR($B197="",$C197=""),"Sélectionnez la personne qui a versé l’argent et celle qui l’a reçu.",IF($B197=$C197,"Sélectionnez deux personnes différentes.",IF(OR($D197="",$D197&lt;=0),"Saisissez un montant supérieur à zéro.","Vérifié"))))</f>
      </c>
    </row>
    <row r="198">
      <c r="A198" s="83"/>
      <c r="B198" s="57"/>
      <c r="C198" s="57"/>
      <c r="D198" s="85"/>
      <c r="E198" s="57"/>
      <c r="F198" s="81" t="str">
        <f>IF(COUNTIF($A198:$E198,"&lt;&gt;")=0,"",IF(OR($B198="",$C198=""),"Sélectionnez la personne qui a versé l’argent et celle qui l’a reçu.",IF($B198=$C198,"Sélectionnez deux personnes différentes.",IF(OR($D198="",$D198&lt;=0),"Saisissez un montant supérieur à zéro.","Vérifié"))))</f>
      </c>
    </row>
    <row r="199">
      <c r="A199" s="83"/>
      <c r="B199" s="57"/>
      <c r="C199" s="57"/>
      <c r="D199" s="85"/>
      <c r="E199" s="57"/>
      <c r="F199" s="81" t="str">
        <f>IF(COUNTIF($A199:$E199,"&lt;&gt;")=0,"",IF(OR($B199="",$C199=""),"Sélectionnez la personne qui a versé l’argent et celle qui l’a reçu.",IF($B199=$C199,"Sélectionnez deux personnes différentes.",IF(OR($D199="",$D199&lt;=0),"Saisissez un montant supérieur à zéro.","Vérifié"))))</f>
      </c>
    </row>
    <row r="200">
      <c r="A200" s="83"/>
      <c r="B200" s="57"/>
      <c r="C200" s="57"/>
      <c r="D200" s="85"/>
      <c r="E200" s="57"/>
      <c r="F200" s="81" t="str">
        <f>IF(COUNTIF($A200:$E200,"&lt;&gt;")=0,"",IF(OR($B200="",$C200=""),"Sélectionnez la personne qui a versé l’argent et celle qui l’a reçu.",IF($B200=$C200,"Sélectionnez deux personnes différentes.",IF(OR($D200="",$D200&lt;=0),"Saisissez un montant supérieur à zéro.","Vérifié"))))</f>
      </c>
    </row>
    <row r="201">
      <c r="A201" s="83"/>
      <c r="B201" s="57"/>
      <c r="C201" s="57"/>
      <c r="D201" s="85"/>
      <c r="E201" s="57"/>
      <c r="F201" s="81" t="str">
        <f>IF(COUNTIF($A201:$E201,"&lt;&gt;")=0,"",IF(OR($B201="",$C201=""),"Sélectionnez la personne qui a versé l’argent et celle qui l’a reçu.",IF($B201=$C201,"Sélectionnez deux personnes différentes.",IF(OR($D201="",$D201&lt;=0),"Saisissez un montant supérieur à zéro.","Vérifié"))))</f>
      </c>
    </row>
    <row r="202">
      <c r="A202" s="83"/>
      <c r="B202" s="57"/>
      <c r="C202" s="57"/>
      <c r="D202" s="85"/>
      <c r="E202" s="57"/>
      <c r="F202" s="81" t="str">
        <f>IF(COUNTIF($A202:$E202,"&lt;&gt;")=0,"",IF(OR($B202="",$C202=""),"Sélectionnez la personne qui a versé l’argent et celle qui l’a reçu.",IF($B202=$C202,"Sélectionnez deux personnes différentes.",IF(OR($D202="",$D202&lt;=0),"Saisissez un montant supérieur à zéro.","Vérifié"))))</f>
      </c>
    </row>
    <row r="203">
      <c r="A203" s="83"/>
      <c r="B203" s="57"/>
      <c r="C203" s="57"/>
      <c r="D203" s="85"/>
      <c r="E203" s="57"/>
      <c r="F203" s="81" t="str">
        <f>IF(COUNTIF($A203:$E203,"&lt;&gt;")=0,"",IF(OR($B203="",$C203=""),"Sélectionnez la personne qui a versé l’argent et celle qui l’a reçu.",IF($B203=$C203,"Sélectionnez deux personnes différentes.",IF(OR($D203="",$D203&lt;=0),"Saisissez un montant supérieur à zéro.","Vérifié"))))</f>
      </c>
    </row>
    <row r="204">
      <c r="A204" s="83"/>
      <c r="B204" s="57"/>
      <c r="C204" s="57"/>
      <c r="D204" s="85"/>
      <c r="E204" s="57"/>
      <c r="F204" s="81" t="str">
        <f>IF(COUNTIF($A204:$E204,"&lt;&gt;")=0,"",IF(OR($B204="",$C204=""),"Sélectionnez la personne qui a versé l’argent et celle qui l’a reçu.",IF($B204=$C204,"Sélectionnez deux personnes différentes.",IF(OR($D204="",$D204&lt;=0),"Saisissez un montant supérieur à zéro.","Vérifié"))))</f>
      </c>
    </row>
  </sheetData>
  <mergeCells>
    <mergeCell ref="A1:F1"/>
    <mergeCell ref="A2:F2"/>
  </mergeCells>
  <conditionalFormatting sqref="F5:F204">
    <cfRule type="containsText" dxfId="4" priority="1" operator="containsText" text="Vérifié"/>
    <cfRule type="notContainsText" dxfId="5" priority="2" text="Vérifié"/>
  </conditionalFormatting>
  <dataValidations count="2">
    <dataValidation type="list" sqref="B5:C204">
      <formula1>RoommateNames</formula1>
    </dataValidation>
    <dataValidation type="decimal" operator="greaterThan" sqref="D5:D204">
      <formula1>0</formula1>
    </dataValidation>
  </dataValidations>
  <pageMargins left="0.7" right="0.7" top="0.75" bottom="0.75" header="0.3" footer="0.3"/>
  <tableParts count="1">
    <tablePart ns1:id="R28404f9df3d7499b"/>
  </tableParts>
</worksheet>
</file>

<file path=xl/worksheets/sheet5.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23" hidden="0" customWidth="1"/>
    <col min="2" max="2" width="20" hidden="0" customWidth="1"/>
    <col min="3" max="3" width="22" hidden="0" customWidth="1"/>
    <col min="4" max="4" width="24" hidden="0" customWidth="1"/>
    <col min="5" max="5" width="20" hidden="0" customWidth="1"/>
    <col min="6" max="6" width="22" hidden="0" customWidth="1"/>
    <col min="7" max="7" width="20" hidden="0" customWidth="1"/>
    <col min="8" max="8" width="28" hidden="0" customWidth="1"/>
    <col min="9" max="9" width="4" hidden="0" customWidth="1"/>
    <col min="10" max="10" width="9" hidden="1" customWidth="1"/>
    <col min="11" max="11" width="20" hidden="1" customWidth="1"/>
    <col min="12" max="12" width="20" hidden="1" customWidth="1"/>
    <col min="13" max="13" width="16" hidden="1" customWidth="1"/>
    <col min="14" max="14" width="15" hidden="1" customWidth="1"/>
    <col min="15" max="15" width="15" hidden="1" customWidth="1"/>
    <col min="16" max="16" width="15" hidden="1" customWidth="1"/>
    <col min="17" max="17" width="15" hidden="1" customWidth="1"/>
    <col min="18" max="18" width="15" hidden="1" customWidth="1"/>
    <col min="19" max="19" width="15" hidden="1" customWidth="1"/>
  </cols>
  <sheetData>
    <row r="1" ht="34" customHeight="1">
      <c r="A1" s="4" t="str">
        <v>Bilan des comptes de la colocation</v>
      </c>
      <c r="B1" s="4" t="str">
        <v>Bilan des comptes de la colocation</v>
      </c>
      <c r="C1" s="4" t="str">
        <v>Bilan des comptes de la colocation</v>
      </c>
      <c r="D1" s="4" t="str">
        <v>Bilan des comptes de la colocation</v>
      </c>
      <c r="E1" s="4" t="str">
        <v>Bilan des comptes de la colocation</v>
      </c>
      <c r="F1" s="4" t="str">
        <v>Bilan des comptes de la colocation</v>
      </c>
      <c r="G1" s="4" t="str">
        <v>Bilan des comptes de la colocation</v>
      </c>
      <c r="H1" s="4" t="str">
        <v>Bilan des comptes de la colocation</v>
      </c>
      <c r="I1" s="4" t="str">
        <v>Bilan des comptes de la colocation</v>
      </c>
      <c r="J1" s="4" t="str">
        <v>Bilan des comptes de la colocation</v>
      </c>
      <c r="K1" s="4" t="str">
        <v>Bilan des comptes de la colocation</v>
      </c>
      <c r="L1" s="4" t="str">
        <v>Bilan des comptes de la colocation</v>
      </c>
      <c r="M1" s="4" t="str">
        <v>Bilan des comptes de la colocation</v>
      </c>
      <c r="N1" s="4" t="str">
        <v>Bilan des comptes de la colocation</v>
      </c>
      <c r="O1" s="4" t="str">
        <v>Bilan des comptes de la colocation</v>
      </c>
      <c r="P1" s="4" t="str">
        <v>Bilan des comptes de la colocation</v>
      </c>
      <c r="Q1" s="4" t="str">
        <v>Bilan des comptes de la colocation</v>
      </c>
      <c r="R1" s="4" t="str">
        <v>Bilan des comptes de la colocation</v>
      </c>
      <c r="S1" s="4" t="str">
        <v>Bilan des comptes de la colocation</v>
      </c>
    </row>
    <row r="2" ht="30" customHeight="1">
      <c r="A2" s="8" t="str">
        <v>Positif : somme à recevoir. Négatif : somme à verser. Vérifiez tous les points signalés avant d’effectuer un versement proposé.</v>
      </c>
      <c r="B2" s="8" t="str">
        <v>Positif : somme à recevoir. Négatif : somme à verser. Vérifiez tous les points signalés avant d’effectuer un versement proposé.</v>
      </c>
      <c r="C2" s="8" t="str">
        <v>Positif : somme à recevoir. Négatif : somme à verser. Vérifiez tous les points signalés avant d’effectuer un versement proposé.</v>
      </c>
      <c r="D2" s="8" t="str">
        <v>Positif : somme à recevoir. Négatif : somme à verser. Vérifiez tous les points signalés avant d’effectuer un versement proposé.</v>
      </c>
      <c r="E2" s="8" t="str">
        <v>Positif : somme à recevoir. Négatif : somme à verser. Vérifiez tous les points signalés avant d’effectuer un versement proposé.</v>
      </c>
      <c r="F2" s="8" t="str">
        <v>Positif : somme à recevoir. Négatif : somme à verser. Vérifiez tous les points signalés avant d’effectuer un versement proposé.</v>
      </c>
      <c r="G2" s="8" t="str">
        <v>Positif : somme à recevoir. Négatif : somme à verser. Vérifiez tous les points signalés avant d’effectuer un versement proposé.</v>
      </c>
      <c r="H2" s="8" t="str">
        <v>Positif : somme à recevoir. Négatif : somme à verser. Vérifiez tous les points signalés avant d’effectuer un versement proposé.</v>
      </c>
      <c r="I2" s="8" t="str">
        <v>Positif : somme à recevoir. Négatif : somme à verser. Vérifiez tous les points signalés avant d’effectuer un versement proposé.</v>
      </c>
      <c r="J2" s="8" t="str">
        <v>Positif : somme à recevoir. Négatif : somme à verser. Vérifiez tous les points signalés avant d’effectuer un versement proposé.</v>
      </c>
      <c r="K2" s="8" t="str">
        <v>Positif : somme à recevoir. Négatif : somme à verser. Vérifiez tous les points signalés avant d’effectuer un versement proposé.</v>
      </c>
      <c r="L2" s="8" t="str">
        <v>Positif : somme à recevoir. Négatif : somme à verser. Vérifiez tous les points signalés avant d’effectuer un versement proposé.</v>
      </c>
      <c r="M2" s="8" t="str">
        <v>Positif : somme à recevoir. Négatif : somme à verser. Vérifiez tous les points signalés avant d’effectuer un versement proposé.</v>
      </c>
      <c r="N2" s="8" t="str">
        <v>Positif : somme à recevoir. Négatif : somme à verser. Vérifiez tous les points signalés avant d’effectuer un versement proposé.</v>
      </c>
      <c r="O2" s="8" t="str">
        <v>Positif : somme à recevoir. Négatif : somme à verser. Vérifiez tous les points signalés avant d’effectuer un versement proposé.</v>
      </c>
      <c r="P2" s="8" t="str">
        <v>Positif : somme à recevoir. Négatif : somme à verser. Vérifiez tous les points signalés avant d’effectuer un versement proposé.</v>
      </c>
      <c r="Q2" s="8" t="str">
        <v>Positif : somme à recevoir. Négatif : somme à verser. Vérifiez tous les points signalés avant d’effectuer un versement proposé.</v>
      </c>
      <c r="R2" s="8" t="str">
        <v>Positif : somme à recevoir. Négatif : somme à verser. Vérifiez tous les points signalés avant d’effectuer un versement proposé.</v>
      </c>
      <c r="S2" s="8" t="str">
        <v>Positif : somme à recevoir. Négatif : somme à verser. Vérifiez tous les points signalés avant d’effectuer un versement proposé.</v>
      </c>
    </row>
    <row r="4" ht="34" customHeight="1">
      <c r="A4" s="51" t="str">
        <v>Colocataire</v>
      </c>
      <c r="B4" s="51" t="str">
        <v>Solde de départ</v>
      </c>
      <c r="C4" s="51" t="str">
        <v>Dépenses payées</v>
      </c>
      <c r="D4" s="51" t="str">
        <v>Part des dépenses</v>
      </c>
      <c r="E4" s="51" t="str">
        <v>Remboursements versés</v>
      </c>
      <c r="F4" s="51" t="str">
        <v>Remboursements reçus</v>
      </c>
      <c r="G4" s="51" t="str">
        <v>Solde actuel</v>
      </c>
      <c r="H4" s="51" t="str">
        <v>État</v>
      </c>
    </row>
    <row r="5">
      <c r="A5" s="56" t="str">
        <f>IF('Configuration'!B9="","",'Configuration'!B9)</f>
      </c>
      <c r="B5" s="84" t="str">
        <f>IF(A5="","",'Configuration'!C9)</f>
      </c>
      <c r="C5" s="84" t="str">
        <f>IF(A5="","",SUMIFS('Dépenses'!$D$5:$D$204,'Dépenses'!$E$5:$E$204,A5,'Dépenses'!$Z$5:$Z$204,"Vérifié"))</f>
      </c>
      <c r="D5" s="84" t="str">
        <f>IF(A5="","",SUM('Dépenses'!$T$5:$T$204))</f>
      </c>
      <c r="E5" s="84" t="str">
        <f>IF(A5="","",SUMIFS('Remboursements'!$D$5:$D$204,'Remboursements'!$B$5:$B$204,A5,'Remboursements'!$F$5:$F$204,"Vérifié"))</f>
      </c>
      <c r="F5" s="84" t="str">
        <f>IF(A5="","",SUMIFS('Remboursements'!$D$5:$D$204,'Remboursements'!$C$5:$C$204,A5,'Remboursements'!$F$5:$F$204,"Vérifié"))</f>
      </c>
      <c r="G5" s="84" t="str">
        <f>IF(A5="","",B5+C5-D5+E5-F5)</f>
      </c>
      <c r="H5" s="56" t="str">
        <f>IF(A5="","",IF(ABS(G5)&lt;=0.01,"Soldé",IF(G5&gt;0,"À recevoir : "&amp;ROUND(G5,2),"À verser : "&amp;ROUND(-G5,2))))</f>
      </c>
    </row>
    <row r="6">
      <c r="A6" s="57" t="str">
        <f>IF('Configuration'!B10="","",'Configuration'!B10)</f>
      </c>
      <c r="B6" s="85" t="str">
        <f>IF(A6="","",'Configuration'!C10)</f>
      </c>
      <c r="C6" s="85" t="str">
        <f>IF(A6="","",SUMIFS('Dépenses'!$D$5:$D$204,'Dépenses'!$E$5:$E$204,A6,'Dépenses'!$Z$5:$Z$204,"Vérifié"))</f>
      </c>
      <c r="D6" s="85" t="str">
        <f>IF(A6="","",SUM('Dépenses'!$U$5:$U$204))</f>
      </c>
      <c r="E6" s="85" t="str">
        <f>IF(A6="","",SUMIFS('Remboursements'!$D$5:$D$204,'Remboursements'!$B$5:$B$204,A6,'Remboursements'!$F$5:$F$204,"Vérifié"))</f>
      </c>
      <c r="F6" s="85" t="str">
        <f>IF(A6="","",SUMIFS('Remboursements'!$D$5:$D$204,'Remboursements'!$C$5:$C$204,A6,'Remboursements'!$F$5:$F$204,"Vérifié"))</f>
      </c>
      <c r="G6" s="85" t="str">
        <f>IF(A6="","",B6+C6-D6+E6-F6)</f>
      </c>
      <c r="H6" s="57" t="str">
        <f>IF(A6="","",IF(ABS(G6)&lt;=0.01,"Soldé",IF(G6&gt;0,"À recevoir : "&amp;ROUND(G6,2),"À verser : "&amp;ROUND(-G6,2))))</f>
      </c>
    </row>
    <row r="7">
      <c r="A7" s="57" t="str">
        <f>IF('Configuration'!B11="","",'Configuration'!B11)</f>
      </c>
      <c r="B7" s="85" t="str">
        <f>IF(A7="","",'Configuration'!C11)</f>
      </c>
      <c r="C7" s="85" t="str">
        <f>IF(A7="","",SUMIFS('Dépenses'!$D$5:$D$204,'Dépenses'!$E$5:$E$204,A7,'Dépenses'!$Z$5:$Z$204,"Vérifié"))</f>
      </c>
      <c r="D7" s="85" t="str">
        <f>IF(A7="","",SUM('Dépenses'!$V$5:$V$204))</f>
      </c>
      <c r="E7" s="85" t="str">
        <f>IF(A7="","",SUMIFS('Remboursements'!$D$5:$D$204,'Remboursements'!$B$5:$B$204,A7,'Remboursements'!$F$5:$F$204,"Vérifié"))</f>
      </c>
      <c r="F7" s="85" t="str">
        <f>IF(A7="","",SUMIFS('Remboursements'!$D$5:$D$204,'Remboursements'!$C$5:$C$204,A7,'Remboursements'!$F$5:$F$204,"Vérifié"))</f>
      </c>
      <c r="G7" s="85" t="str">
        <f>IF(A7="","",B7+C7-D7+E7-F7)</f>
      </c>
      <c r="H7" s="57" t="str">
        <f>IF(A7="","",IF(ABS(G7)&lt;=0.01,"Soldé",IF(G7&gt;0,"À recevoir : "&amp;ROUND(G7,2),"À verser : "&amp;ROUND(-G7,2))))</f>
      </c>
    </row>
    <row r="8">
      <c r="A8" s="57" t="str">
        <f>IF('Configuration'!B12="","",'Configuration'!B12)</f>
      </c>
      <c r="B8" s="85" t="str">
        <f>IF(A8="","",'Configuration'!C12)</f>
      </c>
      <c r="C8" s="85" t="str">
        <f>IF(A8="","",SUMIFS('Dépenses'!$D$5:$D$204,'Dépenses'!$E$5:$E$204,A8,'Dépenses'!$Z$5:$Z$204,"Vérifié"))</f>
      </c>
      <c r="D8" s="85" t="str">
        <f>IF(A8="","",SUM('Dépenses'!$W$5:$W$204))</f>
      </c>
      <c r="E8" s="85" t="str">
        <f>IF(A8="","",SUMIFS('Remboursements'!$D$5:$D$204,'Remboursements'!$B$5:$B$204,A8,'Remboursements'!$F$5:$F$204,"Vérifié"))</f>
      </c>
      <c r="F8" s="85" t="str">
        <f>IF(A8="","",SUMIFS('Remboursements'!$D$5:$D$204,'Remboursements'!$C$5:$C$204,A8,'Remboursements'!$F$5:$F$204,"Vérifié"))</f>
      </c>
      <c r="G8" s="85" t="str">
        <f>IF(A8="","",B8+C8-D8+E8-F8)</f>
      </c>
      <c r="H8" s="57" t="str">
        <f>IF(A8="","",IF(ABS(G8)&lt;=0.01,"Soldé",IF(G8&gt;0,"À recevoir : "&amp;ROUND(G8,2),"À verser : "&amp;ROUND(-G8,2))))</f>
      </c>
    </row>
    <row r="9">
      <c r="A9" s="57" t="str">
        <f>IF('Configuration'!B13="","",'Configuration'!B13)</f>
      </c>
      <c r="B9" s="85" t="str">
        <f>IF(A9="","",'Configuration'!C13)</f>
      </c>
      <c r="C9" s="85" t="str">
        <f>IF(A9="","",SUMIFS('Dépenses'!$D$5:$D$204,'Dépenses'!$E$5:$E$204,A9,'Dépenses'!$Z$5:$Z$204,"Vérifié"))</f>
      </c>
      <c r="D9" s="85" t="str">
        <f>IF(A9="","",SUM('Dépenses'!$X$5:$X$204))</f>
      </c>
      <c r="E9" s="85" t="str">
        <f>IF(A9="","",SUMIFS('Remboursements'!$D$5:$D$204,'Remboursements'!$B$5:$B$204,A9,'Remboursements'!$F$5:$F$204,"Vérifié"))</f>
      </c>
      <c r="F9" s="85" t="str">
        <f>IF(A9="","",SUMIFS('Remboursements'!$D$5:$D$204,'Remboursements'!$C$5:$C$204,A9,'Remboursements'!$F$5:$F$204,"Vérifié"))</f>
      </c>
      <c r="G9" s="85" t="str">
        <f>IF(A9="","",B9+C9-D9+E9-F9)</f>
      </c>
      <c r="H9" s="57" t="str">
        <f>IF(A9="","",IF(ABS(G9)&lt;=0.01,"Soldé",IF(G9&gt;0,"À recevoir : "&amp;ROUND(G9,2),"À verser : "&amp;ROUND(-G9,2))))</f>
      </c>
    </row>
    <row r="10">
      <c r="A10" s="57" t="str">
        <f>IF('Configuration'!B14="","",'Configuration'!B14)</f>
      </c>
      <c r="B10" s="85" t="str">
        <f>IF(A10="","",'Configuration'!C14)</f>
      </c>
      <c r="C10" s="85" t="str">
        <f>IF(A10="","",SUMIFS('Dépenses'!$D$5:$D$204,'Dépenses'!$E$5:$E$204,A10,'Dépenses'!$Z$5:$Z$204,"Vérifié"))</f>
      </c>
      <c r="D10" s="85" t="str">
        <f>IF(A10="","",SUM('Dépenses'!$Y$5:$Y$204))</f>
      </c>
      <c r="E10" s="85" t="str">
        <f>IF(A10="","",SUMIFS('Remboursements'!$D$5:$D$204,'Remboursements'!$B$5:$B$204,A10,'Remboursements'!$F$5:$F$204,"Vérifié"))</f>
      </c>
      <c r="F10" s="85" t="str">
        <f>IF(A10="","",SUMIFS('Remboursements'!$D$5:$D$204,'Remboursements'!$C$5:$C$204,A10,'Remboursements'!$F$5:$F$204,"Vérifié"))</f>
      </c>
      <c r="G10" s="85" t="str">
        <f>IF(A10="","",B10+C10-D10+E10-F10)</f>
      </c>
      <c r="H10" s="57" t="str">
        <f>IF(A10="","",IF(ABS(G10)&lt;=0.01,"Soldé",IF(G10&gt;0,"À recevoir : "&amp;ROUND(G10,2),"À verser : "&amp;ROUND(-G10,2))))</f>
      </c>
    </row>
    <row r="12">
      <c r="A12" s="11" t="str">
        <v>Totaux et vérification des saisies</v>
      </c>
      <c r="B12" s="11" t="str">
        <v>Totaux et vérification des saisies</v>
      </c>
      <c r="C12" s="11" t="str">
        <v>Totaux et vérification des saisies</v>
      </c>
      <c r="D12" s="11" t="str">
        <v>Totaux et vérification des saisies</v>
      </c>
      <c r="E12" s="11" t="str">
        <v>Totaux et vérification des saisies</v>
      </c>
      <c r="F12" s="11" t="str">
        <v>Totaux et vérification des saisies</v>
      </c>
      <c r="G12" s="11" t="str">
        <v>Totaux et vérification des saisies</v>
      </c>
      <c r="H12" s="11" t="str">
        <v>Totaux et vérification des saisies</v>
      </c>
    </row>
    <row r="13">
      <c r="A13" s="88" t="str">
        <v>Total des dépenses</v>
      </c>
      <c r="B13" s="92" t="n">
        <f>SUMIF('Dépenses'!$Z$5:$Z$204,"Vérifié",'Dépenses'!$D$5:$D$204)</f>
        <v>0</v>
      </c>
    </row>
    <row r="14">
      <c r="A14" s="88" t="str">
        <v>Total des parts</v>
      </c>
      <c r="B14" s="92" t="n">
        <f>SUM(D5:D10)</f>
        <v>0</v>
      </c>
    </row>
    <row r="15">
      <c r="A15" s="88" t="str">
        <v>Total des remboursements</v>
      </c>
      <c r="B15" s="92" t="n">
        <f>SUMIF('Remboursements'!$F$5:$F$204,"Vérifié",'Remboursements'!$D$5:$D$204)</f>
        <v>0</v>
      </c>
    </row>
    <row r="16">
      <c r="A16" s="88" t="str">
        <v>Total des soldes</v>
      </c>
      <c r="B16" s="92" t="n">
        <f>SUM(G5:G10)</f>
        <v>0</v>
      </c>
    </row>
    <row r="17">
      <c r="A17" s="88" t="str">
        <v>Vérification des saisies</v>
      </c>
      <c r="B17" s="96" t="str">
        <f>IF('Configuration'!A17&lt;&gt;"Vérifié : le total des soldes de départ est égal à 0,00.","Corrigez les points signalés dans Configuration, Dépenses et Remboursements avant de solder les comptes.",IF(COUNTIFS('Dépenses'!$Z$5:$Z$204,"&lt;&gt;",'Dépenses'!$Z$5:$Z$204,"&lt;&gt;Vérifié")+COUNTIFS('Remboursements'!$F$5:$F$204,"&lt;&gt;",'Remboursements'!$F$5:$F$204,"&lt;&gt;Vérifié")&gt;0,"Corrigez les points signalés dans Configuration, Dépenses et Remboursements avant de solder les comptes.",IF(ABS(B16)&gt;0.01,"Le total des soldes actuels n’est pas égal à 0,00. Vérifiez les soldes de départ et la répartition des dépenses.","Vérifié : le total des soldes actuels est égal à 0,00.")))</f>
        <v>Corrigez les points signalés dans Configuration, Dépenses et Remboursements avant de solder les comptes.</v>
      </c>
      <c r="C17" s="75"/>
      <c r="D17" s="75"/>
      <c r="E17" s="75"/>
      <c r="F17" s="75"/>
      <c r="G17" s="75"/>
      <c r="H17" s="75"/>
    </row>
    <row r="18">
      <c r="B18" s="75"/>
      <c r="C18" s="75"/>
      <c r="D18" s="75"/>
      <c r="E18" s="75"/>
      <c r="F18" s="75"/>
      <c r="G18" s="75"/>
      <c r="H18" s="75"/>
    </row>
    <row r="20" ht="34" customHeight="1">
      <c r="A20" s="11" t="str">
        <v>Versements proposés pour solder les comptes</v>
      </c>
      <c r="B20" s="11" t="str">
        <v>Versements proposés pour solder les comptes</v>
      </c>
      <c r="C20" s="11" t="str">
        <v>Versements proposés pour solder les comptes</v>
      </c>
      <c r="D20" s="11" t="str">
        <v>Versements proposés pour solder les comptes</v>
      </c>
      <c r="E20" s="11" t="str">
        <v>Versements proposés pour solder les comptes</v>
      </c>
      <c r="F20" s="11" t="str">
        <v>Versements proposés pour solder les comptes</v>
      </c>
      <c r="G20" s="11" t="str">
        <v>Versements proposés pour solder les comptes</v>
      </c>
      <c r="H20" s="11" t="str">
        <v>Versements proposés pour solder les comptes</v>
      </c>
      <c r="J20" s="51" t="str">
        <v>Étape</v>
      </c>
      <c r="K20" s="51" t="str">
        <v>De</v>
      </c>
      <c r="L20" s="51" t="str">
        <v>À</v>
      </c>
      <c r="M20" s="51" t="str">
        <v>Montant</v>
      </c>
      <c r="N20" s="51" t="str">
        <v>Solde 1</v>
      </c>
      <c r="O20" s="51" t="str">
        <v>Solde 2</v>
      </c>
      <c r="P20" s="51" t="str">
        <v>Solde 3</v>
      </c>
      <c r="Q20" s="51" t="str">
        <v>Solde 4</v>
      </c>
      <c r="R20" s="51" t="str">
        <v>Solde 5</v>
      </c>
      <c r="S20" s="51" t="str">
        <v>Solde 6</v>
      </c>
    </row>
    <row r="21">
      <c r="A21" s="77" t="str">
        <v>Ces versements permettent de solder les montants restants. Vérifiez les saisies correspondantes avant d’envoyer de l’argent.</v>
      </c>
      <c r="B21" s="77" t="str">
        <v>Ces versements permettent de solder les montants restants. Vérifiez les saisies correspondantes avant d’envoyer de l’argent.</v>
      </c>
      <c r="C21" s="77" t="str">
        <v>Ces versements permettent de solder les montants restants. Vérifiez les saisies correspondantes avant d’envoyer de l’argent.</v>
      </c>
      <c r="D21" s="77" t="str">
        <v>Ces versements permettent de solder les montants restants. Vérifiez les saisies correspondantes avant d’envoyer de l’argent.</v>
      </c>
      <c r="E21" s="77" t="str">
        <v>Ces versements permettent de solder les montants restants. Vérifiez les saisies correspondantes avant d’envoyer de l’argent.</v>
      </c>
      <c r="F21" s="77" t="str">
        <v>Ces versements permettent de solder les montants restants. Vérifiez les saisies correspondantes avant d’envoyer de l’argent.</v>
      </c>
      <c r="G21" s="77" t="str">
        <v>Ces versements permettent de solder les montants restants. Vérifiez les saisies correspondantes avant d’envoyer de l’argent.</v>
      </c>
      <c r="H21" s="77" t="str">
        <v>Ces versements permettent de solder les montants restants. Vérifiez les saisies correspondantes avant d’envoyer de l’argent.</v>
      </c>
      <c r="J21" s="56" t="n">
        <v>0</v>
      </c>
      <c r="K21" s="56"/>
      <c r="L21" s="56"/>
      <c r="M21" s="84"/>
      <c r="N21" s="84" t="str">
        <f>IF($B$17="Vérifié : le total des soldes actuels est égal à 0,00.",$G5,"")</f>
      </c>
      <c r="O21" s="84" t="str">
        <f>IF($B$17="Vérifié : le total des soldes actuels est égal à 0,00.",$G6,"")</f>
      </c>
      <c r="P21" s="84" t="str">
        <f>IF($B$17="Vérifié : le total des soldes actuels est égal à 0,00.",$G7,"")</f>
      </c>
      <c r="Q21" s="84" t="str">
        <f>IF($B$17="Vérifié : le total des soldes actuels est égal à 0,00.",$G8,"")</f>
      </c>
      <c r="R21" s="84" t="str">
        <f>IF($B$17="Vérifié : le total des soldes actuels est égal à 0,00.",$G9,"")</f>
      </c>
      <c r="S21" s="84" t="str">
        <f>IF($B$17="Vérifié : le total des soldes actuels est égal à 0,00.",$G10,"")</f>
      </c>
    </row>
    <row r="22" ht="34" customHeight="1">
      <c r="A22" s="51" t="str">
        <v>De</v>
      </c>
      <c r="B22" s="51" t="str">
        <v>À</v>
      </c>
      <c r="C22" s="51" t="str">
        <v>Montant</v>
      </c>
      <c r="J22" s="57" t="n">
        <v>1</v>
      </c>
      <c r="K22" s="57" t="str">
        <f>IF($B$17&lt;&gt;"Vérifié : le total des soldes actuels est égal à 0,00.","",IF(N21&lt;-0.01,$A5,IF(O21&lt;-0.01,$A6,IF(P21&lt;-0.01,$A7,IF(Q21&lt;-0.01,$A8,IF(R21&lt;-0.01,$A9,IF(S21&lt;-0.01,$A10,"")))))))</f>
      </c>
      <c r="L22" s="57" t="str">
        <f>IF($B$17&lt;&gt;"Vérifié : le total des soldes actuels est égal à 0,00.","",IF(N21&gt;0.01,$A5,IF(O21&gt;0.01,$A6,IF(P21&gt;0.01,$A7,IF(Q21&gt;0.01,$A8,IF(R21&gt;0.01,$A9,IF(S21&gt;0.01,$A10,"")))))))</f>
      </c>
      <c r="M22" s="85" t="str">
        <f>IF(OR(K22="",L22=""),"",MIN(IF($K22=$A5,-N21,IF($K22=$A6,-O21,IF($K22=$A7,-P21,IF($K22=$A8,-Q21,IF($K22=$A9,-R21,IF($K22=$A10,-S21,0)))))),IF($L22=$A5,N21,IF($L22=$A6,O21,IF($L22=$A7,P21,IF($L22=$A8,Q21,IF($L22=$A9,R21,IF($L22=$A10,S21,0))))))))</f>
      </c>
      <c r="N22" s="85" t="str">
        <f>IF(N21="","",N21+IF($A5=$K22,$M22,0)-IF($A5=$L22,$M22,0))</f>
      </c>
      <c r="O22" s="85" t="str">
        <f>IF(O21="","",O21+IF($A6=$K22,$M22,0)-IF($A6=$L22,$M22,0))</f>
      </c>
      <c r="P22" s="85" t="str">
        <f>IF(P21="","",P21+IF($A7=$K22,$M22,0)-IF($A7=$L22,$M22,0))</f>
      </c>
      <c r="Q22" s="85" t="str">
        <f>IF(Q21="","",Q21+IF($A8=$K22,$M22,0)-IF($A8=$L22,$M22,0))</f>
      </c>
      <c r="R22" s="85" t="str">
        <f>IF(R21="","",R21+IF($A9=$K22,$M22,0)-IF($A9=$L22,$M22,0))</f>
      </c>
      <c r="S22" s="85" t="str">
        <f>IF(S21="","",S21+IF($A10=$K22,$M22,0)-IF($A10=$L22,$M22,0))</f>
      </c>
    </row>
    <row r="23">
      <c r="A23" s="56" t="str">
        <f>IF($B$17&lt;&gt;"Vérifié : le total des soldes actuels est égal à 0,00.","",K22)</f>
      </c>
      <c r="B23" s="56" t="str">
        <f>IF($B$17&lt;&gt;"Vérifié : le total des soldes actuels est égal à 0,00.","",L22)</f>
      </c>
      <c r="C23" s="84" t="str">
        <f>IF($B$17&lt;&gt;"Vérifié : le total des soldes actuels est égal à 0,00.","",M22)</f>
      </c>
      <c r="J23" s="57" t="n">
        <v>2</v>
      </c>
      <c r="K23" s="57" t="str">
        <f>IF($B$17&lt;&gt;"Vérifié : le total des soldes actuels est égal à 0,00.","",IF(N22&lt;-0.01,$A5,IF(O22&lt;-0.01,$A6,IF(P22&lt;-0.01,$A7,IF(Q22&lt;-0.01,$A8,IF(R22&lt;-0.01,$A9,IF(S22&lt;-0.01,$A10,"")))))))</f>
      </c>
      <c r="L23" s="57" t="str">
        <f>IF($B$17&lt;&gt;"Vérifié : le total des soldes actuels est égal à 0,00.","",IF(N22&gt;0.01,$A5,IF(O22&gt;0.01,$A6,IF(P22&gt;0.01,$A7,IF(Q22&gt;0.01,$A8,IF(R22&gt;0.01,$A9,IF(S22&gt;0.01,$A10,"")))))))</f>
      </c>
      <c r="M23" s="85" t="str">
        <f>IF(OR(K23="",L23=""),"",MIN(IF($K23=$A5,-N22,IF($K23=$A6,-O22,IF($K23=$A7,-P22,IF($K23=$A8,-Q22,IF($K23=$A9,-R22,IF($K23=$A10,-S22,0)))))),IF($L23=$A5,N22,IF($L23=$A6,O22,IF($L23=$A7,P22,IF($L23=$A8,Q22,IF($L23=$A9,R22,IF($L23=$A10,S22,0))))))))</f>
      </c>
      <c r="N23" s="85" t="str">
        <f>IF(N22="","",N22+IF($A5=$K23,$M23,0)-IF($A5=$L23,$M23,0))</f>
      </c>
      <c r="O23" s="85" t="str">
        <f>IF(O22="","",O22+IF($A6=$K23,$M23,0)-IF($A6=$L23,$M23,0))</f>
      </c>
      <c r="P23" s="85" t="str">
        <f>IF(P22="","",P22+IF($A7=$K23,$M23,0)-IF($A7=$L23,$M23,0))</f>
      </c>
      <c r="Q23" s="85" t="str">
        <f>IF(Q22="","",Q22+IF($A8=$K23,$M23,0)-IF($A8=$L23,$M23,0))</f>
      </c>
      <c r="R23" s="85" t="str">
        <f>IF(R22="","",R22+IF($A9=$K23,$M23,0)-IF($A9=$L23,$M23,0))</f>
      </c>
      <c r="S23" s="85" t="str">
        <f>IF(S22="","",S22+IF($A10=$K23,$M23,0)-IF($A10=$L23,$M23,0))</f>
      </c>
    </row>
    <row r="24">
      <c r="A24" s="57" t="str">
        <f>IF($B$17&lt;&gt;"Vérifié : le total des soldes actuels est égal à 0,00.","",K23)</f>
      </c>
      <c r="B24" s="57" t="str">
        <f>IF($B$17&lt;&gt;"Vérifié : le total des soldes actuels est égal à 0,00.","",L23)</f>
      </c>
      <c r="C24" s="85" t="str">
        <f>IF($B$17&lt;&gt;"Vérifié : le total des soldes actuels est égal à 0,00.","",M23)</f>
      </c>
      <c r="J24" s="57" t="n">
        <v>3</v>
      </c>
      <c r="K24" s="57" t="str">
        <f>IF($B$17&lt;&gt;"Vérifié : le total des soldes actuels est égal à 0,00.","",IF(N23&lt;-0.01,$A5,IF(O23&lt;-0.01,$A6,IF(P23&lt;-0.01,$A7,IF(Q23&lt;-0.01,$A8,IF(R23&lt;-0.01,$A9,IF(S23&lt;-0.01,$A10,"")))))))</f>
      </c>
      <c r="L24" s="57" t="str">
        <f>IF($B$17&lt;&gt;"Vérifié : le total des soldes actuels est égal à 0,00.","",IF(N23&gt;0.01,$A5,IF(O23&gt;0.01,$A6,IF(P23&gt;0.01,$A7,IF(Q23&gt;0.01,$A8,IF(R23&gt;0.01,$A9,IF(S23&gt;0.01,$A10,"")))))))</f>
      </c>
      <c r="M24" s="85" t="str">
        <f>IF(OR(K24="",L24=""),"",MIN(IF($K24=$A5,-N23,IF($K24=$A6,-O23,IF($K24=$A7,-P23,IF($K24=$A8,-Q23,IF($K24=$A9,-R23,IF($K24=$A10,-S23,0)))))),IF($L24=$A5,N23,IF($L24=$A6,O23,IF($L24=$A7,P23,IF($L24=$A8,Q23,IF($L24=$A9,R23,IF($L24=$A10,S23,0))))))))</f>
      </c>
      <c r="N24" s="85" t="str">
        <f>IF(N23="","",N23+IF($A5=$K24,$M24,0)-IF($A5=$L24,$M24,0))</f>
      </c>
      <c r="O24" s="85" t="str">
        <f>IF(O23="","",O23+IF($A6=$K24,$M24,0)-IF($A6=$L24,$M24,0))</f>
      </c>
      <c r="P24" s="85" t="str">
        <f>IF(P23="","",P23+IF($A7=$K24,$M24,0)-IF($A7=$L24,$M24,0))</f>
      </c>
      <c r="Q24" s="85" t="str">
        <f>IF(Q23="","",Q23+IF($A8=$K24,$M24,0)-IF($A8=$L24,$M24,0))</f>
      </c>
      <c r="R24" s="85" t="str">
        <f>IF(R23="","",R23+IF($A9=$K24,$M24,0)-IF($A9=$L24,$M24,0))</f>
      </c>
      <c r="S24" s="85" t="str">
        <f>IF(S23="","",S23+IF($A10=$K24,$M24,0)-IF($A10=$L24,$M24,0))</f>
      </c>
    </row>
    <row r="25">
      <c r="A25" s="57" t="str">
        <f>IF($B$17&lt;&gt;"Vérifié : le total des soldes actuels est égal à 0,00.","",K24)</f>
      </c>
      <c r="B25" s="57" t="str">
        <f>IF($B$17&lt;&gt;"Vérifié : le total des soldes actuels est égal à 0,00.","",L24)</f>
      </c>
      <c r="C25" s="85" t="str">
        <f>IF($B$17&lt;&gt;"Vérifié : le total des soldes actuels est égal à 0,00.","",M24)</f>
      </c>
      <c r="J25" s="57" t="n">
        <v>4</v>
      </c>
      <c r="K25" s="57" t="str">
        <f>IF($B$17&lt;&gt;"Vérifié : le total des soldes actuels est égal à 0,00.","",IF(N24&lt;-0.01,$A5,IF(O24&lt;-0.01,$A6,IF(P24&lt;-0.01,$A7,IF(Q24&lt;-0.01,$A8,IF(R24&lt;-0.01,$A9,IF(S24&lt;-0.01,$A10,"")))))))</f>
      </c>
      <c r="L25" s="57" t="str">
        <f>IF($B$17&lt;&gt;"Vérifié : le total des soldes actuels est égal à 0,00.","",IF(N24&gt;0.01,$A5,IF(O24&gt;0.01,$A6,IF(P24&gt;0.01,$A7,IF(Q24&gt;0.01,$A8,IF(R24&gt;0.01,$A9,IF(S24&gt;0.01,$A10,"")))))))</f>
      </c>
      <c r="M25" s="85" t="str">
        <f>IF(OR(K25="",L25=""),"",MIN(IF($K25=$A5,-N24,IF($K25=$A6,-O24,IF($K25=$A7,-P24,IF($K25=$A8,-Q24,IF($K25=$A9,-R24,IF($K25=$A10,-S24,0)))))),IF($L25=$A5,N24,IF($L25=$A6,O24,IF($L25=$A7,P24,IF($L25=$A8,Q24,IF($L25=$A9,R24,IF($L25=$A10,S24,0))))))))</f>
      </c>
      <c r="N25" s="85" t="str">
        <f>IF(N24="","",N24+IF($A5=$K25,$M25,0)-IF($A5=$L25,$M25,0))</f>
      </c>
      <c r="O25" s="85" t="str">
        <f>IF(O24="","",O24+IF($A6=$K25,$M25,0)-IF($A6=$L25,$M25,0))</f>
      </c>
      <c r="P25" s="85" t="str">
        <f>IF(P24="","",P24+IF($A7=$K25,$M25,0)-IF($A7=$L25,$M25,0))</f>
      </c>
      <c r="Q25" s="85" t="str">
        <f>IF(Q24="","",Q24+IF($A8=$K25,$M25,0)-IF($A8=$L25,$M25,0))</f>
      </c>
      <c r="R25" s="85" t="str">
        <f>IF(R24="","",R24+IF($A9=$K25,$M25,0)-IF($A9=$L25,$M25,0))</f>
      </c>
      <c r="S25" s="85" t="str">
        <f>IF(S24="","",S24+IF($A10=$K25,$M25,0)-IF($A10=$L25,$M25,0))</f>
      </c>
    </row>
    <row r="26">
      <c r="A26" s="57" t="str">
        <f>IF($B$17&lt;&gt;"Vérifié : le total des soldes actuels est égal à 0,00.","",K25)</f>
      </c>
      <c r="B26" s="57" t="str">
        <f>IF($B$17&lt;&gt;"Vérifié : le total des soldes actuels est égal à 0,00.","",L25)</f>
      </c>
      <c r="C26" s="85" t="str">
        <f>IF($B$17&lt;&gt;"Vérifié : le total des soldes actuels est égal à 0,00.","",M25)</f>
      </c>
      <c r="J26" s="57" t="n">
        <v>5</v>
      </c>
      <c r="K26" s="57" t="str">
        <f>IF($B$17&lt;&gt;"Vérifié : le total des soldes actuels est égal à 0,00.","",IF(N25&lt;-0.01,$A5,IF(O25&lt;-0.01,$A6,IF(P25&lt;-0.01,$A7,IF(Q25&lt;-0.01,$A8,IF(R25&lt;-0.01,$A9,IF(S25&lt;-0.01,$A10,"")))))))</f>
      </c>
      <c r="L26" s="57" t="str">
        <f>IF($B$17&lt;&gt;"Vérifié : le total des soldes actuels est égal à 0,00.","",IF(N25&gt;0.01,$A5,IF(O25&gt;0.01,$A6,IF(P25&gt;0.01,$A7,IF(Q25&gt;0.01,$A8,IF(R25&gt;0.01,$A9,IF(S25&gt;0.01,$A10,"")))))))</f>
      </c>
      <c r="M26" s="85" t="str">
        <f>IF(OR(K26="",L26=""),"",MIN(IF($K26=$A5,-N25,IF($K26=$A6,-O25,IF($K26=$A7,-P25,IF($K26=$A8,-Q25,IF($K26=$A9,-R25,IF($K26=$A10,-S25,0)))))),IF($L26=$A5,N25,IF($L26=$A6,O25,IF($L26=$A7,P25,IF($L26=$A8,Q25,IF($L26=$A9,R25,IF($L26=$A10,S25,0))))))))</f>
      </c>
      <c r="N26" s="85" t="str">
        <f>IF(N25="","",N25+IF($A5=$K26,$M26,0)-IF($A5=$L26,$M26,0))</f>
      </c>
      <c r="O26" s="85" t="str">
        <f>IF(O25="","",O25+IF($A6=$K26,$M26,0)-IF($A6=$L26,$M26,0))</f>
      </c>
      <c r="P26" s="85" t="str">
        <f>IF(P25="","",P25+IF($A7=$K26,$M26,0)-IF($A7=$L26,$M26,0))</f>
      </c>
      <c r="Q26" s="85" t="str">
        <f>IF(Q25="","",Q25+IF($A8=$K26,$M26,0)-IF($A8=$L26,$M26,0))</f>
      </c>
      <c r="R26" s="85" t="str">
        <f>IF(R25="","",R25+IF($A9=$K26,$M26,0)-IF($A9=$L26,$M26,0))</f>
      </c>
      <c r="S26" s="85" t="str">
        <f>IF(S25="","",S25+IF($A10=$K26,$M26,0)-IF($A10=$L26,$M26,0))</f>
      </c>
    </row>
    <row r="27">
      <c r="A27" s="57" t="str">
        <f>IF($B$17&lt;&gt;"Vérifié : le total des soldes actuels est égal à 0,00.","",K26)</f>
      </c>
      <c r="B27" s="57" t="str">
        <f>IF($B$17&lt;&gt;"Vérifié : le total des soldes actuels est égal à 0,00.","",L26)</f>
      </c>
      <c r="C27" s="85" t="str">
        <f>IF($B$17&lt;&gt;"Vérifié : le total des soldes actuels est égal à 0,00.","",M26)</f>
      </c>
    </row>
    <row r="29">
      <c r="A29" s="98" t="str">
        <f>IF($B$17&lt;&gt;"Vérifié : le total des soldes actuels est égal à 0,00.","Les versements proposés ne sont disponibles que si le total des soldes actuels est égal à 0,00.",IF(COUNTIF($G$5:$G$10,"&lt;-0.01")=0,"Aucun versement n’est nécessaire pour solder les comptes.",""))</f>
        <v>Les versements proposés ne sont disponibles que si le total des soldes actuels est égal à 0,00.</v>
      </c>
      <c r="B29" s="98"/>
      <c r="C29" s="98"/>
      <c r="D29" s="98"/>
      <c r="E29" s="98"/>
      <c r="F29" s="98"/>
      <c r="G29" s="98"/>
      <c r="H29" s="98"/>
    </row>
    <row r="30">
      <c r="A30" s="98"/>
      <c r="B30" s="98"/>
      <c r="C30" s="98"/>
      <c r="D30" s="98"/>
      <c r="E30" s="98"/>
      <c r="F30" s="98"/>
      <c r="G30" s="98"/>
      <c r="H30" s="98"/>
    </row>
  </sheetData>
  <mergeCells>
    <mergeCell ref="A1:S1"/>
    <mergeCell ref="A2:S2"/>
    <mergeCell ref="A12:H12"/>
    <mergeCell ref="B17:H18"/>
    <mergeCell ref="A20:H20"/>
    <mergeCell ref="A21:H21"/>
    <mergeCell ref="A29:H30"/>
  </mergeCells>
  <conditionalFormatting sqref="G5:G10">
    <cfRule type="cellIs" dxfId="6" priority="1" operator="greaterThan">
      <formula>0.01</formula>
    </cfRule>
    <cfRule type="cellIs" dxfId="7" priority="2" operator="lessThan">
      <formula>-0.01</formula>
    </cfRule>
  </conditionalFormatting>
  <conditionalFormatting sqref="B17:H18">
    <cfRule type="containsText" dxfId="8" priority="3" operator="containsText" text="Vérifié"/>
    <cfRule type="notContainsText" dxfId="9" priority="4" text="Vérifié"/>
  </conditionalFormatting>
  <pageMargins left="0.7" right="0.7" top="0.75" bottom="0.75" header="0.3" footer="0.3"/>
</worksheet>
</file>

<file path=xl/worksheets/sheet6.xml><?xml version="1.0" encoding="utf-8"?>
<worksheet xmlns="http://schemas.openxmlformats.org/spreadsheetml/2006/main">
  <sheetViews>
    <sheetView showGridLines="0" workbookViewId="0">
      <pane ySplit="5" topLeftCell="A6" activePane="bottomLeft" state="frozen"/>
    </sheetView>
  </sheetViews>
  <sheetFormatPr defaultRowHeight="15"/>
  <cols>
    <col min="1" max="1" width="28" hidden="0" customWidth="1"/>
    <col min="2" max="2" width="28" hidden="0" customWidth="1"/>
    <col min="3" max="3" width="22" hidden="0" customWidth="1"/>
    <col min="4" max="4" width="20" hidden="0" customWidth="1"/>
    <col min="5" max="5" width="24" hidden="0" customWidth="1"/>
    <col min="6" max="6" width="24" hidden="0" customWidth="1"/>
    <col min="7" max="7" width="21" hidden="0" customWidth="1"/>
  </cols>
  <sheetData>
    <row r="1" ht="34" customHeight="1">
      <c r="A1" s="4" t="str">
        <v>Exemple complet : Camille, Hugo et Léa</v>
      </c>
      <c r="B1" s="4" t="str">
        <v>Exemple complet : Camille, Hugo et Léa</v>
      </c>
      <c r="C1" s="4" t="str">
        <v>Exemple complet : Camille, Hugo et Léa</v>
      </c>
      <c r="D1" s="4" t="str">
        <v>Exemple complet : Camille, Hugo et Léa</v>
      </c>
      <c r="E1" s="4" t="str">
        <v>Exemple complet : Camille, Hugo et Léa</v>
      </c>
      <c r="F1" s="4" t="str">
        <v>Exemple complet : Camille, Hugo et Léa</v>
      </c>
      <c r="G1" s="4" t="str">
        <v>Exemple complet : Camille, Hugo et Léa</v>
      </c>
    </row>
    <row r="2" ht="30" customHeight="1">
      <c r="A2" s="8" t="str">
        <v>Trois dépenses à parts égales, puis un remboursement partiel avant le bilan. Exemple fictif en euros.</v>
      </c>
      <c r="B2" s="8" t="str">
        <v>Trois dépenses à parts égales, puis un remboursement partiel avant le bilan. Exemple fictif en euros.</v>
      </c>
      <c r="C2" s="8" t="str">
        <v>Trois dépenses à parts égales, puis un remboursement partiel avant le bilan. Exemple fictif en euros.</v>
      </c>
      <c r="D2" s="8" t="str">
        <v>Trois dépenses à parts égales, puis un remboursement partiel avant le bilan. Exemple fictif en euros.</v>
      </c>
      <c r="E2" s="8" t="str">
        <v>Trois dépenses à parts égales, puis un remboursement partiel avant le bilan. Exemple fictif en euros.</v>
      </c>
      <c r="F2" s="8" t="str">
        <v>Trois dépenses à parts égales, puis un remboursement partiel avant le bilan. Exemple fictif en euros.</v>
      </c>
      <c r="G2" s="8" t="str">
        <v>Trois dépenses à parts égales, puis un remboursement partiel avant le bilan. Exemple fictif en euros.</v>
      </c>
    </row>
    <row r="4">
      <c r="A4" s="11" t="str">
        <v>Dépenses</v>
      </c>
      <c r="B4" s="11" t="str">
        <v>Dépenses</v>
      </c>
      <c r="C4" s="11" t="str">
        <v>Dépenses</v>
      </c>
      <c r="D4" s="11" t="str">
        <v>Dépenses</v>
      </c>
      <c r="E4" s="11" t="str">
        <v>Dépenses</v>
      </c>
      <c r="F4" s="11" t="str">
        <v>Dépenses</v>
      </c>
      <c r="G4" s="11" t="str">
        <v>Dépenses</v>
      </c>
    </row>
    <row r="5" ht="34" customHeight="1">
      <c r="A5" s="51" t="str">
        <v>Date</v>
      </c>
      <c r="B5" s="51" t="str">
        <v>Dépense</v>
      </c>
      <c r="C5" s="51" t="str">
        <v>Catégorie</v>
      </c>
      <c r="D5" s="51" t="str">
        <v>Montant</v>
      </c>
      <c r="E5" s="51" t="str">
        <v>Payé par</v>
      </c>
      <c r="F5" s="51" t="str">
        <v>Personnes participantes</v>
      </c>
      <c r="G5" s="51" t="str">
        <v>Part convenue</v>
      </c>
    </row>
    <row r="6">
      <c r="A6" s="99" t="d">
        <v>2026-05-01T00:00:00.000Z</v>
      </c>
      <c r="B6" s="56" t="str">
        <v>Loyer</v>
      </c>
      <c r="C6" s="56" t="str">
        <v>Loyer</v>
      </c>
      <c r="D6" s="101" t="n">
        <v>1800</v>
      </c>
      <c r="E6" s="56" t="str">
        <v>Camille</v>
      </c>
      <c r="F6" s="56" t="str">
        <v>Camille, Hugo, Léa</v>
      </c>
      <c r="G6" s="56" t="str">
        <v>600 € par personne</v>
      </c>
    </row>
    <row r="7">
      <c r="A7" s="100" t="d">
        <v>2026-05-05T00:00:00.000Z</v>
      </c>
      <c r="B7" s="57" t="str">
        <v>Internet</v>
      </c>
      <c r="C7" s="57" t="str">
        <v>Internet</v>
      </c>
      <c r="D7" s="102" t="n">
        <v>60</v>
      </c>
      <c r="E7" s="57" t="str">
        <v>Hugo</v>
      </c>
      <c r="F7" s="57" t="str">
        <v>Camille, Hugo, Léa</v>
      </c>
      <c r="G7" s="57" t="str">
        <v>20 € par personne</v>
      </c>
    </row>
    <row r="8">
      <c r="A8" s="100" t="d">
        <v>2026-05-12T00:00:00.000Z</v>
      </c>
      <c r="B8" s="57" t="str">
        <v>Courses</v>
      </c>
      <c r="C8" s="57" t="str">
        <v>Courses</v>
      </c>
      <c r="D8" s="102" t="n">
        <v>120</v>
      </c>
      <c r="E8" s="57" t="str">
        <v>Léa</v>
      </c>
      <c r="F8" s="57" t="str">
        <v>Camille, Hugo, Léa</v>
      </c>
      <c r="G8" s="57" t="str">
        <v>40 € par personne</v>
      </c>
    </row>
    <row r="10">
      <c r="A10" s="11" t="str">
        <v>Remboursement saisi séparément</v>
      </c>
      <c r="B10" s="11" t="str">
        <v>Remboursement saisi séparément</v>
      </c>
      <c r="C10" s="11" t="str">
        <v>Remboursement saisi séparément</v>
      </c>
      <c r="D10" s="11" t="str">
        <v>Remboursement saisi séparément</v>
      </c>
      <c r="E10" s="11" t="str">
        <v>Remboursement saisi séparément</v>
      </c>
      <c r="F10" s="11" t="str">
        <v>Remboursement saisi séparément</v>
      </c>
      <c r="G10" s="11" t="str">
        <v>Remboursement saisi séparément</v>
      </c>
    </row>
    <row r="11" ht="34" customHeight="1">
      <c r="A11" s="51" t="str">
        <v>Date</v>
      </c>
      <c r="B11" s="51" t="str">
        <v>De</v>
      </c>
      <c r="C11" s="51" t="str">
        <v>À</v>
      </c>
      <c r="D11" s="51" t="str">
        <v>Montant</v>
      </c>
      <c r="E11" s="51" t="str">
        <v>Note</v>
      </c>
    </row>
    <row r="12">
      <c r="A12" s="99" t="d">
        <v>2026-05-20T00:00:00.000Z</v>
      </c>
      <c r="B12" s="56" t="str">
        <v>Hugo</v>
      </c>
      <c r="C12" s="56" t="str">
        <v>Camille</v>
      </c>
      <c r="D12" s="101" t="n">
        <v>200</v>
      </c>
      <c r="E12" s="56" t="str">
        <v>Remboursement partiel avant le bilan du mois</v>
      </c>
    </row>
    <row r="14">
      <c r="A14" s="11" t="str">
        <v>Bilan après le remboursement de 200 €</v>
      </c>
      <c r="B14" s="11" t="str">
        <v>Bilan après le remboursement de 200 €</v>
      </c>
      <c r="C14" s="11" t="str">
        <v>Bilan après le remboursement de 200 €</v>
      </c>
      <c r="D14" s="11" t="str">
        <v>Bilan après le remboursement de 200 €</v>
      </c>
      <c r="E14" s="11" t="str">
        <v>Bilan après le remboursement de 200 €</v>
      </c>
      <c r="F14" s="11" t="str">
        <v>Bilan après le remboursement de 200 €</v>
      </c>
      <c r="G14" s="11" t="str">
        <v>Bilan après le remboursement de 200 €</v>
      </c>
    </row>
    <row r="15" ht="34" customHeight="1">
      <c r="A15" s="51" t="str">
        <v>Colocataire</v>
      </c>
      <c r="B15" s="51" t="str">
        <v>Dépenses payées</v>
      </c>
      <c r="C15" s="51" t="str">
        <v>Part attribuée</v>
      </c>
      <c r="D15" s="51" t="str">
        <v>Remboursements versés</v>
      </c>
      <c r="E15" s="51" t="str">
        <v>Remboursements reçus</v>
      </c>
      <c r="F15" s="51" t="str">
        <v>Solde actuel</v>
      </c>
    </row>
    <row r="16">
      <c r="A16" s="56" t="str">
        <v>Camille</v>
      </c>
      <c r="B16" s="84" t="n">
        <f>SUMIF($E$6:$E$8,A16,$D$6:$D$8)</f>
        <v>1800</v>
      </c>
      <c r="C16" s="84" t="n">
        <f>SUM($D$6:$D$8)/3</f>
        <v>660</v>
      </c>
      <c r="D16" s="84" t="n">
        <f>SUMIF($B$12:$B$12,A16,$D$12:$D$12)</f>
        <v>0</v>
      </c>
      <c r="E16" s="84" t="n">
        <f>SUMIF($C$12:$C$12,A16,$D$12:$D$12)</f>
        <v>200</v>
      </c>
      <c r="F16" s="103" t="n">
        <f>B16-C16+D16-E16</f>
        <v>940</v>
      </c>
    </row>
    <row r="17">
      <c r="A17" s="57" t="str">
        <v>Hugo</v>
      </c>
      <c r="B17" s="85" t="n">
        <f>SUMIF($E$6:$E$8,A17,$D$6:$D$8)</f>
        <v>60</v>
      </c>
      <c r="C17" s="85" t="n">
        <f>SUM($D$6:$D$8)/3</f>
        <v>660</v>
      </c>
      <c r="D17" s="85" t="n">
        <f>SUMIF($B$12:$B$12,A17,$D$12:$D$12)</f>
        <v>200</v>
      </c>
      <c r="E17" s="85" t="n">
        <f>SUMIF($C$12:$C$12,A17,$D$12:$D$12)</f>
        <v>0</v>
      </c>
      <c r="F17" s="104" t="n">
        <f>B17-C17+D17-E17</f>
        <v>-400</v>
      </c>
    </row>
    <row r="18">
      <c r="A18" s="57" t="str">
        <v>Léa</v>
      </c>
      <c r="B18" s="85" t="n">
        <f>SUMIF($E$6:$E$8,A18,$D$6:$D$8)</f>
        <v>120</v>
      </c>
      <c r="C18" s="85" t="n">
        <f>SUM($D$6:$D$8)/3</f>
        <v>660</v>
      </c>
      <c r="D18" s="85" t="n">
        <f>SUMIF($B$12:$B$12,A18,$D$12:$D$12)</f>
        <v>0</v>
      </c>
      <c r="E18" s="85" t="n">
        <f>SUMIF($C$12:$C$12,A18,$D$12:$D$12)</f>
        <v>0</v>
      </c>
      <c r="F18" s="104" t="n">
        <f>B18-C18+D18-E18</f>
        <v>-540</v>
      </c>
    </row>
    <row r="20">
      <c r="A20" s="88" t="str">
        <v>Total des dépenses communes</v>
      </c>
      <c r="B20" s="89" t="n">
        <f>SUM($D$6:$D$8)</f>
        <v>1980</v>
      </c>
    </row>
    <row r="21">
      <c r="A21" s="88" t="str">
        <v>Part de chaque personne</v>
      </c>
      <c r="B21" s="89" t="n">
        <f>B20/3</f>
        <v>660</v>
      </c>
    </row>
    <row r="23">
      <c r="A23" s="11" t="str">
        <v>Versements proposés pour solder les comptes</v>
      </c>
      <c r="B23" s="11" t="str">
        <v>Versements proposés pour solder les comptes</v>
      </c>
      <c r="C23" s="11" t="str">
        <v>Versements proposés pour solder les comptes</v>
      </c>
      <c r="D23" s="11" t="str">
        <v>Versements proposés pour solder les comptes</v>
      </c>
      <c r="E23" s="11" t="str">
        <v>Versements proposés pour solder les comptes</v>
      </c>
      <c r="F23" s="11" t="str">
        <v>Versements proposés pour solder les comptes</v>
      </c>
      <c r="G23" s="11" t="str">
        <v>Versements proposés pour solder les comptes</v>
      </c>
    </row>
    <row r="24" ht="34" customHeight="1">
      <c r="A24" s="51" t="str">
        <v>De</v>
      </c>
      <c r="B24" s="51" t="str">
        <v>À</v>
      </c>
      <c r="C24" s="51" t="str">
        <v>Montant</v>
      </c>
      <c r="E24" s="107" t="str">
        <v>Total final</v>
      </c>
      <c r="F24" s="108" t="n">
        <f>SUM(F16:F18)</f>
        <v>0</v>
      </c>
    </row>
    <row r="25">
      <c r="A25" s="56" t="str">
        <v>Hugo</v>
      </c>
      <c r="B25" s="56" t="str">
        <v>Camille</v>
      </c>
      <c r="C25" s="84" t="n">
        <f>-F17</f>
        <v>400</v>
      </c>
    </row>
    <row r="26">
      <c r="A26" s="57" t="str">
        <v>Léa</v>
      </c>
      <c r="B26" s="57" t="str">
        <v>Camille</v>
      </c>
      <c r="C26" s="85" t="n">
        <f>-F18</f>
        <v>540</v>
      </c>
    </row>
  </sheetData>
  <mergeCells>
    <mergeCell ref="A1:G1"/>
    <mergeCell ref="A2:G2"/>
    <mergeCell ref="A4:G4"/>
    <mergeCell ref="A10:G10"/>
    <mergeCell ref="A14:G14"/>
    <mergeCell ref="A23:G23"/>
  </mergeCells>
  <pageMargins left="0.7" right="0.7" top="0.75" bottom="0.75" header="0.3" footer="0.3"/>
</worksheet>
</file>

<file path=xl/worksheets/sheet7.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26" hidden="0" customWidth="1"/>
    <col min="2" max="2" width="34" hidden="0" customWidth="1"/>
    <col min="3" max="3" width="16" hidden="0" customWidth="1"/>
    <col min="4" max="4" width="16" hidden="0" customWidth="1"/>
  </cols>
  <sheetData>
    <row r="1" ht="34" customHeight="1">
      <c r="A1" s="4" t="str">
        <v>Listes du modèle</v>
      </c>
      <c r="B1" s="4" t="str">
        <v>Listes du modèle</v>
      </c>
      <c r="C1" s="4" t="str">
        <v>Listes du modèle</v>
      </c>
      <c r="D1" s="4" t="str">
        <v>Listes du modèle</v>
      </c>
    </row>
    <row r="2" ht="30" customHeight="1">
      <c r="A2" s="8" t="str">
        <v>Ces listes alimentent les menus déroulants du fichier. Ne les modifiez que si vous savez comment elles sont liées aux règles de validation des données.</v>
      </c>
      <c r="B2" s="8" t="str">
        <v>Ces listes alimentent les menus déroulants du fichier. Ne les modifiez que si vous savez comment elles sont liées aux règles de validation des données.</v>
      </c>
      <c r="C2" s="8" t="str">
        <v>Ces listes alimentent les menus déroulants du fichier. Ne les modifiez que si vous savez comment elles sont liées aux règles de validation des données.</v>
      </c>
      <c r="D2" s="8" t="str">
        <v>Ces listes alimentent les menus déroulants du fichier. Ne les modifiez que si vous savez comment elles sont liées aux règles de validation des données.</v>
      </c>
    </row>
    <row r="4" ht="34" customHeight="1">
      <c r="A4" s="51" t="str">
        <v>Catégories</v>
      </c>
      <c r="B4" s="51" t="str">
        <v>Modes de répartition</v>
      </c>
      <c r="C4" s="51" t="str">
        <v>Oui ou non</v>
      </c>
      <c r="D4" s="51" t="str">
        <v>Devises</v>
      </c>
    </row>
    <row r="5">
      <c r="A5" s="56" t="str">
        <v>Loyer</v>
      </c>
      <c r="B5" s="56" t="str">
        <v>À parts égales entre participants</v>
      </c>
      <c r="C5" s="56" t="str">
        <v>Oui</v>
      </c>
      <c r="D5" s="56" t="str">
        <v>USD</v>
      </c>
    </row>
    <row r="6">
      <c r="A6" s="57" t="str">
        <v>Charges</v>
      </c>
      <c r="B6" s="57" t="str">
        <v>Montants convenus</v>
      </c>
      <c r="C6" s="57" t="str">
        <v>Non</v>
      </c>
      <c r="D6" s="57" t="str">
        <v>EUR</v>
      </c>
    </row>
    <row r="7">
      <c r="A7" s="57" t="str">
        <v>Internet</v>
      </c>
      <c r="B7" s="57"/>
      <c r="C7" s="57"/>
      <c r="D7" s="57" t="str">
        <v>GBP</v>
      </c>
    </row>
    <row r="8">
      <c r="A8" s="57" t="str">
        <v>Courses</v>
      </c>
      <c r="B8" s="57"/>
      <c r="C8" s="57"/>
      <c r="D8" s="57" t="str">
        <v>CAD</v>
      </c>
    </row>
    <row r="9">
      <c r="A9" s="57" t="str">
        <v>Produits pour la maison</v>
      </c>
      <c r="B9" s="57"/>
      <c r="C9" s="57"/>
      <c r="D9" s="57" t="str">
        <v>AUD</v>
      </c>
    </row>
    <row r="10">
      <c r="A10" s="57" t="str">
        <v>Abonnement</v>
      </c>
      <c r="B10" s="57"/>
      <c r="C10" s="57"/>
      <c r="D10" s="57" t="str">
        <v>NZD</v>
      </c>
    </row>
    <row r="11">
      <c r="A11" s="57" t="str">
        <v>Réparation ou entretien</v>
      </c>
      <c r="B11" s="57"/>
      <c r="C11" s="57"/>
      <c r="D11" s="57" t="str">
        <v>JPY</v>
      </c>
    </row>
    <row r="12">
      <c r="A12" s="57" t="str">
        <v>Autres</v>
      </c>
      <c r="B12" s="57"/>
      <c r="C12" s="57"/>
      <c r="D12" s="57" t="str">
        <v>CHF</v>
      </c>
    </row>
    <row r="13">
      <c r="A13" s="57"/>
      <c r="B13" s="57"/>
      <c r="C13" s="57"/>
      <c r="D13" s="57" t="str">
        <v>SGD</v>
      </c>
    </row>
    <row r="14">
      <c r="A14" s="57"/>
      <c r="B14" s="57"/>
      <c r="C14" s="57"/>
      <c r="D14" s="57" t="str">
        <v>THB</v>
      </c>
    </row>
    <row r="15">
      <c r="A15" s="57"/>
      <c r="B15" s="57"/>
      <c r="C15" s="57"/>
      <c r="D15" s="57" t="str">
        <v>Autre</v>
      </c>
    </row>
  </sheetData>
  <mergeCells>
    <mergeCell ref="A1:D1"/>
    <mergeCell ref="A2:D2"/>
  </mergeCells>
  <pageMargins left="0.7" right="0.7" top="0.75" bottom="0.75" header="0.3" footer="0.3"/>
</worksheet>
</file>